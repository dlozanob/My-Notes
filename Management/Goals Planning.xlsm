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274" documentId="13_ncr:1_{7ABCE28E-87C2-423A-B9A0-37A4FA326C49}" xr6:coauthVersionLast="47" xr6:coauthVersionMax="47" xr10:uidLastSave="{1901BD0F-0E3C-4B26-B85E-D6EA2171BBDF}"/>
  <bookViews>
    <workbookView xWindow="-108" yWindow="-108" windowWidth="23256" windowHeight="13896" activeTab="3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1" i="3" l="1"/>
  <c r="E60" i="3"/>
  <c r="E59" i="3"/>
  <c r="E58" i="3"/>
  <c r="E57" i="3"/>
  <c r="E55" i="3"/>
  <c r="E43" i="3"/>
  <c r="E44" i="3"/>
  <c r="E45" i="3"/>
  <c r="E46" i="3"/>
  <c r="E47" i="3"/>
  <c r="E48" i="3"/>
  <c r="E49" i="3"/>
  <c r="E50" i="3"/>
  <c r="E51" i="3"/>
  <c r="E52" i="3"/>
  <c r="E53" i="3"/>
  <c r="E54" i="3"/>
  <c r="E62" i="3"/>
  <c r="E63" i="3"/>
  <c r="E64" i="3"/>
  <c r="E42" i="3"/>
  <c r="F26" i="5"/>
  <c r="E10" i="10"/>
  <c r="F10" i="10"/>
  <c r="G10" i="10"/>
  <c r="H10" i="10"/>
  <c r="I10" i="10"/>
  <c r="J10" i="10"/>
  <c r="K10" i="10"/>
  <c r="M10" i="10"/>
  <c r="L10" i="10" s="1" a="1"/>
  <c r="L10" i="10" s="1"/>
  <c r="N10" i="10"/>
  <c r="F33" i="2"/>
  <c r="D33" i="2"/>
  <c r="K28" i="2"/>
  <c r="I25" i="2"/>
  <c r="H33" i="2"/>
  <c r="G33" i="2"/>
  <c r="H31" i="2"/>
  <c r="G31" i="2"/>
  <c r="F31" i="2"/>
  <c r="E32" i="2"/>
  <c r="C31" i="2"/>
  <c r="F26" i="2"/>
  <c r="F28" i="2"/>
  <c r="F29" i="2"/>
  <c r="D29" i="2"/>
  <c r="E27" i="2"/>
  <c r="D27" i="2"/>
  <c r="F27" i="2"/>
  <c r="G27" i="2"/>
  <c r="C27" i="2"/>
  <c r="D26" i="2"/>
  <c r="G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F45" i="11"/>
  <c r="G5" i="11"/>
  <c r="C45" i="11" a="1"/>
  <c r="F16" i="11"/>
  <c r="F19" i="11"/>
  <c r="G49" i="11"/>
  <c r="E51" i="11"/>
  <c r="C17" i="11" a="1"/>
  <c r="F14" i="11"/>
  <c r="D43" i="11"/>
  <c r="E27" i="11"/>
  <c r="G39" i="11"/>
  <c r="G40" i="11"/>
  <c r="E54" i="11"/>
  <c r="D20" i="11"/>
  <c r="D24" i="11"/>
  <c r="G29" i="11"/>
  <c r="C16" i="11" a="1"/>
  <c r="G34" i="11"/>
  <c r="E23" i="11"/>
  <c r="D32" i="11"/>
  <c r="C5" i="11" a="1"/>
  <c r="G24" i="11"/>
  <c r="E52" i="11"/>
  <c r="C39" i="11" a="1"/>
  <c r="E53" i="11"/>
  <c r="G50" i="11"/>
  <c r="D22" i="11"/>
  <c r="F41" i="11"/>
  <c r="G56" i="11"/>
  <c r="G30" i="11"/>
  <c r="D53" i="11"/>
  <c r="E43" i="11"/>
  <c r="C33" i="11" a="1"/>
  <c r="F35" i="11"/>
  <c r="D27" i="11"/>
  <c r="E18" i="11"/>
  <c r="E22" i="11"/>
  <c r="C24" i="11" a="1"/>
  <c r="E20" i="11"/>
  <c r="F49" i="11"/>
  <c r="E46" i="11"/>
  <c r="F5" i="11"/>
  <c r="C52" i="11" a="1"/>
  <c r="C9" i="11" a="1"/>
  <c r="D38" i="11"/>
  <c r="D49" i="11"/>
  <c r="C23" i="11" a="1"/>
  <c r="E5" i="11"/>
  <c r="G27" i="11"/>
  <c r="E38" i="11"/>
  <c r="E45" i="11"/>
  <c r="D42" i="11"/>
  <c r="G35" i="11"/>
  <c r="G23" i="11"/>
  <c r="G14" i="11"/>
  <c r="D26" i="11"/>
  <c r="F39" i="11"/>
  <c r="G18" i="11"/>
  <c r="C28" i="11" a="1"/>
  <c r="E47" i="11"/>
  <c r="C35" i="11" a="1"/>
  <c r="D37" i="11"/>
  <c r="G20" i="11"/>
  <c r="F37" i="11"/>
  <c r="F36" i="11"/>
  <c r="C40" i="11" a="1"/>
  <c r="C54" i="11" a="1"/>
  <c r="E26" i="11"/>
  <c r="D44" i="11"/>
  <c r="G45" i="11"/>
  <c r="E24" i="11"/>
  <c r="C44" i="11" a="1"/>
  <c r="D30" i="11"/>
  <c r="C41" i="11" a="1"/>
  <c r="C37" i="11" a="1"/>
  <c r="G21" i="11"/>
  <c r="D33" i="11"/>
  <c r="F51" i="11"/>
  <c r="C34" i="11" a="1"/>
  <c r="G54" i="11"/>
  <c r="E49" i="11"/>
  <c r="E32" i="11"/>
  <c r="D19" i="11"/>
  <c r="F57" i="11"/>
  <c r="F48" i="11"/>
  <c r="F34" i="11"/>
  <c r="F55" i="11"/>
  <c r="D31" i="11"/>
  <c r="G16" i="11"/>
  <c r="E42" i="11"/>
  <c r="G43" i="11"/>
  <c r="F43" i="11"/>
  <c r="D56" i="11"/>
  <c r="D23" i="11"/>
  <c r="F30" i="11"/>
  <c r="G44" i="11"/>
  <c r="C25" i="11" a="1"/>
  <c r="F28" i="11"/>
  <c r="D14" i="11"/>
  <c r="F15" i="11"/>
  <c r="C55" i="11" a="1"/>
  <c r="D17" i="11"/>
  <c r="D48" i="11"/>
  <c r="F33" i="11"/>
  <c r="C22" i="11" a="1"/>
  <c r="D34" i="11"/>
  <c r="E16" i="11"/>
  <c r="E31" i="11"/>
  <c r="D21" i="11"/>
  <c r="E39" i="11"/>
  <c r="C26" i="11" a="1"/>
  <c r="F29" i="11"/>
  <c r="G31" i="11"/>
  <c r="D5" i="11"/>
  <c r="F23" i="11"/>
  <c r="C21" i="11" a="1"/>
  <c r="E40" i="11"/>
  <c r="D35" i="11"/>
  <c r="F24" i="11"/>
  <c r="C7" i="11" a="1"/>
  <c r="F26" i="11"/>
  <c r="E48" i="11"/>
  <c r="E25" i="11"/>
  <c r="C12" i="11" a="1"/>
  <c r="F56" i="11"/>
  <c r="F38" i="11"/>
  <c r="C27" i="11" a="1"/>
  <c r="C8" i="11" a="1"/>
  <c r="G37" i="11"/>
  <c r="C13" i="11" a="1"/>
  <c r="E57" i="11"/>
  <c r="D57" i="11"/>
  <c r="C47" i="11" a="1"/>
  <c r="D47" i="11"/>
  <c r="E37" i="11"/>
  <c r="E29" i="11"/>
  <c r="E44" i="11"/>
  <c r="C51" i="11" a="1"/>
  <c r="G17" i="11"/>
  <c r="G33" i="11"/>
  <c r="C57" i="11" a="1"/>
  <c r="C30" i="11" a="1"/>
  <c r="F20" i="11"/>
  <c r="F42" i="11"/>
  <c r="E30" i="11"/>
  <c r="E34" i="11"/>
  <c r="C15" i="11" a="1"/>
  <c r="E50" i="11"/>
  <c r="F40" i="11"/>
  <c r="G19" i="11"/>
  <c r="C20" i="11" a="1"/>
  <c r="D16" i="11"/>
  <c r="F32" i="11"/>
  <c r="G28" i="11"/>
  <c r="E55" i="11"/>
  <c r="F31" i="11"/>
  <c r="D41" i="11"/>
  <c r="E14" i="11"/>
  <c r="C49" i="11" a="1"/>
  <c r="F50" i="11"/>
  <c r="G48" i="11"/>
  <c r="D28" i="11"/>
  <c r="D40" i="11"/>
  <c r="G51" i="11"/>
  <c r="F46" i="11"/>
  <c r="G42" i="11"/>
  <c r="F44" i="11"/>
  <c r="D54" i="11"/>
  <c r="C42" i="11" a="1"/>
  <c r="C31" i="11" a="1"/>
  <c r="C46" i="11" a="1"/>
  <c r="D51" i="11"/>
  <c r="G57" i="11"/>
  <c r="G53" i="11"/>
  <c r="E19" i="11"/>
  <c r="G32" i="11"/>
  <c r="C6" i="11" a="1"/>
  <c r="G52" i="11"/>
  <c r="D39" i="11"/>
  <c r="C48" i="11" a="1"/>
  <c r="D46" i="11"/>
  <c r="C10" i="11" a="1"/>
  <c r="F53" i="11"/>
  <c r="D52" i="11"/>
  <c r="F47" i="11"/>
  <c r="G26" i="11"/>
  <c r="C29" i="11" a="1"/>
  <c r="E28" i="11"/>
  <c r="G46" i="11"/>
  <c r="E33" i="11"/>
  <c r="G41" i="11"/>
  <c r="D36" i="11"/>
  <c r="E10" i="11" s="1"/>
  <c r="F27" i="11"/>
  <c r="G47" i="11"/>
  <c r="C53" i="11" a="1"/>
  <c r="F25" i="11"/>
  <c r="C14" i="11" a="1"/>
  <c r="F54" i="11"/>
  <c r="G55" i="11"/>
  <c r="G22" i="11"/>
  <c r="D29" i="11"/>
  <c r="E9" i="11" s="1"/>
  <c r="C56" i="11" a="1"/>
  <c r="F21" i="11"/>
  <c r="E36" i="11"/>
  <c r="D15" i="11"/>
  <c r="D18" i="11"/>
  <c r="F18" i="11"/>
  <c r="E35" i="11"/>
  <c r="D45" i="11"/>
  <c r="E41" i="11"/>
  <c r="C43" i="11" a="1"/>
  <c r="G36" i="11"/>
  <c r="C50" i="11" a="1"/>
  <c r="C11" i="11" a="1"/>
  <c r="G15" i="11"/>
  <c r="D50" i="11"/>
  <c r="C38" i="11" a="1"/>
  <c r="C18" i="11" a="1"/>
  <c r="F52" i="11"/>
  <c r="E15" i="11"/>
  <c r="G25" i="11"/>
  <c r="G12" i="11"/>
  <c r="E21" i="11"/>
  <c r="C19" i="11" a="1"/>
  <c r="F22" i="11"/>
  <c r="C36" i="11" a="1"/>
  <c r="E17" i="11"/>
  <c r="D25" i="11"/>
  <c r="D55" i="11"/>
  <c r="E56" i="11"/>
  <c r="F17" i="11"/>
  <c r="C32" i="11" a="1"/>
  <c r="G38" i="11"/>
  <c r="F9" i="11"/>
  <c r="D9" i="11"/>
  <c r="F10" i="11"/>
  <c r="D10" i="11"/>
  <c r="D11" i="11"/>
  <c r="E11" i="11"/>
  <c r="G11" i="11"/>
  <c r="E12" i="11"/>
  <c r="F12" i="11"/>
  <c r="D10" i="10" l="1" a="1"/>
  <c r="D10" i="10" s="1"/>
  <c r="C23" i="1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D13" i="11"/>
  <c r="G8" i="11"/>
  <c r="E8" i="11"/>
  <c r="E13" i="11"/>
  <c r="F11" i="11"/>
  <c r="D12" i="11"/>
  <c r="F13" i="11"/>
  <c r="G9" i="11"/>
  <c r="D8" i="11"/>
  <c r="G13" i="11"/>
  <c r="G10" i="11"/>
  <c r="F8" i="11"/>
  <c r="G7" i="11"/>
  <c r="F7" i="11"/>
  <c r="D7" i="11"/>
  <c r="E7" i="11"/>
  <c r="E14" i="7" l="1"/>
  <c r="E18" i="7"/>
  <c r="E13" i="7"/>
  <c r="E4" i="7"/>
  <c r="D4" i="7"/>
  <c r="F24" i="5" l="1"/>
  <c r="F23" i="5"/>
  <c r="A3" i="1"/>
  <c r="B3" i="1" s="1"/>
  <c r="F22" i="5"/>
  <c r="F21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71" i="3"/>
  <c r="E70" i="3"/>
  <c r="F3" i="5"/>
  <c r="F4" i="5"/>
  <c r="E17" i="7"/>
  <c r="E16" i="7"/>
  <c r="B10" i="8" l="1"/>
  <c r="C9" i="8"/>
  <c r="A8" i="1"/>
  <c r="B8" i="1" s="1"/>
  <c r="D14" i="7"/>
  <c r="D12" i="7"/>
  <c r="D16" i="7"/>
  <c r="D17" i="7"/>
  <c r="D13" i="7"/>
  <c r="D18" i="7"/>
  <c r="D15" i="7"/>
  <c r="D11" i="7"/>
  <c r="D3" i="7"/>
  <c r="D10" i="7"/>
  <c r="D9" i="7"/>
  <c r="D8" i="7"/>
  <c r="D7" i="7"/>
  <c r="D6" i="7"/>
  <c r="D5" i="7"/>
  <c r="E3" i="7"/>
  <c r="E36" i="3"/>
  <c r="E37" i="3"/>
  <c r="E38" i="3"/>
  <c r="E39" i="3"/>
  <c r="E40" i="3"/>
  <c r="E35" i="3"/>
  <c r="E56" i="3"/>
  <c r="E41" i="3"/>
  <c r="E81" i="3"/>
  <c r="E82" i="3"/>
  <c r="E83" i="3"/>
  <c r="E84" i="3"/>
  <c r="E85" i="3"/>
  <c r="E80" i="3"/>
  <c r="E78" i="3"/>
  <c r="E77" i="3"/>
  <c r="E74" i="3"/>
  <c r="E75" i="3"/>
  <c r="E76" i="3"/>
  <c r="E73" i="3"/>
  <c r="E27" i="3"/>
  <c r="E28" i="3"/>
  <c r="E29" i="3"/>
  <c r="E30" i="3"/>
  <c r="E31" i="3"/>
  <c r="E32" i="3"/>
  <c r="E33" i="3"/>
  <c r="E34" i="3"/>
  <c r="E65" i="3"/>
  <c r="E66" i="3"/>
  <c r="E67" i="3"/>
  <c r="E68" i="3"/>
  <c r="E69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I8" i="10" s="1"/>
  <c r="H8" i="10"/>
  <c r="F8" i="10"/>
  <c r="E29" i="2"/>
  <c r="G8" i="10" s="1"/>
  <c r="C29" i="2"/>
  <c r="I32" i="2"/>
  <c r="H32" i="2"/>
  <c r="J6" i="10"/>
  <c r="K4" i="10"/>
  <c r="H25" i="2"/>
  <c r="J4" i="10" s="1"/>
  <c r="I6" i="10"/>
  <c r="H6" i="10"/>
  <c r="E31" i="2"/>
  <c r="G6" i="10" s="1"/>
  <c r="I27" i="2"/>
  <c r="H27" i="2"/>
  <c r="E25" i="2"/>
  <c r="G4" i="10" s="1"/>
  <c r="F3" i="10"/>
  <c r="D25" i="2"/>
  <c r="F4" i="10" s="1"/>
  <c r="E6" i="10"/>
  <c r="E7" i="7"/>
  <c r="E8" i="7"/>
  <c r="E15" i="7"/>
  <c r="B11" i="8" l="1"/>
  <c r="C10" i="8"/>
  <c r="J29" i="2"/>
  <c r="K29" i="2" s="1"/>
  <c r="E8" i="10"/>
  <c r="A9" i="1"/>
  <c r="B9" i="1" s="1"/>
  <c r="J27" i="2"/>
  <c r="K27" i="2" s="1"/>
  <c r="B12" i="8" l="1"/>
  <c r="C11" i="8"/>
  <c r="A10" i="1"/>
  <c r="B10" i="1" s="1"/>
  <c r="E11" i="7"/>
  <c r="E10" i="7"/>
  <c r="E9" i="7"/>
  <c r="E6" i="7"/>
  <c r="E5" i="7"/>
  <c r="E12" i="7"/>
  <c r="B13" i="8" l="1"/>
  <c r="C12" i="8"/>
  <c r="A11" i="1"/>
  <c r="B11" i="1" s="1"/>
  <c r="I28" i="2"/>
  <c r="K7" i="10" s="1"/>
  <c r="F13" i="5"/>
  <c r="F8" i="5"/>
  <c r="F6" i="5"/>
  <c r="F15" i="5"/>
  <c r="F14" i="5"/>
  <c r="F17" i="5"/>
  <c r="F16" i="5"/>
  <c r="F12" i="5"/>
  <c r="F11" i="5"/>
  <c r="F10" i="5"/>
  <c r="F9" i="5"/>
  <c r="F19" i="5"/>
  <c r="F25" i="5"/>
  <c r="F7" i="5"/>
  <c r="F20" i="5"/>
  <c r="F18" i="5"/>
  <c r="F5" i="5"/>
  <c r="G32" i="2"/>
  <c r="F32" i="2"/>
  <c r="D32" i="2"/>
  <c r="C32" i="2"/>
  <c r="I26" i="2"/>
  <c r="K3" i="10" s="1"/>
  <c r="H26" i="2"/>
  <c r="J3" i="10" s="1"/>
  <c r="H28" i="2"/>
  <c r="J7" i="10" s="1"/>
  <c r="G28" i="2"/>
  <c r="I7" i="10" s="1"/>
  <c r="H7" i="10"/>
  <c r="E28" i="2"/>
  <c r="G7" i="10" s="1"/>
  <c r="D28" i="2"/>
  <c r="F7" i="10" s="1"/>
  <c r="C28" i="2"/>
  <c r="E7" i="10" s="1"/>
  <c r="B14" i="8" l="1"/>
  <c r="C13" i="8"/>
  <c r="A12" i="1"/>
  <c r="B12" i="1" s="1"/>
  <c r="J32" i="2"/>
  <c r="K32" i="2" s="1"/>
  <c r="J28" i="2"/>
  <c r="H3" i="10"/>
  <c r="E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L8" i="10" a="1"/>
  <c r="L8" i="10" s="1"/>
  <c r="L4" i="10" a="1"/>
  <c r="L4" i="10" s="1"/>
  <c r="L3" i="10" a="1"/>
  <c r="L3" i="10" s="1"/>
  <c r="A368" i="1"/>
  <c r="L7" i="10" l="1" a="1"/>
  <c r="L7" i="10" s="1"/>
  <c r="B368" i="1"/>
  <c r="B371" i="8"/>
  <c r="C370" i="8"/>
  <c r="L6" i="10" a="1"/>
  <c r="L6" i="10" s="1"/>
  <c r="L9" i="10" a="1"/>
  <c r="L9" i="10" s="1"/>
  <c r="L5" i="10" a="1"/>
  <c r="L5" i="10" s="1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G6" i="11" l="1"/>
  <c r="F6" i="11"/>
  <c r="D6" i="11"/>
  <c r="E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<sst xmlns="http://schemas.openxmlformats.org/spreadsheetml/2006/main" count="5219" uniqueCount="319">
  <si>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</si>
  <si>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</si>
  <si>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</si>
  <si>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</si>
  <si>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</si>
  <si>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</si>
  <si>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</si>
  <si>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</si>
  <si>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</si>
  <si>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</si>
  <si>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</si>
  <si>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</si>
  <si>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</si>
  <si>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</si>
  <si>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</si>
  <si>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</si>
  <si>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</si>
  <si>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</si>
  <si>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</si>
  <si>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</si>
  <si>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</si>
  <si>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</si>
  <si>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</si>
  <si>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</si>
  <si>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</si>
  <si>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</si>
  <si>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</si>
  <si>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</si>
  <si>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</si>
  <si>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</si>
  <si>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</si>
  <si>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</si>
  <si>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</si>
  <si>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</si>
  <si>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</si>
  <si>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</si>
  <si>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</si>
  <si>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</si>
  <si>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</si>
  <si>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</si>
  <si>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</si>
  <si>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</si>
  <si>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</si>
  <si>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</si>
  <si>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</si>
  <si>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</si>
  <si>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</si>
  <si>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</si>
  <si>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</si>
  <si>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</si>
  <si>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</si>
  <si>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</si>
  <si>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</si>
  <si>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</si>
  <si>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</si>
  <si>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</si>
  <si>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</si>
  <si>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</si>
  <si>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</si>
  <si>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</si>
  <si>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</si>
  <si>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</si>
  <si>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</si>
  <si>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</si>
  <si>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</si>
  <si>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</si>
  <si>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</si>
  <si>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</si>
  <si>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</si>
  <si>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</si>
  <si>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</si>
  <si>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</si>
  <si>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</si>
  <si>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</si>
  <si>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</si>
  <si>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</si>
  <si>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</si>
  <si>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</si>
  <si>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</si>
  <si>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</si>
  <si>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</si>
  <si>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</si>
  <si>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</si>
  <si>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</si>
  <si>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</si>
  <si>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</si>
  <si>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</si>
  <si>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</si>
  <si>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</si>
  <si>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</si>
  <si>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</si>
  <si>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</si>
  <si>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</si>
  <si>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</si>
  <si>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</si>
  <si>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</si>
  <si>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</si>
  <si>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</si>
  <si>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</si>
  <si>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</si>
  <si>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</si>
  <si>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</si>
  <si>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</si>
  <si>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</si>
  <si>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</si>
  <si>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</si>
  <si>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</si>
  <si>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</si>
  <si>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</si>
  <si>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</si>
  <si>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</si>
  <si>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</si>
  <si>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</si>
  <si>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</si>
  <si>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</si>
  <si>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</si>
  <si>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</si>
  <si>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</si>
  <si>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</si>
  <si>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</si>
  <si>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</si>
  <si>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</si>
  <si>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</si>
  <si>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</si>
  <si>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</si>
  <si>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</si>
  <si>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</si>
  <si>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</si>
  <si>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</si>
  <si>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</si>
  <si>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</si>
  <si>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</si>
  <si>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</si>
  <si>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</si>
  <si>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</si>
  <si>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</si>
  <si>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</si>
  <si>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</si>
  <si>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</si>
  <si>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</si>
  <si>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9:00</t>
    </r>
  </si>
  <si>
    <r>
      <rPr>
        <sz val="8"/>
        <color theme="1"/>
        <rFont val="Calibri"/>
        <family val="2"/>
        <scheme val="minor"/>
      </rPr>
      <t>9:00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</si>
  <si>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</si>
  <si>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</si>
  <si>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</si>
  <si>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</si>
  <si>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</si>
  <si>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</si>
  <si>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</si>
  <si>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</si>
  <si>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</si>
  <si>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</si>
  <si>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</si>
  <si>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</si>
  <si>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</si>
  <si>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</si>
  <si>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</si>
  <si>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</si>
  <si>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</si>
  <si>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</si>
  <si>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</si>
  <si>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</si>
  <si>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</si>
  <si>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</si>
  <si>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</si>
  <si>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</si>
  <si>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</si>
  <si>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</si>
  <si>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</si>
  <si>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</si>
  <si>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</si>
  <si>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</si>
  <si>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</si>
  <si>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</si>
  <si>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</si>
  <si>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</si>
  <si>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</si>
  <si>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</si>
  <si>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</si>
  <si>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</si>
  <si>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</si>
  <si>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</si>
  <si>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</si>
  <si>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</si>
  <si>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</si>
  <si>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</si>
  <si>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</si>
  <si>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</si>
  <si>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</si>
  <si>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</si>
  <si>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</si>
  <si>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</si>
  <si>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</si>
  <si>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</si>
  <si>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</si>
  <si>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</si>
  <si>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</si>
  <si>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</si>
  <si>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</si>
  <si>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</si>
  <si>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</si>
  <si>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</si>
  <si>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</si>
  <si>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</si>
  <si>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</si>
  <si>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</si>
  <si>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</si>
  <si>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</si>
  <si>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</si>
  <si>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</si>
  <si>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</si>
  <si>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</si>
  <si>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</si>
  <si>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</si>
  <si>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</si>
  <si>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</si>
  <si>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</si>
  <si>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</si>
  <si>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</si>
  <si>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</si>
  <si>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</si>
  <si>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</si>
  <si>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</si>
  <si>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</si>
  <si>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</si>
  <si>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</si>
  <si>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</si>
  <si>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Cita de Control Odontología</t>
  </si>
  <si>
    <t>Finandina CDT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</si>
  <si>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</si>
  <si>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</si>
  <si>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</si>
  <si>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</si>
  <si>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</si>
  <si>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</si>
  <si>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</si>
  <si>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</si>
  <si>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</si>
  <si>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</si>
  <si>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</si>
  <si>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</si>
  <si>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</si>
  <si>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</si>
  <si>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</si>
  <si>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</si>
  <si>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</si>
  <si>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</si>
  <si>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</si>
  <si>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</si>
  <si>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</si>
  <si>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</si>
  <si>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</si>
  <si>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</si>
  <si>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</si>
  <si>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t>Recharge Transport Card (42.600)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</si>
  <si>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</si>
  <si>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</si>
  <si>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</si>
  <si>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</si>
  <si>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</si>
  <si>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</si>
  <si>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</si>
  <si>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</si>
  <si>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</si>
  <si>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</si>
  <si>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</si>
  <si>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</si>
  <si>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</si>
  <si>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</si>
  <si>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</si>
  <si>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</si>
  <si>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</si>
  <si>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</si>
  <si>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</si>
  <si>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</si>
  <si>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</si>
  <si>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</si>
  <si>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</si>
  <si>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</si>
  <si>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</si>
  <si>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</si>
  <si>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</si>
  <si>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</si>
  <si>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</si>
  <si>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</si>
  <si>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</si>
  <si>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</si>
  <si>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</si>
  <si>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</si>
  <si>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</si>
  <si>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</si>
  <si>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</si>
  <si>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</si>
  <si>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6:00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</si>
  <si>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</si>
  <si>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</si>
  <si>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9:55</t>
    </r>
  </si>
  <si>
    <r>
      <rPr>
        <sz val="8"/>
        <color theme="1"/>
        <rFont val="Calibri"/>
        <family val="2"/>
        <scheme val="minor"/>
      </rPr>
      <t>9:55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12:55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</si>
  <si>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</si>
  <si>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t>Scrolling</t>
  </si>
  <si>
    <t>Review/New Content</t>
  </si>
  <si>
    <t>Schedule Goethe-Zertifikat-C1</t>
  </si>
  <si>
    <t>MAX. 21th</t>
  </si>
  <si>
    <t>Prüfungsvorbereitungsbuch</t>
  </si>
  <si>
    <t>Lesen – Teil 1</t>
  </si>
  <si>
    <t>Lesen – Teil 2</t>
  </si>
  <si>
    <t>Hören – Teil 1</t>
  </si>
  <si>
    <t>Hören – Teil 2</t>
  </si>
  <si>
    <t>Lesen – Teil 3</t>
  </si>
  <si>
    <t>Hören – Teil 3</t>
  </si>
  <si>
    <t>Lesen – Teil 4</t>
  </si>
  <si>
    <t>Hören – Teil 4</t>
  </si>
  <si>
    <t>Schreiben – Teil 1</t>
  </si>
  <si>
    <t>Schreiben – Teil 2</t>
  </si>
  <si>
    <t>Sprechen – Teil 1</t>
  </si>
  <si>
    <t>Sprechen – Teil 2</t>
  </si>
  <si>
    <t>Test Simulation 3 (Modeltest 2)</t>
  </si>
  <si>
    <t>Grammatikbuch</t>
  </si>
  <si>
    <t>Final Preparation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</si>
</sst>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  <font>
      <sz val="11"/>
      <color rgb="FF9C57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  <xf numFmtId="0" fontId="19" fillId="23" borderId="0" applyNumberFormat="0" applyBorder="0" applyAlignment="0" applyProtection="0"/>
  </cellStyleXfs>
  <cellXfs count="200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6" fontId="0" fillId="0" borderId="49" xfId="0" applyNumberFormat="1" applyBorder="1" applyAlignment="1">
      <alignment horizontal="center" vertical="center"/>
    </xf>
    <xf numFmtId="16" fontId="0" fillId="0" borderId="10" xfId="0" applyNumberForma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16" fontId="0" fillId="0" borderId="42" xfId="0" applyNumberFormat="1" applyBorder="1" applyAlignment="1">
      <alignment horizontal="center" vertical="center"/>
    </xf>
    <xf numFmtId="1" fontId="0" fillId="0" borderId="42" xfId="0" applyNumberFormat="1" applyBorder="1" applyAlignment="1">
      <alignment horizontal="center" vertical="center"/>
    </xf>
    <xf numFmtId="0" fontId="19" fillId="23" borderId="14" xfId="4" applyBorder="1" applyAlignment="1">
      <alignment horizontal="center" vertical="center"/>
    </xf>
    <xf numFmtId="16" fontId="19" fillId="23" borderId="14" xfId="4" applyNumberFormat="1" applyBorder="1" applyAlignment="1">
      <alignment horizontal="center" vertical="center"/>
    </xf>
    <xf numFmtId="1" fontId="19" fillId="23" borderId="14" xfId="4" applyNumberFormat="1" applyBorder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43" xfId="0" applyFont="1" applyFill="1" applyBorder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</cellXfs>
  <cellStyles count="5">
    <cellStyle name="Bad" xfId="3" builtinId="27"/>
    <cellStyle name="Check Cell" xfId="2" builtinId="23"/>
    <cellStyle name="Good" xfId="1" builtinId="26"/>
    <cellStyle name="Neutral" xfId="4" builtinId="28"/>
    <cellStyle name="Normal" xfId="0" builtinId="0"/>
  </cellStyles>
  <dxfs count="114"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Sep 7, 2026 to Sep 13,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Totals'!$C$3:$C$10</c:f>
              <c:strCache>
                <c:ptCount val="8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  <c:pt idx="7">
                  <c:v>Scrolling</c:v>
                </c:pt>
              </c:strCache>
            </c:strRef>
          </c:cat>
          <c:val>
            <c:numRef>
              <c:f>'Logbook Totals'!$L$3:$L$10</c:f>
              <c:numCache>
                <c:formatCode>0.00</c:formatCode>
                <c:ptCount val="8"/>
                <c:pt idx="0">
                  <c:v>2.75</c:v>
                </c:pt>
                <c:pt idx="1">
                  <c:v>5</c:v>
                </c:pt>
                <c:pt idx="2">
                  <c:v>0.66666666666666663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700479</xdr:colOff>
      <xdr:row>2</xdr:row>
      <xdr:rowOff>13644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00479" y="4058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11</xdr:row>
      <xdr:rowOff>20955</xdr:rowOff>
    </xdr:from>
    <xdr:to>
      <xdr:col>13</xdr:col>
      <xdr:colOff>965835</xdr:colOff>
      <xdr:row>30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113" headerRowBorderDxfId="112" tableBorderDxfId="111" totalsRowBorderDxfId="110">
  <autoFilter ref="B4:K7" xr:uid="{A0D32330-27B6-422A-9D1F-1FC5BAE5E4DB}"/>
  <tableColumns count="10">
    <tableColumn id="1" xr3:uid="{19F98066-679F-4EEC-9A8C-22860A587D58}" name="Language" dataDxfId="109"/>
    <tableColumn id="2" xr3:uid="{9BE73F99-3CBD-49DC-86AA-136DA5596E56}" name="Current Level" dataDxfId="108"/>
    <tableColumn id="3" xr3:uid="{D1CA6F26-E592-4F65-8835-ED17E93DB151}" name="Objective" dataDxfId="107"/>
    <tableColumn id="4" xr3:uid="{F859D955-4AE2-43E1-84D7-DDB739CAE75B}" name="Daily Intensity [h]" dataDxfId="106"/>
    <tableColumn id="5" xr3:uid="{D6D3DADB-90B1-49DA-9D0F-69E54089656D}" name="Estimated Time (Best) [months]" dataDxfId="105" dataCellStyle="Good"/>
    <tableColumn id="6" xr3:uid="{7BF26971-99B7-4341-9936-055654ADE3C7}" name="Estimated Time (Expected) [months]" dataDxfId="104" dataCellStyle="Good"/>
    <tableColumn id="7" xr3:uid="{2E85D0AD-3119-4874-89FE-74923BCA0E5B}" name="Actual Average Daily Intensity [h]" dataDxfId="103" dataCellStyle="Good"/>
    <tableColumn id="8" xr3:uid="{2E862DF0-5B48-469F-9CE4-BDBEF11C9796}" name="Actual Weekly Intensity [h]" dataDxfId="102" dataCellStyle="Good"/>
    <tableColumn id="9" xr3:uid="{E007EA51-E3B8-4B5E-B04D-776D525232C7}" name="Termination Date (Best)" dataDxfId="101" dataCellStyle="Good">
      <calculatedColumnFormula>EDATE(Logbook!#REF!,'Detailed Planning'!F5)</calculatedColumnFormula>
    </tableColumn>
    <tableColumn id="10" xr3:uid="{71F0CAF6-D6C3-43DE-A41C-85D4DA3C78E2}" name="Termination Date (Expected)" dataDxfId="100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99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9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96" dataDxfId="95">
  <autoFilter ref="A1:L368" xr:uid="{B8EDE20C-CB7F-4EF3-B4C7-DEE7F6A4F11C}"/>
  <tableColumns count="12">
    <tableColumn id="1" xr3:uid="{AC74041C-0D51-466A-8989-E76B8DEFD438}" name="Date" dataDxfId="94"/>
    <tableColumn id="2" xr3:uid="{0AD3397B-F72F-4A30-A7C9-1258DE821AD0}" name="Day" dataDxfId="93">
      <calculatedColumnFormula>CHOOSE(WEEKDAY(A2,2),"Monday","Tuesday","Wednesday","Thursday","Friday","Saturday","Sunday")</calculatedColumnFormula>
    </tableColumn>
    <tableColumn id="3" xr3:uid="{5962303B-7BAF-451A-AFDE-BEBC012C72A8}" name="Gym Training" dataDxfId="92"/>
    <tableColumn id="4" xr3:uid="{24CAEC62-68E5-4280-AAAB-EE68058C65AC}" name="Deutsch Lernen" dataDxfId="91"/>
    <tableColumn id="5" xr3:uid="{29713649-9C40-4A41-AA9B-38F1D74948C1}" name="Deutsch Flashcards (20 min)" dataDxfId="90"/>
    <tableColumn id="6" xr3:uid="{37486B5C-4C23-43D9-8735-09EB742C21A8}" name="Tasks" dataDxfId="89"/>
    <tableColumn id="7" xr3:uid="{3034ABE1-AAEC-417D-AA07-BA607F90D21A}" name="Career Development" dataDxfId="88"/>
    <tableColumn id="8" xr3:uid="{B60BDB65-58C4-4074-A625-D7DC35E6DEB0}" name="Calisthenics" dataDxfId="87"/>
    <tableColumn id="9" xr3:uid="{E419CAC6-0EDA-4339-9D8B-745FCBCD1397}" name="Kung Fu Training" dataDxfId="86"/>
    <tableColumn id="10" xr3:uid="{CC58E3C5-5764-4B28-A387-5DAB2E7CE225}" name="Guitar Practice" dataDxfId="85"/>
    <tableColumn id="11" xr3:uid="{C6972EC0-9D21-4990-9D11-F65D73DE82EF}" name="No Scrolling" dataDxfId="84"/>
    <tableColumn id="12" xr3:uid="{16D58CC7-4101-4A5E-9AB5-2C4C10C8DB88}" name="No Videogames" dataDxfId="8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10" totalsRowShown="0" headerRowDxfId="82" dataDxfId="81" tableBorderDxfId="80">
  <autoFilter ref="C2:N10" xr:uid="{7362C473-E08F-4975-BA6B-A1DBE7616197}"/>
  <tableColumns count="12">
    <tableColumn id="1" xr3:uid="{F9B0BAAF-006E-476C-B218-FD4598D0501D}" name="Activity" dataDxfId="79"/>
    <tableColumn id="2" xr3:uid="{660ADDE9-88BA-4530-B394-7F5384C7B677}" name="Count" dataDxfId="78"/>
    <tableColumn id="3" xr3:uid="{C0DC861A-3B3F-4C70-9AE6-F67AA6D3D0C6}" name="Monday" dataDxfId="77"/>
    <tableColumn id="4" xr3:uid="{DA5B8548-6DD9-445D-9722-197202CA6AD9}" name="Tuesday" dataDxfId="76"/>
    <tableColumn id="5" xr3:uid="{3722C7D1-49D8-4742-B0CD-BF746C712E01}" name="Wednesday" dataDxfId="75"/>
    <tableColumn id="6" xr3:uid="{2387A70D-C48D-4A82-9C54-7259B7D6C857}" name="Thursday" dataDxfId="74"/>
    <tableColumn id="7" xr3:uid="{FA6FA3AE-EA62-41B3-8671-2919F7110155}" name="Friday" dataDxfId="73"/>
    <tableColumn id="8" xr3:uid="{326131E1-9AFE-4C5F-8C82-58C6BAA02C46}" name="Saturday" dataDxfId="72"/>
    <tableColumn id="9" xr3:uid="{7B473873-766C-48EF-AB58-9EC3902C799C}" name="Sunday" dataDxfId="71"/>
    <tableColumn id="10" xr3:uid="{4E7596FA-D42A-4A12-B855-35E0C1EF8F08}" name="Weekly Hours" dataDxfId="70"/>
    <tableColumn id="11" xr3:uid="{EB378DAD-B8B8-4DD9-B8E2-5A8C60B22432}" name="Week Start" dataDxfId="69">
      <calculatedColumnFormula>TODAY()-WEEKDAY(TODAY(),2)+1</calculatedColumnFormula>
    </tableColumn>
    <tableColumn id="12" xr3:uid="{06B03854-E6C1-4AA5-A148-1ED7A029477F}" name="Week End" dataDxfId="68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67" dataDxfId="66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65"/>
    <tableColumn id="2" xr3:uid="{01AABBA1-86AF-4CDD-8059-B6B90931FA25}" name="Frequency" dataDxfId="64"/>
    <tableColumn id="4" xr3:uid="{7E9972C0-1274-4C43-9D4F-294C74FAC42E}" name="Previous Check" dataDxfId="63"/>
    <tableColumn id="3" xr3:uid="{FF1D2EE6-735A-4AB4-9038-F2B4580252C7}" name="Next Check" dataDxfId="62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2:G26" totalsRowShown="0" headerRowDxfId="61" dataDxfId="60">
  <autoFilter ref="B2:G26" xr:uid="{6D30F8FA-BB4E-4693-A0C5-CD0454701FBA}"/>
  <sortState xmlns:xlrd2="http://schemas.microsoft.com/office/spreadsheetml/2017/richdata2" ref="B3:G25">
    <sortCondition descending="1" ref="F2:F25"/>
  </sortState>
  <tableColumns count="6">
    <tableColumn id="1" xr3:uid="{05477FFA-5BEC-45BA-8CF7-36BEDCF32429}" name="Task" dataDxfId="59"/>
    <tableColumn id="2" xr3:uid="{0BA13A88-2DB2-42F4-9C09-E56CF8590AED}" name="Importance (1-5)" dataDxfId="58"/>
    <tableColumn id="3" xr3:uid="{1A6917C2-468C-48ED-9177-AA8E25AD4AF8}" name="Deadline" dataDxfId="57"/>
    <tableColumn id="4" xr3:uid="{FEAE9DBB-3AC6-424C-9191-E939A3B53451}" name="Progress (1-5)" dataDxfId="56"/>
    <tableColumn id="5" xr3:uid="{999FE4F4-1750-4966-B8AA-6A4C8C62DCC5}" name="Priority" dataDxfId="55">
      <calculatedColumnFormula>C3 + MAX(0, (30-_xlfn.DAYS(D3, TODAY()))) + (10-E3)</calculatedColumnFormula>
    </tableColumn>
    <tableColumn id="6" xr3:uid="{75E8F6A4-CE29-4B38-8EFC-46F951A46AE3}" name="Status Description" dataDxfId="5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49" dataDxfId="48" tableBorderDxfId="47">
  <autoFilter ref="B5:T372" xr:uid="{C1733386-F110-479C-91BD-D01624C166EE}"/>
  <tableColumns count="19">
    <tableColumn id="1" xr3:uid="{41928414-AA25-436C-AAD6-22A01EE0E28C}" name="Date" dataDxfId="46">
      <calculatedColumnFormula>B5+1</calculatedColumnFormula>
    </tableColumn>
    <tableColumn id="2" xr3:uid="{4E6FFDB2-BBDB-43B2-9B0E-996E1538EDD7}" name="Day" dataDxfId="45">
      <calculatedColumnFormula>CHOOSE(WEEKDAY(B6,2),"Monday","Tuesday","Wednesday","Thursday","Friday","Saturday","Sunday")</calculatedColumnFormula>
    </tableColumn>
    <tableColumn id="3" xr3:uid="{9C53ADA4-3AA7-4C7C-A4EC-893CCA42B44A}" name="Subject 1" dataDxfId="44"/>
    <tableColumn id="4" xr3:uid="{7F81F37E-4302-47B2-98F3-A8FFCCC83FBE}" name="Pomodoro Blocks 1" dataDxfId="43"/>
    <tableColumn id="5" xr3:uid="{1EEC1A94-6317-47E5-ABA0-E4296EB62F93}" name="Excedent Time 1 (min)" dataDxfId="42"/>
    <tableColumn id="6" xr3:uid="{133235D3-4023-4EDE-AE36-45FEE50FB1DA}" name="Overall Time 1 (min)" dataDxfId="41">
      <calculatedColumnFormula>E6*25+F6</calculatedColumnFormula>
    </tableColumn>
    <tableColumn id="7" xr3:uid="{9C0BE3F7-F6F1-4A5D-9874-533DB8BCA2C6}" name="Overall Time 1" dataDxfId="40">
      <calculatedColumnFormula>ROUNDDOWN(G6/60, 0)&amp;"h"&amp;ROUNDUP((G6/60-ROUNDDOWN(G6/60, 0))*60,0)</calculatedColumnFormula>
    </tableColumn>
    <tableColumn id="8" xr3:uid="{7C9F0561-DC13-4232-B4ED-B9CB1CC7C643}" name="Subject 2" dataDxfId="39"/>
    <tableColumn id="9" xr3:uid="{F542C03E-286C-4558-AFE1-9BFA959E2955}" name="Pomodoro Blocks 2" dataDxfId="38"/>
    <tableColumn id="10" xr3:uid="{16036902-CB81-45CC-A15E-3EF8281D91E5}" name="Excedent Time 2 (min)" dataDxfId="37"/>
    <tableColumn id="11" xr3:uid="{04E369B2-AA3D-408C-9652-BB8EEDDF8322}" name="Overall Time 2 (min)" dataDxfId="36">
      <calculatedColumnFormula>J6*25+K6</calculatedColumnFormula>
    </tableColumn>
    <tableColumn id="12" xr3:uid="{405B021F-0D68-4328-8AE7-815743A5DD92}" name="Overall Time 2" dataDxfId="35">
      <calculatedColumnFormula>ROUNDDOWN(L6/60, 0)&amp;"h"&amp;ROUNDUP((L6/60-ROUNDDOWN(L6/60, 0))*60,0)</calculatedColumnFormula>
    </tableColumn>
    <tableColumn id="13" xr3:uid="{8703B6E6-D7D8-4876-BBCB-24D9E2989676}" name="Subject 3" dataDxfId="34"/>
    <tableColumn id="14" xr3:uid="{16561968-5E16-46E0-8E87-4D9431C26168}" name="Pomodoro Blocks 3" dataDxfId="33"/>
    <tableColumn id="15" xr3:uid="{A70712B3-3FA6-42E6-A9EE-84AA5E243007}" name="Excedent Time 3 (min)" dataDxfId="32"/>
    <tableColumn id="16" xr3:uid="{C13303DA-307A-4952-BB47-8F8B5D2273B4}" name="Overall Time 3 (min)" dataDxfId="31">
      <calculatedColumnFormula>O6*25+P6</calculatedColumnFormula>
    </tableColumn>
    <tableColumn id="17" xr3:uid="{72CF339A-A5BA-4C00-8717-BB1F06A8F79E}" name="Overall Time 3" dataDxfId="30">
      <calculatedColumnFormula>ROUNDDOWN(Q6/60, 0)&amp;"h"&amp;ROUNDUP((Q6/60-ROUNDDOWN(Q6/60, 0))*60,0)</calculatedColumnFormula>
    </tableColumn>
    <tableColumn id="18" xr3:uid="{DD71BA26-8370-4383-8FA7-7BFEF06508AE}" name="Global Time (min)" dataDxfId="29">
      <calculatedColumnFormula>G6+L6+Q6</calculatedColumnFormula>
    </tableColumn>
    <tableColumn id="19" xr3:uid="{1D56DAB2-9ACF-47FE-B3A0-73AF0F0285CB}" name="Global Time" dataDxfId="28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23" dataDxfId="21" headerRowBorderDxfId="22" tableBorderDxfId="20" totalsRowBorderDxfId="19">
  <autoFilter ref="C4:G57" xr:uid="{76A67491-F779-41C3-BCF7-1F55E2C88DAF}"/>
  <tableColumns count="5">
    <tableColumn id="1" xr3:uid="{1F3C6D5E-3795-43E1-BE20-E8220F65D680}" name="Week Range" dataDxfId="18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17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16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15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14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13" headerRowBorderDxfId="12" tableBorderDxfId="11" totalsRowBorderDxfId="10">
  <autoFilter ref="B3:D7" xr:uid="{6A82D3A0-C9C6-4CC5-93AF-387804D1534E}"/>
  <tableColumns count="3">
    <tableColumn id="2" xr3:uid="{C82188A7-91BB-4892-990F-80EEDD116086}" name="Duration [min]" dataDxfId="9"/>
    <tableColumn id="3" xr3:uid="{257FEA3E-E906-47EB-888B-4DEEEF6D8878}" name="Block" dataDxfId="8"/>
    <tableColumn id="4" xr3:uid="{527EA0BB-9801-4FAC-8F42-CA26BDEE1F3B}" name="Description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6" headerRowBorderDxfId="5" tableBorderDxfId="4" totalsRowBorderDxfId="3">
  <autoFilter ref="F3:H5" xr:uid="{8364237B-DD86-44AF-942F-8B66E19DA637}"/>
  <tableColumns count="3">
    <tableColumn id="1" xr3:uid="{62BF850A-C29F-410C-A5B4-15F22457F59F}" name="Duration [min]" dataDxfId="2"/>
    <tableColumn id="2" xr3:uid="{3C68A4B7-0799-4829-93E5-5A00844CC609}" name="Block" dataDxfId="1"/>
    <tableColumn id="3" xr3:uid="{B46AE227-4594-4C8D-9283-576CF7CBEDA5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dimension ref="A1:J22"/>
  <sheetViews>
    <sheetView workbookViewId="0">
      <selection sqref="A1:J1"/>
    </sheetView>
  </sheetViews>
  <sheetFormatPr defaultRowHeight="14.4" x14ac:dyDescent="0.3"/>
  <cols>
    <col min="1" max="1" width="4.44140625" customWidth="1"/>
    <col min="2" max="5" width="13.33203125" customWidth="1"/>
    <col min="6" max="6" width="4.44140625" customWidth="1"/>
    <col min="7" max="10" width="13.33203125" customWidth="1"/>
  </cols>
  <sheetData>
    <row r="1" spans="1:10" ht="31.95" customHeight="1" x14ac:dyDescent="0.3">
      <c r="A1" s="183" t="s">
        <v>251</v>
      </c>
      <c r="B1" s="183"/>
      <c r="C1" s="183"/>
      <c r="D1" s="183"/>
      <c r="E1" s="183"/>
      <c r="F1" s="183"/>
      <c r="G1" s="183"/>
      <c r="H1" s="183"/>
      <c r="I1" s="183"/>
      <c r="J1" s="183"/>
    </row>
    <row r="2" spans="1:10" ht="22.2" customHeight="1" x14ac:dyDescent="0.3">
      <c r="A2" s="184" t="s">
        <v>252</v>
      </c>
      <c r="B2" s="184"/>
      <c r="C2" s="184"/>
      <c r="D2" s="184"/>
      <c r="E2" s="184"/>
      <c r="F2" s="184"/>
      <c r="G2" s="184"/>
      <c r="H2" s="184"/>
      <c r="I2" s="184"/>
      <c r="J2" s="184"/>
    </row>
    <row r="4" spans="1:10" ht="24" customHeight="1" x14ac:dyDescent="0.3">
      <c r="A4" s="185" t="s">
        <v>253</v>
      </c>
      <c r="B4" s="185"/>
      <c r="C4" s="185"/>
      <c r="D4" s="185"/>
      <c r="E4" s="185"/>
      <c r="F4" s="185"/>
      <c r="G4" s="185"/>
      <c r="H4" s="185"/>
      <c r="I4" s="185"/>
      <c r="J4" s="185"/>
    </row>
    <row r="5" spans="1:10" ht="22.2" customHeight="1" x14ac:dyDescent="0.3"/>
    <row r="6" spans="1:10" ht="22.2" customHeight="1" x14ac:dyDescent="0.3"/>
    <row r="7" spans="1:10" ht="22.2" customHeight="1" x14ac:dyDescent="0.3"/>
    <row r="8" spans="1:10" ht="12" customHeight="1" x14ac:dyDescent="0.3"/>
    <row r="9" spans="1:10" ht="22.2" customHeight="1" x14ac:dyDescent="0.3"/>
    <row r="10" spans="1:10" ht="22.2" customHeight="1" x14ac:dyDescent="0.3"/>
    <row r="11" spans="1:10" ht="22.2" customHeight="1" x14ac:dyDescent="0.3"/>
    <row r="12" spans="1:10" ht="12" customHeight="1" x14ac:dyDescent="0.3"/>
    <row r="13" spans="1:10" ht="22.2" customHeight="1" x14ac:dyDescent="0.3"/>
    <row r="14" spans="1:10" ht="22.2" customHeight="1" x14ac:dyDescent="0.3"/>
    <row r="15" spans="1:10" ht="22.2" customHeight="1" x14ac:dyDescent="0.3"/>
    <row r="16" spans="1:10" ht="12" customHeight="1" x14ac:dyDescent="0.3"/>
    <row r="17" spans="1:10" ht="22.2" customHeight="1" x14ac:dyDescent="0.3"/>
    <row r="18" spans="1:10" ht="22.2" customHeight="1" x14ac:dyDescent="0.3"/>
    <row r="19" spans="1:10" ht="22.2" customHeight="1" x14ac:dyDescent="0.3"/>
    <row r="20" spans="1:10" ht="12" customHeight="1" x14ac:dyDescent="0.3"/>
    <row r="21" spans="1:10" ht="21" customHeight="1" x14ac:dyDescent="0.3">
      <c r="A21" s="186"/>
      <c r="B21" s="186"/>
      <c r="C21" s="186"/>
      <c r="D21" s="186"/>
      <c r="E21" s="186"/>
      <c r="F21" s="186"/>
      <c r="G21" s="186"/>
      <c r="H21" s="186"/>
      <c r="I21" s="186"/>
      <c r="J21" s="186"/>
    </row>
    <row r="22" spans="1:10" ht="21" customHeight="1" x14ac:dyDescent="0.3">
      <c r="A22" s="186"/>
      <c r="B22" s="186"/>
      <c r="C22" s="186"/>
      <c r="D22" s="186"/>
      <c r="E22" s="186"/>
      <c r="F22" s="186"/>
      <c r="G22" s="186"/>
      <c r="H22" s="186"/>
      <c r="I22" s="186"/>
      <c r="J22" s="186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1" spans="2:12" ht="15" thickBot="1" x14ac:dyDescent="0.35"/>
    <row r="2" spans="2:12" ht="29.4" thickBot="1" x14ac:dyDescent="0.35">
      <c r="B2" s="187" t="s">
        <v>64</v>
      </c>
      <c r="C2" s="188"/>
      <c r="D2" s="188"/>
      <c r="E2" s="188"/>
      <c r="F2" s="188"/>
      <c r="G2" s="188"/>
      <c r="H2" s="188"/>
      <c r="I2" s="188"/>
      <c r="J2" s="188"/>
      <c r="K2" s="188"/>
      <c r="L2" s="189"/>
    </row>
    <row r="3" spans="2:12" x14ac:dyDescent="0.3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3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3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3">
      <c r="B6" s="24"/>
      <c r="C6" s="155"/>
      <c r="D6" s="160" t="s">
        <v>4</v>
      </c>
      <c r="E6" s="155"/>
      <c r="F6" s="155"/>
      <c r="G6" s="160" t="s">
        <v>58</v>
      </c>
      <c r="H6" s="155"/>
      <c r="I6" s="155"/>
      <c r="J6" s="160" t="s">
        <v>5</v>
      </c>
      <c r="K6" s="155"/>
      <c r="L6" s="25"/>
    </row>
    <row r="7" spans="2:12" x14ac:dyDescent="0.3">
      <c r="B7" s="24"/>
      <c r="C7" s="155"/>
      <c r="D7" s="155" t="s">
        <v>39</v>
      </c>
      <c r="E7" s="155"/>
      <c r="F7" s="155"/>
      <c r="G7" s="155" t="s">
        <v>55</v>
      </c>
      <c r="H7" s="155"/>
      <c r="I7" s="155"/>
      <c r="J7" s="155" t="s">
        <v>195</v>
      </c>
      <c r="K7" s="155"/>
      <c r="L7" s="25"/>
    </row>
    <row r="8" spans="2:12" x14ac:dyDescent="0.3">
      <c r="B8" s="24"/>
      <c r="C8" s="155"/>
      <c r="D8" s="155" t="s">
        <v>40</v>
      </c>
      <c r="E8" s="155"/>
      <c r="F8" s="155"/>
      <c r="G8" s="155" t="s">
        <v>56</v>
      </c>
      <c r="H8" s="155"/>
      <c r="I8" s="155"/>
      <c r="J8" s="155"/>
      <c r="K8" s="155"/>
      <c r="L8" s="25"/>
    </row>
    <row r="9" spans="2:12" x14ac:dyDescent="0.3">
      <c r="B9" s="24"/>
      <c r="C9" s="155"/>
      <c r="D9" s="155" t="s">
        <v>41</v>
      </c>
      <c r="E9" s="155"/>
      <c r="F9" s="155"/>
      <c r="G9" s="155" t="s">
        <v>57</v>
      </c>
      <c r="H9" s="155"/>
      <c r="I9" s="155"/>
      <c r="J9" s="155"/>
      <c r="K9" s="155"/>
      <c r="L9" s="25"/>
    </row>
    <row r="10" spans="2:12" x14ac:dyDescent="0.3">
      <c r="B10" s="24"/>
      <c r="C10" s="155"/>
      <c r="D10" s="155"/>
      <c r="E10" s="155"/>
      <c r="F10" s="155"/>
      <c r="G10" s="155" t="s">
        <v>59</v>
      </c>
      <c r="H10" s="155"/>
      <c r="I10" s="155"/>
      <c r="J10" s="155"/>
      <c r="K10" s="155"/>
      <c r="L10" s="25"/>
    </row>
    <row r="11" spans="2:12" x14ac:dyDescent="0.3">
      <c r="B11" s="24"/>
      <c r="C11" s="155"/>
      <c r="D11" s="155"/>
      <c r="E11" s="155"/>
      <c r="F11" s="155"/>
      <c r="G11" s="155" t="s">
        <v>60</v>
      </c>
      <c r="H11" s="155"/>
      <c r="I11" s="155"/>
      <c r="J11" s="155"/>
      <c r="K11" s="155"/>
      <c r="L11" s="25"/>
    </row>
    <row r="12" spans="2:12" x14ac:dyDescent="0.3">
      <c r="B12" s="24"/>
      <c r="C12" s="155"/>
      <c r="D12" s="155"/>
      <c r="E12" s="155"/>
      <c r="F12" s="155"/>
      <c r="G12" s="155" t="s">
        <v>61</v>
      </c>
      <c r="H12" s="155"/>
      <c r="I12" s="155"/>
      <c r="J12" s="155"/>
      <c r="K12" s="155"/>
      <c r="L12" s="25"/>
    </row>
    <row r="13" spans="2:12" x14ac:dyDescent="0.3">
      <c r="B13" s="24"/>
      <c r="C13" s="155"/>
      <c r="D13" s="155"/>
      <c r="E13" s="155"/>
      <c r="F13" s="155"/>
      <c r="G13" s="155" t="s">
        <v>62</v>
      </c>
      <c r="H13" s="155"/>
      <c r="I13" s="155"/>
      <c r="J13" s="155"/>
      <c r="K13" s="155"/>
      <c r="L13" s="25"/>
    </row>
    <row r="14" spans="2:12" x14ac:dyDescent="0.3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3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3">
      <c r="B16" s="24"/>
      <c r="C16" s="155"/>
      <c r="D16" s="161" t="s">
        <v>7</v>
      </c>
      <c r="E16" s="155"/>
      <c r="F16" s="155"/>
      <c r="G16" s="160" t="s">
        <v>43</v>
      </c>
      <c r="H16" s="155"/>
      <c r="I16" s="155"/>
      <c r="J16" s="162" t="s">
        <v>44</v>
      </c>
      <c r="K16" s="155"/>
      <c r="L16" s="25"/>
    </row>
    <row r="17" spans="2:12" x14ac:dyDescent="0.3">
      <c r="B17" s="24"/>
      <c r="C17" s="155"/>
      <c r="D17" s="156" t="s">
        <v>42</v>
      </c>
      <c r="E17" s="155"/>
      <c r="F17" s="155"/>
      <c r="G17" s="155" t="s">
        <v>45</v>
      </c>
      <c r="H17" s="155"/>
      <c r="I17" s="155"/>
      <c r="J17" s="155" t="s">
        <v>46</v>
      </c>
      <c r="K17" s="155"/>
      <c r="L17" s="25"/>
    </row>
    <row r="18" spans="2:12" x14ac:dyDescent="0.3">
      <c r="B18" s="24"/>
      <c r="C18" s="155"/>
      <c r="D18" s="155"/>
      <c r="E18" s="155"/>
      <c r="F18" s="155"/>
      <c r="G18" s="155" t="s">
        <v>49</v>
      </c>
      <c r="H18" s="155"/>
      <c r="I18" s="155"/>
      <c r="J18" s="155" t="s">
        <v>47</v>
      </c>
      <c r="K18" s="155"/>
      <c r="L18" s="25"/>
    </row>
    <row r="19" spans="2:12" x14ac:dyDescent="0.3">
      <c r="B19" s="24"/>
      <c r="C19" s="155"/>
      <c r="D19" s="155"/>
      <c r="E19" s="155"/>
      <c r="F19" s="155"/>
      <c r="G19" s="155" t="s">
        <v>50</v>
      </c>
      <c r="H19" s="155"/>
      <c r="I19" s="155"/>
      <c r="J19" s="155" t="s">
        <v>48</v>
      </c>
      <c r="K19" s="155"/>
      <c r="L19" s="25"/>
    </row>
    <row r="20" spans="2:12" x14ac:dyDescent="0.3">
      <c r="B20" s="24"/>
      <c r="C20" s="155"/>
      <c r="D20" s="155"/>
      <c r="E20" s="155"/>
      <c r="F20" s="155"/>
      <c r="G20" s="155" t="s">
        <v>51</v>
      </c>
      <c r="H20" s="155"/>
      <c r="I20" s="155"/>
      <c r="J20" s="155" t="s">
        <v>63</v>
      </c>
      <c r="K20" s="155"/>
      <c r="L20" s="25"/>
    </row>
    <row r="21" spans="2:12" x14ac:dyDescent="0.3">
      <c r="B21" s="24"/>
      <c r="C21" s="155"/>
      <c r="D21" s="155"/>
      <c r="E21" s="155"/>
      <c r="F21" s="155"/>
      <c r="G21" s="155" t="s">
        <v>52</v>
      </c>
      <c r="H21" s="155"/>
      <c r="I21" s="155"/>
      <c r="J21" s="155"/>
      <c r="K21" s="155"/>
      <c r="L21" s="25"/>
    </row>
    <row r="22" spans="2:12" x14ac:dyDescent="0.3">
      <c r="B22" s="24"/>
      <c r="C22" s="155"/>
      <c r="D22" s="155"/>
      <c r="E22" s="155"/>
      <c r="F22" s="155"/>
      <c r="G22" s="155" t="s">
        <v>53</v>
      </c>
      <c r="H22" s="155"/>
      <c r="I22" s="155"/>
      <c r="J22" s="155"/>
      <c r="K22" s="155"/>
      <c r="L22" s="25"/>
    </row>
    <row r="23" spans="2:12" x14ac:dyDescent="0.3">
      <c r="B23" s="24"/>
      <c r="C23" s="155"/>
      <c r="D23" s="155"/>
      <c r="E23" s="155"/>
      <c r="F23" s="155"/>
      <c r="G23" s="155" t="s">
        <v>54</v>
      </c>
      <c r="H23" s="155"/>
      <c r="I23" s="155"/>
      <c r="J23" s="155"/>
      <c r="K23" s="155"/>
      <c r="L23" s="25"/>
    </row>
    <row r="24" spans="2:12" ht="15" thickBot="1" x14ac:dyDescent="0.35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85"/>
  <sheetViews>
    <sheetView zoomScale="114" workbookViewId="0">
      <pane ySplit="1" topLeftCell="A23" activePane="bottomLeft" state="frozen"/>
      <selection pane="bottomLeft"/>
    </sheetView>
  </sheetViews>
  <sheetFormatPr defaultColWidth="11.5546875" defaultRowHeight="14.4" x14ac:dyDescent="0.3"/>
  <cols>
    <col min="2" max="2" width="28.21875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77" t="s">
        <v>28</v>
      </c>
      <c r="C4" s="78" t="s">
        <v>34</v>
      </c>
      <c r="D4" s="79" t="s">
        <v>29</v>
      </c>
      <c r="E4" s="79" t="s">
        <v>170</v>
      </c>
      <c r="F4" s="79" t="s">
        <v>30</v>
      </c>
      <c r="G4" s="79" t="s">
        <v>31</v>
      </c>
      <c r="H4" s="79" t="s">
        <v>171</v>
      </c>
      <c r="I4" s="79" t="s">
        <v>172</v>
      </c>
      <c r="J4" s="79" t="s">
        <v>32</v>
      </c>
      <c r="K4" s="79" t="s">
        <v>33</v>
      </c>
    </row>
    <row r="5" spans="2:11" x14ac:dyDescent="0.3">
      <c r="B5" s="18" t="s">
        <v>0</v>
      </c>
      <c r="C5" s="17" t="s">
        <v>35</v>
      </c>
      <c r="D5" s="17" t="s">
        <v>36</v>
      </c>
      <c r="E5" s="74">
        <v>3</v>
      </c>
      <c r="F5">
        <v>4.5</v>
      </c>
      <c r="G5">
        <v>7.5</v>
      </c>
      <c r="H5" s="76">
        <f>Schedule!J25/7</f>
        <v>2.9285714285714284</v>
      </c>
      <c r="I5">
        <f>Schedule!J25</f>
        <v>20.5</v>
      </c>
      <c r="K5" s="19"/>
    </row>
    <row r="6" spans="2:11" x14ac:dyDescent="0.3">
      <c r="B6" s="70" t="s">
        <v>1</v>
      </c>
      <c r="C6" s="69" t="s">
        <v>37</v>
      </c>
      <c r="D6" s="69" t="s">
        <v>38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3">
      <c r="B7" s="20" t="s">
        <v>81</v>
      </c>
      <c r="C7" s="21" t="s">
        <v>82</v>
      </c>
      <c r="D7" s="21" t="s">
        <v>86</v>
      </c>
      <c r="E7" s="21">
        <v>2</v>
      </c>
      <c r="F7">
        <v>2.5</v>
      </c>
      <c r="G7">
        <v>3.5</v>
      </c>
      <c r="H7" s="22">
        <f>Schedule!$J$31/7</f>
        <v>0.9285714285714286</v>
      </c>
      <c r="I7">
        <f>Schedule!$J$31</f>
        <v>6.5</v>
      </c>
      <c r="K7" s="23"/>
    </row>
    <row r="10" spans="2:11" ht="18" x14ac:dyDescent="0.3">
      <c r="B10" s="84" t="s">
        <v>176</v>
      </c>
      <c r="C10" s="84" t="s">
        <v>177</v>
      </c>
      <c r="D10" s="84" t="s">
        <v>178</v>
      </c>
      <c r="E10" s="84" t="s">
        <v>179</v>
      </c>
      <c r="G10" s="192" t="s">
        <v>157</v>
      </c>
      <c r="H10" s="192"/>
      <c r="I10" s="192"/>
    </row>
    <row r="11" spans="2:11" ht="15.6" x14ac:dyDescent="0.3">
      <c r="B11" s="190" t="s">
        <v>69</v>
      </c>
      <c r="C11" s="191"/>
      <c r="D11" s="191"/>
      <c r="E11" s="191"/>
      <c r="G11" s="68" t="s">
        <v>87</v>
      </c>
      <c r="H11" s="68" t="s">
        <v>160</v>
      </c>
      <c r="I11" s="68" t="s">
        <v>161</v>
      </c>
      <c r="J11" s="30"/>
      <c r="K11" s="30"/>
    </row>
    <row r="12" spans="2:11" x14ac:dyDescent="0.3">
      <c r="B12" s="96" t="s">
        <v>70</v>
      </c>
      <c r="C12" s="85">
        <v>46024</v>
      </c>
      <c r="D12" s="85">
        <v>46029</v>
      </c>
      <c r="E12" s="91">
        <f>_xlfn.DAYS(D12, C12)+1</f>
        <v>6</v>
      </c>
      <c r="G12" t="s">
        <v>159</v>
      </c>
      <c r="H12" t="s">
        <v>162</v>
      </c>
      <c r="I12" s="67"/>
      <c r="J12" s="30"/>
      <c r="K12" s="30"/>
    </row>
    <row r="13" spans="2:11" x14ac:dyDescent="0.3">
      <c r="B13" s="96" t="s">
        <v>66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80</v>
      </c>
      <c r="H13" t="s">
        <v>158</v>
      </c>
      <c r="I13" s="67"/>
      <c r="J13" s="30"/>
      <c r="K13" s="30"/>
    </row>
    <row r="14" spans="2:11" x14ac:dyDescent="0.3">
      <c r="B14" s="97" t="s">
        <v>67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3">
      <c r="B15" s="97" t="s">
        <v>68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3">
      <c r="B16" s="190" t="s">
        <v>79</v>
      </c>
      <c r="C16" s="191"/>
      <c r="D16" s="191"/>
      <c r="E16" s="191"/>
      <c r="F16" s="30"/>
      <c r="G16" s="30"/>
      <c r="H16" s="30"/>
      <c r="I16" s="30"/>
      <c r="J16" s="30"/>
      <c r="K16" s="30"/>
    </row>
    <row r="17" spans="2:5" x14ac:dyDescent="0.3">
      <c r="B17" s="57" t="s">
        <v>65</v>
      </c>
      <c r="C17" s="86" t="s">
        <v>84</v>
      </c>
      <c r="D17" s="86" t="s">
        <v>84</v>
      </c>
      <c r="E17" s="87" t="e">
        <f t="shared" ref="E17:E20" si="1">_xlfn.DAYS(D17, C17)</f>
        <v>#VALUE!</v>
      </c>
    </row>
    <row r="18" spans="2:5" x14ac:dyDescent="0.3">
      <c r="B18" s="57" t="s">
        <v>66</v>
      </c>
      <c r="C18" s="86" t="s">
        <v>84</v>
      </c>
      <c r="D18" s="86" t="s">
        <v>84</v>
      </c>
      <c r="E18" s="87" t="e">
        <f t="shared" si="1"/>
        <v>#VALUE!</v>
      </c>
    </row>
    <row r="19" spans="2:5" x14ac:dyDescent="0.3">
      <c r="B19" s="57" t="s">
        <v>67</v>
      </c>
      <c r="C19" s="86" t="s">
        <v>84</v>
      </c>
      <c r="D19" s="86" t="s">
        <v>84</v>
      </c>
      <c r="E19" s="87" t="e">
        <f t="shared" si="1"/>
        <v>#VALUE!</v>
      </c>
    </row>
    <row r="20" spans="2:5" x14ac:dyDescent="0.3">
      <c r="B20" s="57" t="s">
        <v>68</v>
      </c>
      <c r="C20" s="86" t="s">
        <v>84</v>
      </c>
      <c r="D20" s="86" t="s">
        <v>84</v>
      </c>
      <c r="E20" s="87" t="e">
        <f t="shared" si="1"/>
        <v>#VALUE!</v>
      </c>
    </row>
    <row r="21" spans="2:5" x14ac:dyDescent="0.3">
      <c r="B21" s="190" t="s">
        <v>180</v>
      </c>
      <c r="C21" s="191"/>
      <c r="D21" s="191"/>
      <c r="E21" s="191"/>
    </row>
    <row r="22" spans="2:5" x14ac:dyDescent="0.3">
      <c r="B22" s="96" t="s">
        <v>71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3">
      <c r="B23" s="96" t="s">
        <v>72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3">
      <c r="B24" s="96" t="s">
        <v>73</v>
      </c>
      <c r="C24" s="85">
        <v>46081</v>
      </c>
      <c r="D24" s="85">
        <v>46094</v>
      </c>
      <c r="E24" s="91">
        <f t="shared" si="2"/>
        <v>14</v>
      </c>
    </row>
    <row r="25" spans="2:5" x14ac:dyDescent="0.3">
      <c r="B25" s="190" t="s">
        <v>198</v>
      </c>
      <c r="C25" s="191"/>
      <c r="D25" s="191"/>
      <c r="E25" s="191"/>
    </row>
    <row r="26" spans="2:5" ht="15" thickBot="1" x14ac:dyDescent="0.35">
      <c r="B26" s="120" t="s">
        <v>71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3">
      <c r="B27" s="108" t="s">
        <v>181</v>
      </c>
      <c r="C27" s="109">
        <v>46114</v>
      </c>
      <c r="D27" s="109">
        <v>46120</v>
      </c>
      <c r="E27" s="115">
        <f t="shared" ref="E27:E69" si="3">_xlfn.DAYS(D27, C27)+1</f>
        <v>7</v>
      </c>
    </row>
    <row r="28" spans="2:5" x14ac:dyDescent="0.3">
      <c r="B28" s="96" t="s">
        <v>182</v>
      </c>
      <c r="C28" s="85">
        <v>46121</v>
      </c>
      <c r="D28" s="85">
        <v>46127</v>
      </c>
      <c r="E28" s="91">
        <f t="shared" si="3"/>
        <v>7</v>
      </c>
    </row>
    <row r="29" spans="2:5" x14ac:dyDescent="0.3">
      <c r="B29" s="96" t="s">
        <v>183</v>
      </c>
      <c r="C29" s="85">
        <v>46128</v>
      </c>
      <c r="D29" s="85">
        <v>46134</v>
      </c>
      <c r="E29" s="91">
        <f t="shared" si="3"/>
        <v>7</v>
      </c>
    </row>
    <row r="30" spans="2:5" x14ac:dyDescent="0.3">
      <c r="B30" s="96" t="s">
        <v>184</v>
      </c>
      <c r="C30" s="85">
        <v>46135</v>
      </c>
      <c r="D30" s="85">
        <v>46141</v>
      </c>
      <c r="E30" s="91">
        <f t="shared" si="3"/>
        <v>7</v>
      </c>
    </row>
    <row r="31" spans="2:5" x14ac:dyDescent="0.3">
      <c r="B31" s="96" t="s">
        <v>185</v>
      </c>
      <c r="C31" s="85">
        <v>46142</v>
      </c>
      <c r="D31" s="85">
        <v>46148</v>
      </c>
      <c r="E31" s="91">
        <f t="shared" si="3"/>
        <v>7</v>
      </c>
    </row>
    <row r="32" spans="2:5" x14ac:dyDescent="0.3">
      <c r="B32" s="96" t="s">
        <v>186</v>
      </c>
      <c r="C32" s="85">
        <v>46149</v>
      </c>
      <c r="D32" s="85">
        <v>46155</v>
      </c>
      <c r="E32" s="91">
        <f t="shared" si="3"/>
        <v>7</v>
      </c>
    </row>
    <row r="33" spans="2:5" x14ac:dyDescent="0.3">
      <c r="B33" s="96" t="s">
        <v>187</v>
      </c>
      <c r="C33" s="85">
        <v>46156</v>
      </c>
      <c r="D33" s="85">
        <v>46162</v>
      </c>
      <c r="E33" s="91">
        <f t="shared" si="3"/>
        <v>7</v>
      </c>
    </row>
    <row r="34" spans="2:5" ht="15" thickBot="1" x14ac:dyDescent="0.35">
      <c r="B34" s="112" t="s">
        <v>188</v>
      </c>
      <c r="C34" s="113">
        <v>46163</v>
      </c>
      <c r="D34" s="113">
        <v>46169</v>
      </c>
      <c r="E34" s="114">
        <f t="shared" si="3"/>
        <v>7</v>
      </c>
    </row>
    <row r="35" spans="2:5" ht="15" thickBot="1" x14ac:dyDescent="0.35">
      <c r="B35" s="117" t="s">
        <v>191</v>
      </c>
      <c r="C35" s="118">
        <v>46114</v>
      </c>
      <c r="D35" s="118">
        <v>46163</v>
      </c>
      <c r="E35" s="119">
        <f t="shared" si="3"/>
        <v>50</v>
      </c>
    </row>
    <row r="36" spans="2:5" x14ac:dyDescent="0.3">
      <c r="B36" s="108" t="s">
        <v>181</v>
      </c>
      <c r="C36" s="109">
        <v>46114</v>
      </c>
      <c r="D36" s="109">
        <v>46123</v>
      </c>
      <c r="E36" s="116">
        <f t="shared" si="3"/>
        <v>10</v>
      </c>
    </row>
    <row r="37" spans="2:5" x14ac:dyDescent="0.3">
      <c r="B37" s="108" t="s">
        <v>182</v>
      </c>
      <c r="C37" s="109">
        <v>46124</v>
      </c>
      <c r="D37" s="109">
        <v>46133</v>
      </c>
      <c r="E37" s="110">
        <f t="shared" si="3"/>
        <v>10</v>
      </c>
    </row>
    <row r="38" spans="2:5" x14ac:dyDescent="0.3">
      <c r="B38" s="108" t="s">
        <v>183</v>
      </c>
      <c r="C38" s="109">
        <v>46134</v>
      </c>
      <c r="D38" s="109">
        <v>46143</v>
      </c>
      <c r="E38" s="110">
        <f t="shared" si="3"/>
        <v>10</v>
      </c>
    </row>
    <row r="39" spans="2:5" x14ac:dyDescent="0.3">
      <c r="B39" s="108" t="s">
        <v>184</v>
      </c>
      <c r="C39" s="109">
        <v>46144</v>
      </c>
      <c r="D39" s="109">
        <v>46153</v>
      </c>
      <c r="E39" s="110">
        <f t="shared" si="3"/>
        <v>10</v>
      </c>
    </row>
    <row r="40" spans="2:5" ht="15" thickBot="1" x14ac:dyDescent="0.35">
      <c r="B40" s="112" t="s">
        <v>185</v>
      </c>
      <c r="C40" s="113">
        <v>46154</v>
      </c>
      <c r="D40" s="113">
        <v>46163</v>
      </c>
      <c r="E40" s="114">
        <f t="shared" si="3"/>
        <v>10</v>
      </c>
    </row>
    <row r="41" spans="2:5" ht="15" thickBot="1" x14ac:dyDescent="0.35">
      <c r="B41" s="180" t="s">
        <v>300</v>
      </c>
      <c r="C41" s="181">
        <v>46272</v>
      </c>
      <c r="D41" s="181">
        <v>46275</v>
      </c>
      <c r="E41" s="182">
        <f t="shared" si="3"/>
        <v>4</v>
      </c>
    </row>
    <row r="42" spans="2:5" ht="15" thickBot="1" x14ac:dyDescent="0.35">
      <c r="B42" s="172" t="s">
        <v>303</v>
      </c>
      <c r="C42" s="171">
        <v>46276</v>
      </c>
      <c r="D42" s="171">
        <v>46303</v>
      </c>
      <c r="E42" s="173">
        <f t="shared" si="3"/>
        <v>28</v>
      </c>
    </row>
    <row r="43" spans="2:5" x14ac:dyDescent="0.3">
      <c r="B43" s="99" t="s">
        <v>304</v>
      </c>
      <c r="C43" s="100">
        <v>46276</v>
      </c>
      <c r="D43" s="100">
        <v>46278</v>
      </c>
      <c r="E43" s="101">
        <f t="shared" si="3"/>
        <v>3</v>
      </c>
    </row>
    <row r="44" spans="2:5" x14ac:dyDescent="0.3">
      <c r="B44" s="99" t="s">
        <v>306</v>
      </c>
      <c r="C44" s="100">
        <v>46279</v>
      </c>
      <c r="D44" s="100">
        <v>46281</v>
      </c>
      <c r="E44" s="101">
        <f t="shared" si="3"/>
        <v>3</v>
      </c>
    </row>
    <row r="45" spans="2:5" x14ac:dyDescent="0.3">
      <c r="B45" s="99" t="s">
        <v>305</v>
      </c>
      <c r="C45" s="100">
        <v>46282</v>
      </c>
      <c r="D45" s="100">
        <v>46284</v>
      </c>
      <c r="E45" s="101">
        <f t="shared" si="3"/>
        <v>3</v>
      </c>
    </row>
    <row r="46" spans="2:5" x14ac:dyDescent="0.3">
      <c r="B46" s="99" t="s">
        <v>307</v>
      </c>
      <c r="C46" s="100">
        <v>46285</v>
      </c>
      <c r="D46" s="100">
        <v>46287</v>
      </c>
      <c r="E46" s="101">
        <f t="shared" si="3"/>
        <v>3</v>
      </c>
    </row>
    <row r="47" spans="2:5" x14ac:dyDescent="0.3">
      <c r="B47" s="99" t="s">
        <v>308</v>
      </c>
      <c r="C47" s="100">
        <v>46288</v>
      </c>
      <c r="D47" s="100">
        <v>46290</v>
      </c>
      <c r="E47" s="101">
        <f t="shared" si="3"/>
        <v>3</v>
      </c>
    </row>
    <row r="48" spans="2:5" x14ac:dyDescent="0.3">
      <c r="B48" s="99" t="s">
        <v>309</v>
      </c>
      <c r="C48" s="100">
        <v>46291</v>
      </c>
      <c r="D48" s="100">
        <v>46293</v>
      </c>
      <c r="E48" s="101">
        <f t="shared" si="3"/>
        <v>3</v>
      </c>
    </row>
    <row r="49" spans="2:5" x14ac:dyDescent="0.3">
      <c r="B49" s="99" t="s">
        <v>310</v>
      </c>
      <c r="C49" s="100">
        <v>46294</v>
      </c>
      <c r="D49" s="100">
        <v>46296</v>
      </c>
      <c r="E49" s="101">
        <f t="shared" si="3"/>
        <v>3</v>
      </c>
    </row>
    <row r="50" spans="2:5" x14ac:dyDescent="0.3">
      <c r="B50" s="99" t="s">
        <v>311</v>
      </c>
      <c r="C50" s="100">
        <v>46296</v>
      </c>
      <c r="D50" s="100">
        <v>46298</v>
      </c>
      <c r="E50" s="101">
        <f t="shared" si="3"/>
        <v>3</v>
      </c>
    </row>
    <row r="51" spans="2:5" x14ac:dyDescent="0.3">
      <c r="B51" s="99" t="s">
        <v>312</v>
      </c>
      <c r="C51" s="100">
        <v>46276</v>
      </c>
      <c r="D51" s="100">
        <v>46282</v>
      </c>
      <c r="E51" s="101">
        <f t="shared" si="3"/>
        <v>7</v>
      </c>
    </row>
    <row r="52" spans="2:5" x14ac:dyDescent="0.3">
      <c r="B52" s="99" t="s">
        <v>314</v>
      </c>
      <c r="C52" s="100">
        <v>46283</v>
      </c>
      <c r="D52" s="100">
        <v>46289</v>
      </c>
      <c r="E52" s="101">
        <f t="shared" si="3"/>
        <v>7</v>
      </c>
    </row>
    <row r="53" spans="2:5" x14ac:dyDescent="0.3">
      <c r="B53" s="99" t="s">
        <v>313</v>
      </c>
      <c r="C53" s="100">
        <v>46290</v>
      </c>
      <c r="D53" s="100">
        <v>46296</v>
      </c>
      <c r="E53" s="101">
        <f t="shared" si="3"/>
        <v>7</v>
      </c>
    </row>
    <row r="54" spans="2:5" ht="15" thickBot="1" x14ac:dyDescent="0.35">
      <c r="B54" s="102" t="s">
        <v>315</v>
      </c>
      <c r="C54" s="103">
        <v>46297</v>
      </c>
      <c r="D54" s="103">
        <v>46303</v>
      </c>
      <c r="E54" s="104">
        <f t="shared" si="3"/>
        <v>7</v>
      </c>
    </row>
    <row r="55" spans="2:5" ht="15" thickBot="1" x14ac:dyDescent="0.35">
      <c r="B55" s="177" t="s">
        <v>317</v>
      </c>
      <c r="C55" s="178">
        <v>46276</v>
      </c>
      <c r="D55" s="178">
        <v>46303</v>
      </c>
      <c r="E55" s="179">
        <f t="shared" ref="E55" si="4">_xlfn.DAYS(D55, C55)+1</f>
        <v>28</v>
      </c>
    </row>
    <row r="56" spans="2:5" x14ac:dyDescent="0.3">
      <c r="B56" s="57" t="s">
        <v>181</v>
      </c>
      <c r="C56" s="86">
        <v>46278</v>
      </c>
      <c r="D56" s="86">
        <v>46291</v>
      </c>
      <c r="E56" s="87">
        <f t="shared" ref="E56:E64" si="5">_xlfn.DAYS(D56, C56)+1</f>
        <v>14</v>
      </c>
    </row>
    <row r="57" spans="2:5" x14ac:dyDescent="0.3">
      <c r="B57" s="174" t="s">
        <v>182</v>
      </c>
      <c r="C57" s="175">
        <v>46292</v>
      </c>
      <c r="D57" s="175">
        <v>46298</v>
      </c>
      <c r="E57" s="176">
        <f t="shared" si="5"/>
        <v>7</v>
      </c>
    </row>
    <row r="58" spans="2:5" x14ac:dyDescent="0.3">
      <c r="B58" s="174" t="s">
        <v>183</v>
      </c>
      <c r="C58" s="175">
        <v>46299</v>
      </c>
      <c r="D58" s="175">
        <v>46305</v>
      </c>
      <c r="E58" s="176">
        <f t="shared" si="5"/>
        <v>7</v>
      </c>
    </row>
    <row r="59" spans="2:5" x14ac:dyDescent="0.3">
      <c r="B59" s="174" t="s">
        <v>184</v>
      </c>
      <c r="C59" s="175">
        <v>46306</v>
      </c>
      <c r="D59" s="175">
        <v>46312</v>
      </c>
      <c r="E59" s="176">
        <f t="shared" si="5"/>
        <v>7</v>
      </c>
    </row>
    <row r="60" spans="2:5" x14ac:dyDescent="0.3">
      <c r="B60" s="174" t="s">
        <v>185</v>
      </c>
      <c r="C60" s="175">
        <v>46313</v>
      </c>
      <c r="D60" s="175">
        <v>46319</v>
      </c>
      <c r="E60" s="176">
        <f t="shared" si="5"/>
        <v>7</v>
      </c>
    </row>
    <row r="61" spans="2:5" ht="15" thickBot="1" x14ac:dyDescent="0.35">
      <c r="B61" s="102" t="s">
        <v>186</v>
      </c>
      <c r="C61" s="103">
        <v>46320</v>
      </c>
      <c r="D61" s="103">
        <v>46326</v>
      </c>
      <c r="E61" s="104">
        <f t="shared" si="5"/>
        <v>7</v>
      </c>
    </row>
    <row r="62" spans="2:5" x14ac:dyDescent="0.3">
      <c r="B62" s="99" t="s">
        <v>189</v>
      </c>
      <c r="C62" s="100">
        <v>46305</v>
      </c>
      <c r="D62" s="100">
        <v>46305</v>
      </c>
      <c r="E62" s="101">
        <f t="shared" si="5"/>
        <v>1</v>
      </c>
    </row>
    <row r="63" spans="2:5" x14ac:dyDescent="0.3">
      <c r="B63" s="57" t="s">
        <v>190</v>
      </c>
      <c r="C63" s="100">
        <v>46312</v>
      </c>
      <c r="D63" s="100">
        <v>46312</v>
      </c>
      <c r="E63" s="101">
        <f t="shared" si="5"/>
        <v>1</v>
      </c>
    </row>
    <row r="64" spans="2:5" x14ac:dyDescent="0.3">
      <c r="B64" s="99" t="s">
        <v>316</v>
      </c>
      <c r="C64" s="100">
        <v>46326</v>
      </c>
      <c r="D64" s="100">
        <v>46326</v>
      </c>
      <c r="E64" s="101">
        <f t="shared" si="5"/>
        <v>1</v>
      </c>
    </row>
    <row r="65" spans="2:5" ht="15" thickBot="1" x14ac:dyDescent="0.35">
      <c r="B65" s="102" t="s">
        <v>318</v>
      </c>
      <c r="C65" s="103">
        <v>46327</v>
      </c>
      <c r="D65" s="103">
        <v>46336</v>
      </c>
      <c r="E65" s="104">
        <f t="shared" si="3"/>
        <v>10</v>
      </c>
    </row>
    <row r="66" spans="2:5" x14ac:dyDescent="0.3">
      <c r="B66" s="105" t="s">
        <v>75</v>
      </c>
      <c r="C66" s="106">
        <v>46146</v>
      </c>
      <c r="D66" s="106">
        <v>46148</v>
      </c>
      <c r="E66" s="107">
        <f t="shared" si="3"/>
        <v>3</v>
      </c>
    </row>
    <row r="67" spans="2:5" x14ac:dyDescent="0.3">
      <c r="B67" s="94" t="s">
        <v>76</v>
      </c>
      <c r="C67" s="89">
        <v>46169</v>
      </c>
      <c r="D67" s="89">
        <v>46169</v>
      </c>
      <c r="E67" s="95">
        <f t="shared" si="3"/>
        <v>1</v>
      </c>
    </row>
    <row r="68" spans="2:5" x14ac:dyDescent="0.3">
      <c r="B68" s="105" t="s">
        <v>78</v>
      </c>
      <c r="C68" s="106">
        <v>46174</v>
      </c>
      <c r="D68" s="106">
        <v>46176</v>
      </c>
      <c r="E68" s="107">
        <f t="shared" si="3"/>
        <v>3</v>
      </c>
    </row>
    <row r="69" spans="2:5" x14ac:dyDescent="0.3">
      <c r="B69" s="105" t="s">
        <v>77</v>
      </c>
      <c r="C69" s="106">
        <v>46197</v>
      </c>
      <c r="D69" s="106">
        <v>46197</v>
      </c>
      <c r="E69" s="107">
        <f t="shared" si="3"/>
        <v>1</v>
      </c>
    </row>
    <row r="70" spans="2:5" ht="15" thickBot="1" x14ac:dyDescent="0.35">
      <c r="B70" s="102" t="s">
        <v>196</v>
      </c>
      <c r="C70" s="103">
        <v>46314</v>
      </c>
      <c r="D70" s="103">
        <v>46316</v>
      </c>
      <c r="E70" s="104">
        <f t="shared" ref="E70:E71" si="6">_xlfn.DAYS(D70, C70)+1</f>
        <v>3</v>
      </c>
    </row>
    <row r="71" spans="2:5" x14ac:dyDescent="0.3">
      <c r="B71" s="79" t="s">
        <v>197</v>
      </c>
      <c r="C71" s="123">
        <v>46337</v>
      </c>
      <c r="D71" s="123">
        <v>46337</v>
      </c>
      <c r="E71" s="124">
        <f t="shared" si="6"/>
        <v>1</v>
      </c>
    </row>
    <row r="72" spans="2:5" x14ac:dyDescent="0.3">
      <c r="B72" s="190" t="s">
        <v>38</v>
      </c>
      <c r="C72" s="191"/>
      <c r="D72" s="191"/>
      <c r="E72" s="191"/>
    </row>
    <row r="73" spans="2:5" x14ac:dyDescent="0.3">
      <c r="B73" s="96" t="s">
        <v>74</v>
      </c>
      <c r="C73" s="85">
        <v>46024</v>
      </c>
      <c r="D73" s="85">
        <v>46053</v>
      </c>
      <c r="E73" s="91">
        <f>_xlfn.DAYS(D73, C73)+1</f>
        <v>30</v>
      </c>
    </row>
    <row r="74" spans="2:5" x14ac:dyDescent="0.3">
      <c r="B74" s="96" t="s">
        <v>72</v>
      </c>
      <c r="C74" s="85">
        <v>46053</v>
      </c>
      <c r="D74" s="85">
        <v>46098</v>
      </c>
      <c r="E74" s="91">
        <f t="shared" ref="E74:E76" si="7">_xlfn.DAYS(D74, C74)+1</f>
        <v>46</v>
      </c>
    </row>
    <row r="75" spans="2:5" x14ac:dyDescent="0.3">
      <c r="B75" s="96" t="s">
        <v>75</v>
      </c>
      <c r="C75" s="85">
        <v>46041</v>
      </c>
      <c r="D75" s="85">
        <v>46069</v>
      </c>
      <c r="E75" s="91">
        <f t="shared" si="7"/>
        <v>29</v>
      </c>
    </row>
    <row r="76" spans="2:5" x14ac:dyDescent="0.3">
      <c r="B76" s="98" t="s">
        <v>76</v>
      </c>
      <c r="C76" s="88">
        <v>46100</v>
      </c>
      <c r="D76" s="88">
        <v>46100</v>
      </c>
      <c r="E76" s="91">
        <f t="shared" si="7"/>
        <v>1</v>
      </c>
    </row>
    <row r="77" spans="2:5" x14ac:dyDescent="0.3">
      <c r="B77" s="94" t="s">
        <v>78</v>
      </c>
      <c r="C77" s="89">
        <v>46139</v>
      </c>
      <c r="D77" s="89">
        <v>46165</v>
      </c>
      <c r="E77" s="90">
        <f>_xlfn.DAYS(D77, C77)+1</f>
        <v>27</v>
      </c>
    </row>
    <row r="78" spans="2:5" x14ac:dyDescent="0.3">
      <c r="B78" s="94" t="s">
        <v>77</v>
      </c>
      <c r="C78" s="89">
        <v>46191</v>
      </c>
      <c r="D78" s="89">
        <v>46191</v>
      </c>
      <c r="E78" s="90">
        <f>_xlfn.DAYS(D78, C78)+1</f>
        <v>1</v>
      </c>
    </row>
    <row r="79" spans="2:5" x14ac:dyDescent="0.3">
      <c r="B79" s="190" t="s">
        <v>83</v>
      </c>
      <c r="C79" s="191"/>
      <c r="D79" s="191"/>
      <c r="E79" s="191"/>
    </row>
    <row r="80" spans="2:5" x14ac:dyDescent="0.3">
      <c r="B80" s="57" t="s">
        <v>71</v>
      </c>
      <c r="C80" s="31"/>
      <c r="D80" s="31"/>
      <c r="E80" s="87">
        <f>_xlfn.DAYS(D80, C80)+1</f>
        <v>1</v>
      </c>
    </row>
    <row r="81" spans="2:5" x14ac:dyDescent="0.3">
      <c r="B81" s="57" t="s">
        <v>72</v>
      </c>
      <c r="C81" s="31"/>
      <c r="D81" s="31"/>
      <c r="E81" s="87">
        <f t="shared" ref="E81:E85" si="8">_xlfn.DAYS(D81, C81)+1</f>
        <v>1</v>
      </c>
    </row>
    <row r="82" spans="2:5" x14ac:dyDescent="0.3">
      <c r="B82" s="57" t="s">
        <v>75</v>
      </c>
      <c r="C82" s="31"/>
      <c r="D82" s="31"/>
      <c r="E82" s="87">
        <f t="shared" si="8"/>
        <v>1</v>
      </c>
    </row>
    <row r="83" spans="2:5" x14ac:dyDescent="0.3">
      <c r="B83" s="57" t="s">
        <v>76</v>
      </c>
      <c r="C83" s="31"/>
      <c r="D83" s="31"/>
      <c r="E83" s="87">
        <f t="shared" si="8"/>
        <v>1</v>
      </c>
    </row>
    <row r="84" spans="2:5" x14ac:dyDescent="0.3">
      <c r="B84" s="57" t="s">
        <v>78</v>
      </c>
      <c r="C84" s="31"/>
      <c r="D84" s="31"/>
      <c r="E84" s="87">
        <f t="shared" si="8"/>
        <v>1</v>
      </c>
    </row>
    <row r="85" spans="2:5" x14ac:dyDescent="0.3">
      <c r="B85" s="57" t="s">
        <v>77</v>
      </c>
      <c r="C85" s="31"/>
      <c r="D85" s="31"/>
      <c r="E85" s="87">
        <f t="shared" si="8"/>
        <v>1</v>
      </c>
    </row>
  </sheetData>
  <mergeCells count="7">
    <mergeCell ref="B25:E25"/>
    <mergeCell ref="B72:E72"/>
    <mergeCell ref="B79:E79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tabSelected="1" zoomScale="85" zoomScaleNormal="85" workbookViewId="0">
      <pane xSplit="2" ySplit="3" topLeftCell="C10" activePane="bottomRight" state="frozen"/>
      <selection pane="topRight" activeCell="C1" sqref="C1"/>
      <selection pane="bottomLeft" activeCell="A4" sqref="A4"/>
      <selection pane="bottomRight" activeCell="D16" sqref="D16"/>
    </sheetView>
  </sheetViews>
  <sheetFormatPr defaultColWidth="11.5546875" defaultRowHeight="14.4" x14ac:dyDescent="0.3"/>
  <cols>
    <col min="2" max="2" width="26.44140625" bestFit="1" customWidth="1"/>
    <col min="3" max="3" width="28.6640625" bestFit="1" customWidth="1"/>
    <col min="4" max="4" width="28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2" spans="3:11" ht="15" thickBot="1" x14ac:dyDescent="0.35"/>
    <row r="3" spans="3:11" ht="21.6" thickBot="1" x14ac:dyDescent="0.35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193" t="s">
        <v>25</v>
      </c>
      <c r="K3" s="194"/>
    </row>
    <row r="4" spans="3:11" ht="40.200000000000003" x14ac:dyDescent="0.3">
      <c r="C4" s="16" t="s">
        <v>169</v>
      </c>
      <c r="D4" s="16" t="s">
        <v>169</v>
      </c>
      <c r="E4" s="16" t="s">
        <v>169</v>
      </c>
      <c r="F4" s="16" t="s">
        <v>169</v>
      </c>
      <c r="G4" s="16" t="s">
        <v>169</v>
      </c>
      <c r="H4" s="16" t="s">
        <v>292</v>
      </c>
      <c r="I4" s="11" t="s">
        <v>292</v>
      </c>
      <c r="J4" s="39"/>
      <c r="K4" s="40"/>
    </row>
    <row r="5" spans="3:11" ht="40.200000000000003" x14ac:dyDescent="0.3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293</v>
      </c>
      <c r="I5" s="26" t="s">
        <v>293</v>
      </c>
      <c r="J5" s="41"/>
      <c r="K5" s="42"/>
    </row>
    <row r="6" spans="3:11" ht="57" x14ac:dyDescent="0.3">
      <c r="C6" s="13" t="s">
        <v>26</v>
      </c>
      <c r="D6" s="13" t="s">
        <v>259</v>
      </c>
      <c r="E6" s="13" t="s">
        <v>270</v>
      </c>
      <c r="F6" s="13" t="s">
        <v>26</v>
      </c>
      <c r="G6" s="13" t="s">
        <v>26</v>
      </c>
      <c r="H6" s="169" t="s">
        <v>294</v>
      </c>
      <c r="I6" s="27" t="s">
        <v>298</v>
      </c>
      <c r="J6" s="41"/>
      <c r="K6" s="42"/>
    </row>
    <row r="7" spans="3:11" ht="41.4" x14ac:dyDescent="0.3">
      <c r="C7" s="14" t="s">
        <v>27</v>
      </c>
      <c r="D7" s="14" t="s">
        <v>260</v>
      </c>
      <c r="E7" s="14" t="s">
        <v>271</v>
      </c>
      <c r="F7" s="14" t="s">
        <v>275</v>
      </c>
      <c r="G7" s="14" t="s">
        <v>27</v>
      </c>
      <c r="H7" s="10" t="s">
        <v>295</v>
      </c>
      <c r="I7" s="28" t="s">
        <v>140</v>
      </c>
      <c r="J7" s="41"/>
      <c r="K7" s="42"/>
    </row>
    <row r="8" spans="3:11" ht="41.4" x14ac:dyDescent="0.3">
      <c r="C8" s="15" t="s">
        <v>281</v>
      </c>
      <c r="D8" s="15" t="s">
        <v>258</v>
      </c>
      <c r="E8" s="15" t="s">
        <v>16</v>
      </c>
      <c r="F8" s="15" t="s">
        <v>280</v>
      </c>
      <c r="G8" s="15" t="s">
        <v>281</v>
      </c>
      <c r="H8" s="2" t="s">
        <v>296</v>
      </c>
      <c r="I8" s="27" t="s">
        <v>141</v>
      </c>
      <c r="J8" s="41"/>
      <c r="K8" s="42"/>
    </row>
    <row r="9" spans="3:11" ht="41.4" x14ac:dyDescent="0.3">
      <c r="C9" s="14" t="s">
        <v>282</v>
      </c>
      <c r="D9" s="14" t="s">
        <v>291</v>
      </c>
      <c r="E9" s="14" t="s">
        <v>165</v>
      </c>
      <c r="F9" s="14" t="s">
        <v>283</v>
      </c>
      <c r="G9" s="14" t="s">
        <v>283</v>
      </c>
      <c r="H9" s="10" t="s">
        <v>297</v>
      </c>
      <c r="I9" s="28" t="s">
        <v>142</v>
      </c>
      <c r="J9" s="41"/>
      <c r="K9" s="42"/>
    </row>
    <row r="10" spans="3:11" ht="41.4" x14ac:dyDescent="0.3">
      <c r="C10" s="15" t="s">
        <v>255</v>
      </c>
      <c r="D10" s="15" t="s">
        <v>166</v>
      </c>
      <c r="E10" s="15" t="s">
        <v>166</v>
      </c>
      <c r="F10" s="15" t="s">
        <v>276</v>
      </c>
      <c r="G10" s="15" t="s">
        <v>255</v>
      </c>
      <c r="H10" s="2" t="s">
        <v>19</v>
      </c>
      <c r="I10" s="27" t="s">
        <v>17</v>
      </c>
      <c r="J10" s="41"/>
      <c r="K10" s="42"/>
    </row>
    <row r="11" spans="3:11" ht="41.4" x14ac:dyDescent="0.3">
      <c r="C11" s="10" t="s">
        <v>256</v>
      </c>
      <c r="D11" s="10" t="s">
        <v>167</v>
      </c>
      <c r="E11" s="10" t="s">
        <v>167</v>
      </c>
      <c r="F11" s="10" t="s">
        <v>277</v>
      </c>
      <c r="G11" s="10" t="s">
        <v>256</v>
      </c>
      <c r="H11" s="10" t="s">
        <v>20</v>
      </c>
      <c r="I11" s="26" t="s">
        <v>18</v>
      </c>
      <c r="J11" s="41"/>
      <c r="K11" s="42"/>
    </row>
    <row r="12" spans="3:11" ht="41.4" x14ac:dyDescent="0.3">
      <c r="C12" s="2" t="s">
        <v>287</v>
      </c>
      <c r="D12" s="2" t="s">
        <v>290</v>
      </c>
      <c r="E12" s="2" t="s">
        <v>290</v>
      </c>
      <c r="F12" s="2" t="s">
        <v>287</v>
      </c>
      <c r="G12" s="2" t="s">
        <v>287</v>
      </c>
      <c r="H12" s="2" t="s">
        <v>173</v>
      </c>
      <c r="I12" s="27" t="s">
        <v>19</v>
      </c>
      <c r="J12" s="41"/>
      <c r="K12" s="42"/>
    </row>
    <row r="13" spans="3:11" ht="41.4" x14ac:dyDescent="0.3">
      <c r="C13" s="14" t="s">
        <v>286</v>
      </c>
      <c r="D13" s="14" t="s">
        <v>286</v>
      </c>
      <c r="E13" s="14" t="s">
        <v>286</v>
      </c>
      <c r="F13" s="14" t="s">
        <v>288</v>
      </c>
      <c r="G13" s="14" t="s">
        <v>286</v>
      </c>
      <c r="H13" s="10" t="s">
        <v>174</v>
      </c>
      <c r="I13" s="28" t="s">
        <v>20</v>
      </c>
      <c r="J13" s="41"/>
      <c r="K13" s="42"/>
    </row>
    <row r="14" spans="3:11" ht="41.4" x14ac:dyDescent="0.3">
      <c r="C14" s="2" t="s">
        <v>19</v>
      </c>
      <c r="D14" s="2" t="s">
        <v>19</v>
      </c>
      <c r="E14" s="2" t="s">
        <v>19</v>
      </c>
      <c r="F14" s="2" t="s">
        <v>278</v>
      </c>
      <c r="G14" s="2" t="s">
        <v>19</v>
      </c>
      <c r="H14" s="2" t="s">
        <v>163</v>
      </c>
      <c r="I14" s="167" t="s">
        <v>173</v>
      </c>
      <c r="J14" s="41"/>
      <c r="K14" s="42"/>
    </row>
    <row r="15" spans="3:11" ht="41.4" x14ac:dyDescent="0.3">
      <c r="C15" s="10" t="s">
        <v>257</v>
      </c>
      <c r="D15" s="10" t="s">
        <v>261</v>
      </c>
      <c r="E15" s="10" t="s">
        <v>257</v>
      </c>
      <c r="F15" s="10" t="s">
        <v>279</v>
      </c>
      <c r="G15" s="10" t="s">
        <v>257</v>
      </c>
      <c r="H15" s="10" t="s">
        <v>22</v>
      </c>
      <c r="I15" s="168" t="s">
        <v>174</v>
      </c>
      <c r="J15" s="41"/>
      <c r="K15" s="42"/>
    </row>
    <row r="16" spans="3:11" ht="41.4" x14ac:dyDescent="0.3">
      <c r="C16" s="16" t="s">
        <v>284</v>
      </c>
      <c r="D16" s="16" t="s">
        <v>262</v>
      </c>
      <c r="E16" s="16" t="s">
        <v>272</v>
      </c>
      <c r="F16" s="16" t="s">
        <v>289</v>
      </c>
      <c r="G16" s="16" t="s">
        <v>284</v>
      </c>
      <c r="H16" s="7"/>
      <c r="I16" s="2" t="s">
        <v>163</v>
      </c>
      <c r="J16" s="41"/>
      <c r="K16" s="42"/>
    </row>
    <row r="17" spans="2:11" ht="41.4" x14ac:dyDescent="0.3">
      <c r="C17" s="12" t="s">
        <v>285</v>
      </c>
      <c r="D17" s="12" t="s">
        <v>263</v>
      </c>
      <c r="E17" s="12" t="s">
        <v>273</v>
      </c>
      <c r="F17" s="12" t="s">
        <v>21</v>
      </c>
      <c r="G17" s="12" t="s">
        <v>285</v>
      </c>
      <c r="H17" s="7"/>
      <c r="I17" s="10" t="s">
        <v>22</v>
      </c>
      <c r="J17" s="41"/>
      <c r="K17" s="42"/>
    </row>
    <row r="18" spans="2:11" ht="41.4" x14ac:dyDescent="0.3">
      <c r="C18" s="13" t="s">
        <v>163</v>
      </c>
      <c r="D18" s="13" t="s">
        <v>265</v>
      </c>
      <c r="E18" s="13" t="s">
        <v>274</v>
      </c>
      <c r="F18" s="13" t="s">
        <v>267</v>
      </c>
      <c r="G18" s="13" t="s">
        <v>163</v>
      </c>
      <c r="H18" s="7"/>
      <c r="I18" s="29"/>
      <c r="J18" s="41"/>
      <c r="K18" s="42"/>
    </row>
    <row r="19" spans="2:11" ht="63" customHeight="1" x14ac:dyDescent="0.3">
      <c r="C19" s="14" t="s">
        <v>22</v>
      </c>
      <c r="D19" s="14" t="s">
        <v>264</v>
      </c>
      <c r="E19" s="14" t="s">
        <v>163</v>
      </c>
      <c r="F19" s="14" t="s">
        <v>268</v>
      </c>
      <c r="G19" s="14" t="s">
        <v>22</v>
      </c>
      <c r="H19" s="7"/>
      <c r="I19" s="8"/>
      <c r="J19" s="41"/>
      <c r="K19" s="42"/>
    </row>
    <row r="20" spans="2:11" ht="63" customHeight="1" x14ac:dyDescent="0.3">
      <c r="C20" s="6"/>
      <c r="D20" s="15" t="s">
        <v>266</v>
      </c>
      <c r="E20" s="15" t="s">
        <v>22</v>
      </c>
      <c r="F20" s="15" t="s">
        <v>269</v>
      </c>
      <c r="G20" s="7"/>
      <c r="H20" s="7"/>
      <c r="I20" s="166"/>
      <c r="J20" s="41"/>
      <c r="K20" s="42"/>
    </row>
    <row r="21" spans="2:11" ht="63" customHeight="1" x14ac:dyDescent="0.3">
      <c r="C21" s="6"/>
      <c r="D21" s="14" t="s">
        <v>267</v>
      </c>
      <c r="E21" s="7"/>
      <c r="F21" s="14" t="s">
        <v>23</v>
      </c>
      <c r="G21" s="7"/>
      <c r="H21" s="7"/>
      <c r="I21" s="166"/>
      <c r="J21" s="41"/>
      <c r="K21" s="42"/>
    </row>
    <row r="22" spans="2:11" ht="63" customHeight="1" x14ac:dyDescent="0.3">
      <c r="C22" s="6"/>
      <c r="D22" s="2" t="s">
        <v>268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3">
      <c r="C23" s="6"/>
      <c r="D23" s="10" t="s">
        <v>269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5">
      <c r="C24" s="6"/>
      <c r="D24" s="165" t="s">
        <v>23</v>
      </c>
      <c r="E24" s="7"/>
      <c r="F24" s="7"/>
      <c r="G24" s="7"/>
      <c r="H24" s="7"/>
      <c r="I24" s="7"/>
      <c r="J24" s="41"/>
      <c r="K24" s="42"/>
    </row>
    <row r="25" spans="2:11" ht="21" x14ac:dyDescent="0.3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ROUND(3.5,3)&amp;" (3h30)"</f>
        <v>3,5 (3h30)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20.5</v>
      </c>
      <c r="K25" s="35" t="str">
        <f t="shared" ref="K25" si="1">ROUNDDOWN(J25,0)&amp;"h"&amp;ROUND((J25-ROUNDDOWN(J25,0))*60,0)</f>
        <v>20h30</v>
      </c>
    </row>
    <row r="26" spans="2:11" ht="21" x14ac:dyDescent="0.3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33" t="str">
        <f t="shared" ref="C26:I32" si="2">ROUND(0,3)&amp;" (0h)"</f>
        <v>0 (0h)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5.1660000000000004</v>
      </c>
      <c r="K26" s="36" t="str">
        <f>ROUNDDOWN(J26,0)&amp;"h"&amp;ROUND((J26-ROUNDDOWN(J26,0))*60,0)</f>
        <v>5h10</v>
      </c>
    </row>
    <row r="27" spans="2:11" ht="21" x14ac:dyDescent="0.3">
      <c r="B27" s="81" t="s">
        <v>168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si="2"/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3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52" t="str">
        <f>ROUND(95/60,3)&amp;" (1h10)"</f>
        <v>1,583 (1h10)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4.5830000000000002</v>
      </c>
      <c r="K28" s="36" t="str">
        <f>ROUNDDOWN(J28,0)&amp;"h"&amp;ROUND((J28-ROUNDDOWN(J28,0))*60,0)</f>
        <v>4h35</v>
      </c>
    </row>
    <row r="29" spans="2:11" ht="21" x14ac:dyDescent="0.3">
      <c r="B29" s="81" t="s">
        <v>175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3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3">
      <c r="B31" s="81" t="s">
        <v>24</v>
      </c>
      <c r="C31" s="52" t="str">
        <f>ROUND(2.5,3)&amp;" (2h30)"</f>
        <v>2,5 (2h30)</v>
      </c>
      <c r="D31" s="33" t="str">
        <f>ROUND(0,3)&amp;" (0h)"</f>
        <v>0 (0h)</v>
      </c>
      <c r="E31" s="33" t="str">
        <f>ROUND(0,3)&amp;" (0h)"</f>
        <v>0 (0h)</v>
      </c>
      <c r="F31" s="33" t="str">
        <f>ROUND(1,3)&amp;" (1h)"</f>
        <v>1 (1h)</v>
      </c>
      <c r="G31" s="52" t="str">
        <f>ROUND(1.5,3)&amp;" (1h30)"</f>
        <v>1,5 (1h30)</v>
      </c>
      <c r="H31" s="33" t="str">
        <f>ROUND(1.5,3)&amp;" (1h30)"</f>
        <v>1,5 (1h30)</v>
      </c>
      <c r="I31" s="45" t="str">
        <f>ROUND(0,3)&amp;" (0h)"</f>
        <v>0 (0h)</v>
      </c>
      <c r="J31" s="48">
        <f t="shared" si="3"/>
        <v>6.5</v>
      </c>
      <c r="K31" s="36" t="str">
        <f t="shared" ref="K31" si="4">ROUNDDOWN(J31,0)&amp;"h"&amp;ROUND((J31-ROUNDDOWN(J31,0))*60,0)</f>
        <v>6h30</v>
      </c>
    </row>
    <row r="32" spans="2:11" ht="21" x14ac:dyDescent="0.3">
      <c r="B32" s="82" t="s">
        <v>85</v>
      </c>
      <c r="C32" s="52" t="str">
        <f>ROUND(2,3)&amp;" (2h)"</f>
        <v>2 (2h)</v>
      </c>
      <c r="D32" s="33" t="str">
        <f>ROUND(0,3)&amp;" (0h)"</f>
        <v>0 (0h)</v>
      </c>
      <c r="E32" s="33" t="str">
        <f>ROUND(2,3)&amp;" (2h)"</f>
        <v>2 (2h)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ROUND(3.5,3)&amp;" (3h30)"</f>
        <v>3,5 (3h30)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13</v>
      </c>
      <c r="K32" s="43" t="str">
        <f>ROUNDDOWN(J32,0)&amp;"h"&amp;ROUND((J32-ROUNDDOWN(J32,0))*60,0)</f>
        <v>13h0</v>
      </c>
    </row>
    <row r="33" spans="2:11" ht="21.6" thickBot="1" x14ac:dyDescent="0.35">
      <c r="B33" s="83" t="s">
        <v>164</v>
      </c>
      <c r="C33" s="53" t="str">
        <f>ROUND(7.5,3)&amp;" (7h30)"</f>
        <v>7,5 (7h30)</v>
      </c>
      <c r="D33" s="37" t="str">
        <f>ROUND(6,3)&amp;" (6h)"</f>
        <v>6 (6h)</v>
      </c>
      <c r="E33" s="37" t="str">
        <f t="shared" ref="E33:I33" si="5">ROUND(7.5,3)&amp;" (7h30)"</f>
        <v>7,5 (7h30)</v>
      </c>
      <c r="F33" s="37" t="str">
        <f>ROUND(6,3)&amp;" (6h)"</f>
        <v>6 (6h)</v>
      </c>
      <c r="G33" s="37" t="str">
        <f>ROUND(8,3)&amp;" (8h)"</f>
        <v>8 (8h)</v>
      </c>
      <c r="H33" s="37" t="str">
        <f>ROUND(8,3)&amp;" (8h)"</f>
        <v>8 (8h)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50.5</v>
      </c>
      <c r="K33" s="38" t="str">
        <f>ROUNDDOWN(J33,0)&amp;"h"&amp;ROUND((J33-ROUNDDOWN(J33,0))*60,0)</f>
        <v>50h30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zoomScale="79" zoomScaleNormal="56" workbookViewId="0">
      <pane xSplit="2" ySplit="1" topLeftCell="C37" activePane="bottomRight" state="frozen"/>
      <selection pane="topRight" activeCell="C1" sqref="C1"/>
      <selection pane="bottomLeft" activeCell="A2" sqref="A2"/>
      <selection pane="bottomRight" activeCell="J52" sqref="J52"/>
    </sheetView>
  </sheetViews>
  <sheetFormatPr defaultColWidth="13.6640625" defaultRowHeight="14.4" x14ac:dyDescent="0.3"/>
  <cols>
    <col min="1" max="1" width="13.44140625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9.88671875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12" x14ac:dyDescent="0.3">
      <c r="A1" s="54" t="s">
        <v>199</v>
      </c>
      <c r="B1" s="54" t="s">
        <v>200</v>
      </c>
      <c r="C1" s="54" t="s">
        <v>229</v>
      </c>
      <c r="D1" s="54" t="s">
        <v>230</v>
      </c>
      <c r="E1" s="54" t="s">
        <v>232</v>
      </c>
      <c r="F1" s="54" t="s">
        <v>231</v>
      </c>
      <c r="G1" s="54" t="s">
        <v>80</v>
      </c>
      <c r="H1" s="54" t="s">
        <v>3</v>
      </c>
      <c r="I1" s="54" t="s">
        <v>233</v>
      </c>
      <c r="J1" s="54" t="s">
        <v>234</v>
      </c>
      <c r="K1" s="54" t="s">
        <v>237</v>
      </c>
      <c r="L1" s="54" t="s">
        <v>238</v>
      </c>
    </row>
    <row r="2" spans="1:12" ht="18" x14ac:dyDescent="0.3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236</v>
      </c>
      <c r="D2" s="141" t="s">
        <v>235</v>
      </c>
      <c r="E2" s="141" t="s">
        <v>235</v>
      </c>
      <c r="F2" s="141" t="s">
        <v>235</v>
      </c>
      <c r="G2" s="141" t="s">
        <v>235</v>
      </c>
      <c r="H2" s="141" t="s">
        <v>236</v>
      </c>
      <c r="I2" s="141" t="s">
        <v>235</v>
      </c>
      <c r="J2" s="141" t="s">
        <v>235</v>
      </c>
      <c r="K2" s="141" t="s">
        <v>236</v>
      </c>
      <c r="L2" s="141" t="s">
        <v>235</v>
      </c>
    </row>
    <row r="3" spans="1:12" ht="18" x14ac:dyDescent="0.3">
      <c r="A3" s="125">
        <f>A2+1</f>
        <v>46224</v>
      </c>
      <c r="B3" s="140" t="str">
        <f t="shared" si="0"/>
        <v>Tuesday</v>
      </c>
      <c r="C3" s="141" t="s">
        <v>236</v>
      </c>
      <c r="D3" s="141" t="s">
        <v>235</v>
      </c>
      <c r="E3" s="141" t="s">
        <v>236</v>
      </c>
      <c r="F3" s="141" t="s">
        <v>235</v>
      </c>
      <c r="G3" s="141" t="s">
        <v>235</v>
      </c>
      <c r="H3" s="141" t="s">
        <v>235</v>
      </c>
      <c r="I3" s="141" t="s">
        <v>236</v>
      </c>
      <c r="J3" s="141" t="s">
        <v>235</v>
      </c>
      <c r="K3" s="141" t="s">
        <v>236</v>
      </c>
      <c r="L3" s="141" t="s">
        <v>236</v>
      </c>
    </row>
    <row r="4" spans="1:12" ht="18" x14ac:dyDescent="0.3">
      <c r="A4" s="125">
        <f t="shared" ref="A4:A67" si="1">A3+1</f>
        <v>46225</v>
      </c>
      <c r="B4" s="140" t="str">
        <f t="shared" si="0"/>
        <v>Wednesday</v>
      </c>
      <c r="C4" s="141" t="s">
        <v>236</v>
      </c>
      <c r="D4" s="141" t="s">
        <v>235</v>
      </c>
      <c r="E4" s="141" t="s">
        <v>236</v>
      </c>
      <c r="F4" s="141" t="s">
        <v>235</v>
      </c>
      <c r="G4" s="141" t="s">
        <v>235</v>
      </c>
      <c r="H4" s="141" t="s">
        <v>235</v>
      </c>
      <c r="I4" s="141" t="s">
        <v>235</v>
      </c>
      <c r="J4" s="141" t="s">
        <v>235</v>
      </c>
      <c r="K4" s="141" t="s">
        <v>236</v>
      </c>
      <c r="L4" s="141" t="s">
        <v>236</v>
      </c>
    </row>
    <row r="5" spans="1:12" ht="18" x14ac:dyDescent="0.3">
      <c r="A5" s="125">
        <f t="shared" si="1"/>
        <v>46226</v>
      </c>
      <c r="B5" s="140" t="str">
        <f t="shared" si="0"/>
        <v>Thursday</v>
      </c>
      <c r="C5" s="141" t="s">
        <v>236</v>
      </c>
      <c r="D5" s="141" t="s">
        <v>235</v>
      </c>
      <c r="E5" s="141" t="s">
        <v>235</v>
      </c>
      <c r="F5" s="141" t="s">
        <v>236</v>
      </c>
      <c r="G5" s="141" t="s">
        <v>235</v>
      </c>
      <c r="H5" s="141" t="s">
        <v>235</v>
      </c>
      <c r="I5" s="141" t="s">
        <v>236</v>
      </c>
      <c r="J5" s="141" t="s">
        <v>235</v>
      </c>
      <c r="K5" s="141" t="s">
        <v>236</v>
      </c>
      <c r="L5" s="141" t="s">
        <v>236</v>
      </c>
    </row>
    <row r="6" spans="1:12" ht="18" x14ac:dyDescent="0.3">
      <c r="A6" s="125">
        <f t="shared" si="1"/>
        <v>46227</v>
      </c>
      <c r="B6" s="140" t="str">
        <f t="shared" si="0"/>
        <v>Friday</v>
      </c>
      <c r="C6" s="141" t="s">
        <v>236</v>
      </c>
      <c r="D6" s="141" t="s">
        <v>235</v>
      </c>
      <c r="E6" s="141" t="s">
        <v>236</v>
      </c>
      <c r="F6" s="141" t="s">
        <v>235</v>
      </c>
      <c r="G6" s="141" t="s">
        <v>235</v>
      </c>
      <c r="H6" s="141" t="s">
        <v>235</v>
      </c>
      <c r="I6" s="141" t="s">
        <v>235</v>
      </c>
      <c r="J6" s="141" t="s">
        <v>235</v>
      </c>
      <c r="K6" s="141" t="s">
        <v>236</v>
      </c>
      <c r="L6" s="141" t="s">
        <v>235</v>
      </c>
    </row>
    <row r="7" spans="1:12" ht="18" x14ac:dyDescent="0.3">
      <c r="A7" s="125">
        <f t="shared" si="1"/>
        <v>46228</v>
      </c>
      <c r="B7" s="140" t="str">
        <f t="shared" si="0"/>
        <v>Saturday</v>
      </c>
      <c r="C7" s="141" t="s">
        <v>235</v>
      </c>
      <c r="D7" s="141" t="s">
        <v>235</v>
      </c>
      <c r="E7" s="141" t="s">
        <v>235</v>
      </c>
      <c r="F7" s="141" t="s">
        <v>235</v>
      </c>
      <c r="G7" s="141" t="s">
        <v>235</v>
      </c>
      <c r="H7" s="141" t="s">
        <v>235</v>
      </c>
      <c r="I7" s="141" t="s">
        <v>235</v>
      </c>
      <c r="J7" s="141" t="s">
        <v>235</v>
      </c>
      <c r="K7" s="141" t="s">
        <v>236</v>
      </c>
      <c r="L7" s="141" t="s">
        <v>236</v>
      </c>
    </row>
    <row r="8" spans="1:12" ht="18" x14ac:dyDescent="0.3">
      <c r="A8" s="125">
        <f t="shared" si="1"/>
        <v>46229</v>
      </c>
      <c r="B8" s="140" t="str">
        <f t="shared" si="0"/>
        <v>Sunday</v>
      </c>
      <c r="C8" s="141" t="s">
        <v>235</v>
      </c>
      <c r="D8" s="141" t="s">
        <v>235</v>
      </c>
      <c r="E8" s="141" t="s">
        <v>235</v>
      </c>
      <c r="F8" s="141" t="s">
        <v>235</v>
      </c>
      <c r="G8" s="141" t="s">
        <v>235</v>
      </c>
      <c r="H8" s="141" t="s">
        <v>235</v>
      </c>
      <c r="I8" s="141" t="s">
        <v>236</v>
      </c>
      <c r="J8" s="141" t="s">
        <v>235</v>
      </c>
      <c r="K8" s="141" t="s">
        <v>235</v>
      </c>
      <c r="L8" s="141" t="s">
        <v>235</v>
      </c>
    </row>
    <row r="9" spans="1:12" ht="18" x14ac:dyDescent="0.3">
      <c r="A9" s="125">
        <f t="shared" si="1"/>
        <v>46230</v>
      </c>
      <c r="B9" s="140" t="str">
        <f t="shared" si="0"/>
        <v>Monday</v>
      </c>
      <c r="C9" s="141" t="s">
        <v>236</v>
      </c>
      <c r="D9" s="141" t="s">
        <v>235</v>
      </c>
      <c r="E9" s="141" t="s">
        <v>235</v>
      </c>
      <c r="F9" s="141" t="s">
        <v>235</v>
      </c>
      <c r="G9" s="141" t="s">
        <v>235</v>
      </c>
      <c r="H9" s="141" t="s">
        <v>235</v>
      </c>
      <c r="I9" s="141" t="s">
        <v>235</v>
      </c>
      <c r="J9" s="141" t="s">
        <v>235</v>
      </c>
      <c r="K9" s="141" t="s">
        <v>235</v>
      </c>
      <c r="L9" s="141" t="s">
        <v>235</v>
      </c>
    </row>
    <row r="10" spans="1:12" ht="18" x14ac:dyDescent="0.3">
      <c r="A10" s="125">
        <f t="shared" si="1"/>
        <v>46231</v>
      </c>
      <c r="B10" s="140" t="str">
        <f t="shared" si="0"/>
        <v>Tuesday</v>
      </c>
      <c r="C10" s="141" t="s">
        <v>236</v>
      </c>
      <c r="D10" s="141" t="s">
        <v>235</v>
      </c>
      <c r="E10" s="141" t="s">
        <v>236</v>
      </c>
      <c r="F10" s="141" t="s">
        <v>235</v>
      </c>
      <c r="G10" s="141" t="s">
        <v>235</v>
      </c>
      <c r="H10" s="141" t="s">
        <v>235</v>
      </c>
      <c r="I10" s="141" t="s">
        <v>236</v>
      </c>
      <c r="J10" s="141" t="s">
        <v>235</v>
      </c>
      <c r="K10" s="141" t="s">
        <v>236</v>
      </c>
      <c r="L10" s="141" t="s">
        <v>236</v>
      </c>
    </row>
    <row r="11" spans="1:12" ht="18" x14ac:dyDescent="0.3">
      <c r="A11" s="125">
        <f t="shared" si="1"/>
        <v>46232</v>
      </c>
      <c r="B11" s="140" t="str">
        <f t="shared" si="0"/>
        <v>Wednesday</v>
      </c>
      <c r="C11" s="141" t="s">
        <v>236</v>
      </c>
      <c r="D11" s="141" t="s">
        <v>235</v>
      </c>
      <c r="E11" s="141" t="s">
        <v>236</v>
      </c>
      <c r="F11" s="141" t="s">
        <v>235</v>
      </c>
      <c r="G11" s="141" t="s">
        <v>235</v>
      </c>
      <c r="H11" s="141" t="s">
        <v>235</v>
      </c>
      <c r="I11" s="141" t="s">
        <v>235</v>
      </c>
      <c r="J11" s="141" t="s">
        <v>235</v>
      </c>
      <c r="K11" s="141" t="s">
        <v>235</v>
      </c>
      <c r="L11" s="141" t="s">
        <v>236</v>
      </c>
    </row>
    <row r="12" spans="1:12" ht="18" x14ac:dyDescent="0.3">
      <c r="A12" s="125">
        <f t="shared" si="1"/>
        <v>46233</v>
      </c>
      <c r="B12" s="140" t="str">
        <f t="shared" si="0"/>
        <v>Thursday</v>
      </c>
      <c r="C12" s="141" t="s">
        <v>235</v>
      </c>
      <c r="D12" s="141" t="s">
        <v>235</v>
      </c>
      <c r="E12" s="141" t="s">
        <v>235</v>
      </c>
      <c r="F12" s="141" t="s">
        <v>235</v>
      </c>
      <c r="G12" s="141" t="s">
        <v>235</v>
      </c>
      <c r="H12" s="141" t="s">
        <v>235</v>
      </c>
      <c r="I12" s="141" t="s">
        <v>236</v>
      </c>
      <c r="J12" s="141" t="s">
        <v>235</v>
      </c>
      <c r="K12" s="141" t="s">
        <v>235</v>
      </c>
      <c r="L12" s="141" t="s">
        <v>236</v>
      </c>
    </row>
    <row r="13" spans="1:12" ht="18" x14ac:dyDescent="0.3">
      <c r="A13" s="125">
        <f t="shared" si="1"/>
        <v>46234</v>
      </c>
      <c r="B13" s="140" t="str">
        <f t="shared" si="0"/>
        <v>Friday</v>
      </c>
      <c r="C13" s="141" t="s">
        <v>236</v>
      </c>
      <c r="D13" s="141" t="s">
        <v>235</v>
      </c>
      <c r="E13" s="141" t="s">
        <v>235</v>
      </c>
      <c r="F13" s="141" t="s">
        <v>235</v>
      </c>
      <c r="G13" s="141" t="s">
        <v>235</v>
      </c>
      <c r="H13" s="141" t="s">
        <v>235</v>
      </c>
      <c r="I13" s="141" t="s">
        <v>235</v>
      </c>
      <c r="J13" s="141" t="s">
        <v>235</v>
      </c>
      <c r="K13" s="141" t="s">
        <v>236</v>
      </c>
      <c r="L13" s="141" t="s">
        <v>235</v>
      </c>
    </row>
    <row r="14" spans="1:12" ht="18" x14ac:dyDescent="0.3">
      <c r="A14" s="125">
        <f t="shared" si="1"/>
        <v>46235</v>
      </c>
      <c r="B14" s="140" t="str">
        <f t="shared" si="0"/>
        <v>Saturday</v>
      </c>
      <c r="C14" s="141" t="s">
        <v>235</v>
      </c>
      <c r="D14" s="141" t="s">
        <v>235</v>
      </c>
      <c r="E14" s="141" t="s">
        <v>235</v>
      </c>
      <c r="F14" s="141" t="s">
        <v>236</v>
      </c>
      <c r="G14" s="141" t="s">
        <v>235</v>
      </c>
      <c r="H14" s="141" t="s">
        <v>235</v>
      </c>
      <c r="I14" s="141" t="s">
        <v>235</v>
      </c>
      <c r="J14" s="141" t="s">
        <v>235</v>
      </c>
      <c r="K14" s="141" t="s">
        <v>236</v>
      </c>
      <c r="L14" s="141" t="s">
        <v>235</v>
      </c>
    </row>
    <row r="15" spans="1:12" ht="18" x14ac:dyDescent="0.3">
      <c r="A15" s="125">
        <f t="shared" si="1"/>
        <v>46236</v>
      </c>
      <c r="B15" s="140" t="str">
        <f t="shared" si="0"/>
        <v>Sunday</v>
      </c>
      <c r="C15" s="141" t="s">
        <v>235</v>
      </c>
      <c r="D15" s="141" t="s">
        <v>235</v>
      </c>
      <c r="E15" s="141" t="s">
        <v>236</v>
      </c>
      <c r="F15" s="141" t="s">
        <v>236</v>
      </c>
      <c r="G15" s="141" t="s">
        <v>235</v>
      </c>
      <c r="H15" s="141" t="s">
        <v>235</v>
      </c>
      <c r="I15" s="141" t="s">
        <v>236</v>
      </c>
      <c r="J15" s="141" t="s">
        <v>235</v>
      </c>
      <c r="K15" s="141" t="s">
        <v>236</v>
      </c>
      <c r="L15" s="141" t="s">
        <v>235</v>
      </c>
    </row>
    <row r="16" spans="1:12" ht="18" x14ac:dyDescent="0.3">
      <c r="A16" s="125">
        <f t="shared" si="1"/>
        <v>46237</v>
      </c>
      <c r="B16" s="140" t="str">
        <f t="shared" si="0"/>
        <v>Monday</v>
      </c>
      <c r="C16" s="141" t="s">
        <v>236</v>
      </c>
      <c r="D16" s="141" t="s">
        <v>235</v>
      </c>
      <c r="E16" s="141" t="s">
        <v>235</v>
      </c>
      <c r="F16" s="141" t="s">
        <v>235</v>
      </c>
      <c r="G16" s="141" t="s">
        <v>235</v>
      </c>
      <c r="H16" s="141" t="s">
        <v>235</v>
      </c>
      <c r="I16" s="141" t="s">
        <v>235</v>
      </c>
      <c r="J16" s="141" t="s">
        <v>235</v>
      </c>
      <c r="K16" s="141" t="s">
        <v>235</v>
      </c>
      <c r="L16" s="141" t="s">
        <v>235</v>
      </c>
    </row>
    <row r="17" spans="1:12" ht="18" x14ac:dyDescent="0.3">
      <c r="A17" s="125">
        <f t="shared" si="1"/>
        <v>46238</v>
      </c>
      <c r="B17" s="140" t="str">
        <f t="shared" si="0"/>
        <v>Tuesday</v>
      </c>
      <c r="C17" s="141" t="s">
        <v>236</v>
      </c>
      <c r="D17" s="141" t="s">
        <v>235</v>
      </c>
      <c r="E17" s="141" t="s">
        <v>236</v>
      </c>
      <c r="F17" s="141" t="s">
        <v>235</v>
      </c>
      <c r="G17" s="141" t="s">
        <v>235</v>
      </c>
      <c r="H17" s="141" t="s">
        <v>235</v>
      </c>
      <c r="I17" s="141" t="s">
        <v>236</v>
      </c>
      <c r="J17" s="141" t="s">
        <v>235</v>
      </c>
      <c r="K17" s="141" t="s">
        <v>235</v>
      </c>
      <c r="L17" s="141" t="s">
        <v>236</v>
      </c>
    </row>
    <row r="18" spans="1:12" ht="18" x14ac:dyDescent="0.3">
      <c r="A18" s="125">
        <f t="shared" si="1"/>
        <v>46239</v>
      </c>
      <c r="B18" s="140" t="str">
        <f t="shared" si="0"/>
        <v>Wednesday</v>
      </c>
      <c r="C18" s="141" t="s">
        <v>236</v>
      </c>
      <c r="D18" s="141" t="s">
        <v>235</v>
      </c>
      <c r="E18" s="141" t="s">
        <v>236</v>
      </c>
      <c r="F18" s="141" t="s">
        <v>235</v>
      </c>
      <c r="G18" s="141" t="s">
        <v>235</v>
      </c>
      <c r="H18" s="141" t="s">
        <v>235</v>
      </c>
      <c r="I18" s="141" t="s">
        <v>235</v>
      </c>
      <c r="J18" s="141" t="s">
        <v>235</v>
      </c>
      <c r="K18" s="141" t="s">
        <v>235</v>
      </c>
      <c r="L18" s="141" t="s">
        <v>235</v>
      </c>
    </row>
    <row r="19" spans="1:12" ht="18" x14ac:dyDescent="0.3">
      <c r="A19" s="125">
        <f t="shared" si="1"/>
        <v>46240</v>
      </c>
      <c r="B19" s="140" t="str">
        <f t="shared" si="0"/>
        <v>Thursday</v>
      </c>
      <c r="C19" s="141" t="s">
        <v>235</v>
      </c>
      <c r="D19" s="141" t="s">
        <v>235</v>
      </c>
      <c r="E19" s="141" t="s">
        <v>235</v>
      </c>
      <c r="F19" s="141" t="s">
        <v>235</v>
      </c>
      <c r="G19" s="141" t="s">
        <v>235</v>
      </c>
      <c r="H19" s="141" t="s">
        <v>235</v>
      </c>
      <c r="I19" s="141" t="s">
        <v>236</v>
      </c>
      <c r="J19" s="141" t="s">
        <v>235</v>
      </c>
      <c r="K19" s="141" t="s">
        <v>235</v>
      </c>
      <c r="L19" s="141" t="s">
        <v>235</v>
      </c>
    </row>
    <row r="20" spans="1:12" ht="18" x14ac:dyDescent="0.3">
      <c r="A20" s="125">
        <f t="shared" si="1"/>
        <v>46241</v>
      </c>
      <c r="B20" s="140" t="str">
        <f t="shared" si="0"/>
        <v>Friday</v>
      </c>
      <c r="C20" s="141" t="s">
        <v>235</v>
      </c>
      <c r="D20" s="141" t="s">
        <v>235</v>
      </c>
      <c r="E20" s="141" t="s">
        <v>235</v>
      </c>
      <c r="F20" s="141" t="s">
        <v>235</v>
      </c>
      <c r="G20" s="141" t="s">
        <v>235</v>
      </c>
      <c r="H20" s="141" t="s">
        <v>235</v>
      </c>
      <c r="I20" s="141" t="s">
        <v>235</v>
      </c>
      <c r="J20" s="141" t="s">
        <v>235</v>
      </c>
      <c r="K20" s="141" t="s">
        <v>235</v>
      </c>
      <c r="L20" s="141" t="s">
        <v>235</v>
      </c>
    </row>
    <row r="21" spans="1:12" ht="18" x14ac:dyDescent="0.3">
      <c r="A21" s="125">
        <f t="shared" si="1"/>
        <v>46242</v>
      </c>
      <c r="B21" s="140" t="str">
        <f t="shared" si="0"/>
        <v>Saturday</v>
      </c>
      <c r="C21" s="141" t="s">
        <v>235</v>
      </c>
      <c r="D21" s="141" t="s">
        <v>235</v>
      </c>
      <c r="E21" s="141" t="s">
        <v>235</v>
      </c>
      <c r="F21" s="141" t="s">
        <v>236</v>
      </c>
      <c r="G21" s="141" t="s">
        <v>235</v>
      </c>
      <c r="H21" s="141" t="s">
        <v>235</v>
      </c>
      <c r="I21" s="141" t="s">
        <v>235</v>
      </c>
      <c r="J21" s="141" t="s">
        <v>235</v>
      </c>
      <c r="K21" s="141" t="s">
        <v>235</v>
      </c>
      <c r="L21" s="141" t="s">
        <v>235</v>
      </c>
    </row>
    <row r="22" spans="1:12" ht="18" x14ac:dyDescent="0.3">
      <c r="A22" s="125">
        <f t="shared" si="1"/>
        <v>46243</v>
      </c>
      <c r="B22" s="140" t="str">
        <f t="shared" si="0"/>
        <v>Sunday</v>
      </c>
      <c r="C22" s="141" t="s">
        <v>235</v>
      </c>
      <c r="D22" s="141" t="s">
        <v>235</v>
      </c>
      <c r="E22" s="141" t="s">
        <v>235</v>
      </c>
      <c r="F22" s="141" t="s">
        <v>235</v>
      </c>
      <c r="G22" s="141" t="s">
        <v>235</v>
      </c>
      <c r="H22" s="141" t="s">
        <v>236</v>
      </c>
      <c r="I22" s="141" t="s">
        <v>236</v>
      </c>
      <c r="J22" s="141" t="s">
        <v>235</v>
      </c>
      <c r="K22" s="141" t="s">
        <v>236</v>
      </c>
      <c r="L22" s="141" t="s">
        <v>235</v>
      </c>
    </row>
    <row r="23" spans="1:12" ht="18" x14ac:dyDescent="0.3">
      <c r="A23" s="125">
        <f t="shared" si="1"/>
        <v>46244</v>
      </c>
      <c r="B23" s="140" t="str">
        <f t="shared" si="0"/>
        <v>Monday</v>
      </c>
      <c r="C23" s="141" t="s">
        <v>236</v>
      </c>
      <c r="D23" s="141" t="s">
        <v>235</v>
      </c>
      <c r="E23" s="141" t="s">
        <v>236</v>
      </c>
      <c r="F23" s="141" t="s">
        <v>235</v>
      </c>
      <c r="G23" s="141" t="s">
        <v>235</v>
      </c>
      <c r="H23" s="141" t="s">
        <v>235</v>
      </c>
      <c r="I23" s="141" t="s">
        <v>235</v>
      </c>
      <c r="J23" s="141" t="s">
        <v>235</v>
      </c>
      <c r="K23" s="141" t="s">
        <v>236</v>
      </c>
      <c r="L23" s="141" t="s">
        <v>235</v>
      </c>
    </row>
    <row r="24" spans="1:12" ht="18" x14ac:dyDescent="0.3">
      <c r="A24" s="125">
        <f t="shared" si="1"/>
        <v>46245</v>
      </c>
      <c r="B24" s="140" t="str">
        <f t="shared" si="0"/>
        <v>Tuesday</v>
      </c>
      <c r="C24" s="141" t="s">
        <v>236</v>
      </c>
      <c r="D24" s="141" t="s">
        <v>235</v>
      </c>
      <c r="E24" s="141" t="s">
        <v>236</v>
      </c>
      <c r="F24" s="141" t="s">
        <v>235</v>
      </c>
      <c r="G24" s="141" t="s">
        <v>235</v>
      </c>
      <c r="H24" s="141" t="s">
        <v>235</v>
      </c>
      <c r="I24" s="141" t="s">
        <v>236</v>
      </c>
      <c r="J24" s="141" t="s">
        <v>235</v>
      </c>
      <c r="K24" s="141" t="s">
        <v>235</v>
      </c>
      <c r="L24" s="141" t="s">
        <v>235</v>
      </c>
    </row>
    <row r="25" spans="1:12" ht="18" x14ac:dyDescent="0.3">
      <c r="A25" s="125">
        <f t="shared" si="1"/>
        <v>46246</v>
      </c>
      <c r="B25" s="140" t="str">
        <f t="shared" si="0"/>
        <v>Wednesday</v>
      </c>
      <c r="C25" s="141" t="s">
        <v>235</v>
      </c>
      <c r="D25" s="141" t="s">
        <v>235</v>
      </c>
      <c r="E25" s="141" t="s">
        <v>235</v>
      </c>
      <c r="F25" s="141" t="s">
        <v>235</v>
      </c>
      <c r="G25" s="141" t="s">
        <v>235</v>
      </c>
      <c r="H25" s="141" t="s">
        <v>235</v>
      </c>
      <c r="I25" s="141" t="s">
        <v>235</v>
      </c>
      <c r="J25" s="141" t="s">
        <v>235</v>
      </c>
      <c r="K25" s="141" t="s">
        <v>235</v>
      </c>
      <c r="L25" s="141" t="s">
        <v>235</v>
      </c>
    </row>
    <row r="26" spans="1:12" ht="18" x14ac:dyDescent="0.3">
      <c r="A26" s="125">
        <f t="shared" si="1"/>
        <v>46247</v>
      </c>
      <c r="B26" s="140" t="str">
        <f t="shared" si="0"/>
        <v>Thursday</v>
      </c>
      <c r="C26" s="141" t="s">
        <v>235</v>
      </c>
      <c r="D26" s="141" t="s">
        <v>235</v>
      </c>
      <c r="E26" s="141" t="s">
        <v>235</v>
      </c>
      <c r="F26" s="141" t="s">
        <v>235</v>
      </c>
      <c r="G26" s="141" t="s">
        <v>235</v>
      </c>
      <c r="H26" s="141" t="s">
        <v>235</v>
      </c>
      <c r="I26" s="141" t="s">
        <v>236</v>
      </c>
      <c r="J26" s="141" t="s">
        <v>235</v>
      </c>
      <c r="K26" s="141" t="s">
        <v>235</v>
      </c>
      <c r="L26" s="141" t="s">
        <v>235</v>
      </c>
    </row>
    <row r="27" spans="1:12" ht="18" x14ac:dyDescent="0.3">
      <c r="A27" s="125">
        <f t="shared" si="1"/>
        <v>46248</v>
      </c>
      <c r="B27" s="140" t="str">
        <f t="shared" si="0"/>
        <v>Friday</v>
      </c>
      <c r="C27" s="141" t="s">
        <v>235</v>
      </c>
      <c r="D27" s="141" t="s">
        <v>235</v>
      </c>
      <c r="E27" s="141" t="s">
        <v>235</v>
      </c>
      <c r="F27" s="141" t="s">
        <v>235</v>
      </c>
      <c r="G27" s="141" t="s">
        <v>235</v>
      </c>
      <c r="H27" s="141" t="s">
        <v>235</v>
      </c>
      <c r="I27" s="141" t="s">
        <v>235</v>
      </c>
      <c r="J27" s="141" t="s">
        <v>235</v>
      </c>
      <c r="K27" s="141" t="s">
        <v>235</v>
      </c>
      <c r="L27" s="141" t="s">
        <v>235</v>
      </c>
    </row>
    <row r="28" spans="1:12" ht="18" x14ac:dyDescent="0.3">
      <c r="A28" s="125">
        <f t="shared" si="1"/>
        <v>46249</v>
      </c>
      <c r="B28" s="140" t="str">
        <f t="shared" si="0"/>
        <v>Saturday</v>
      </c>
      <c r="C28" s="141" t="s">
        <v>235</v>
      </c>
      <c r="D28" s="141" t="s">
        <v>235</v>
      </c>
      <c r="E28" s="141" t="s">
        <v>235</v>
      </c>
      <c r="F28" s="141" t="s">
        <v>235</v>
      </c>
      <c r="G28" s="141" t="s">
        <v>235</v>
      </c>
      <c r="H28" s="141" t="s">
        <v>235</v>
      </c>
      <c r="I28" s="141" t="s">
        <v>235</v>
      </c>
      <c r="J28" s="141" t="s">
        <v>235</v>
      </c>
      <c r="K28" s="141" t="s">
        <v>235</v>
      </c>
      <c r="L28" s="141" t="s">
        <v>235</v>
      </c>
    </row>
    <row r="29" spans="1:12" ht="18" x14ac:dyDescent="0.3">
      <c r="A29" s="125">
        <f t="shared" si="1"/>
        <v>46250</v>
      </c>
      <c r="B29" s="140" t="str">
        <f t="shared" si="0"/>
        <v>Sunday</v>
      </c>
      <c r="C29" s="141" t="s">
        <v>235</v>
      </c>
      <c r="D29" s="141" t="s">
        <v>235</v>
      </c>
      <c r="E29" s="141" t="s">
        <v>235</v>
      </c>
      <c r="F29" s="141" t="s">
        <v>235</v>
      </c>
      <c r="G29" s="141" t="s">
        <v>235</v>
      </c>
      <c r="H29" s="141" t="s">
        <v>235</v>
      </c>
      <c r="I29" s="141" t="s">
        <v>236</v>
      </c>
      <c r="J29" s="141" t="s">
        <v>235</v>
      </c>
      <c r="K29" s="141" t="s">
        <v>235</v>
      </c>
      <c r="L29" s="141" t="s">
        <v>235</v>
      </c>
    </row>
    <row r="30" spans="1:12" ht="18" x14ac:dyDescent="0.3">
      <c r="A30" s="125">
        <f t="shared" si="1"/>
        <v>46251</v>
      </c>
      <c r="B30" s="140" t="str">
        <f t="shared" si="0"/>
        <v>Monday</v>
      </c>
      <c r="C30" s="141" t="s">
        <v>236</v>
      </c>
      <c r="D30" s="141" t="s">
        <v>235</v>
      </c>
      <c r="E30" s="141" t="s">
        <v>235</v>
      </c>
      <c r="F30" s="141" t="s">
        <v>235</v>
      </c>
      <c r="G30" s="141" t="s">
        <v>235</v>
      </c>
      <c r="H30" s="141" t="s">
        <v>235</v>
      </c>
      <c r="I30" s="141" t="s">
        <v>235</v>
      </c>
      <c r="J30" s="141" t="s">
        <v>235</v>
      </c>
      <c r="K30" s="141" t="s">
        <v>236</v>
      </c>
      <c r="L30" s="141" t="s">
        <v>235</v>
      </c>
    </row>
    <row r="31" spans="1:12" ht="18" x14ac:dyDescent="0.3">
      <c r="A31" s="125">
        <f t="shared" si="1"/>
        <v>46252</v>
      </c>
      <c r="B31" s="140" t="str">
        <f t="shared" si="0"/>
        <v>Tuesday</v>
      </c>
      <c r="C31" s="141" t="s">
        <v>236</v>
      </c>
      <c r="D31" s="141" t="s">
        <v>235</v>
      </c>
      <c r="E31" s="141" t="s">
        <v>236</v>
      </c>
      <c r="F31" s="141" t="s">
        <v>235</v>
      </c>
      <c r="G31" s="141" t="s">
        <v>235</v>
      </c>
      <c r="H31" s="141" t="s">
        <v>235</v>
      </c>
      <c r="I31" s="141" t="s">
        <v>236</v>
      </c>
      <c r="J31" s="141" t="s">
        <v>235</v>
      </c>
      <c r="K31" s="141" t="s">
        <v>235</v>
      </c>
      <c r="L31" s="141" t="s">
        <v>235</v>
      </c>
    </row>
    <row r="32" spans="1:12" ht="18" x14ac:dyDescent="0.3">
      <c r="A32" s="125">
        <f t="shared" si="1"/>
        <v>46253</v>
      </c>
      <c r="B32" s="140" t="str">
        <f t="shared" si="0"/>
        <v>Wednesday</v>
      </c>
      <c r="C32" s="141" t="s">
        <v>235</v>
      </c>
      <c r="D32" s="141" t="s">
        <v>235</v>
      </c>
      <c r="E32" s="141" t="s">
        <v>235</v>
      </c>
      <c r="F32" s="141" t="s">
        <v>235</v>
      </c>
      <c r="G32" s="141" t="s">
        <v>235</v>
      </c>
      <c r="H32" s="141" t="s">
        <v>235</v>
      </c>
      <c r="I32" s="141" t="s">
        <v>235</v>
      </c>
      <c r="J32" s="141" t="s">
        <v>235</v>
      </c>
      <c r="K32" s="141" t="s">
        <v>235</v>
      </c>
      <c r="L32" s="141" t="s">
        <v>235</v>
      </c>
    </row>
    <row r="33" spans="1:12" ht="18" x14ac:dyDescent="0.3">
      <c r="A33" s="125">
        <f t="shared" si="1"/>
        <v>46254</v>
      </c>
      <c r="B33" s="140" t="str">
        <f t="shared" si="0"/>
        <v>Thursday</v>
      </c>
      <c r="C33" s="141" t="s">
        <v>235</v>
      </c>
      <c r="D33" s="141" t="s">
        <v>235</v>
      </c>
      <c r="E33" s="141" t="s">
        <v>235</v>
      </c>
      <c r="F33" s="141" t="s">
        <v>235</v>
      </c>
      <c r="G33" s="141" t="s">
        <v>235</v>
      </c>
      <c r="H33" s="141" t="s">
        <v>235</v>
      </c>
      <c r="I33" s="141" t="s">
        <v>236</v>
      </c>
      <c r="J33" s="141" t="s">
        <v>235</v>
      </c>
      <c r="K33" s="141" t="s">
        <v>235</v>
      </c>
      <c r="L33" s="141" t="s">
        <v>235</v>
      </c>
    </row>
    <row r="34" spans="1:12" ht="18" x14ac:dyDescent="0.3">
      <c r="A34" s="125">
        <f t="shared" si="1"/>
        <v>46255</v>
      </c>
      <c r="B34" s="140" t="str">
        <f t="shared" si="0"/>
        <v>Friday</v>
      </c>
      <c r="C34" s="141" t="s">
        <v>235</v>
      </c>
      <c r="D34" s="141" t="s">
        <v>235</v>
      </c>
      <c r="E34" s="141" t="s">
        <v>235</v>
      </c>
      <c r="F34" s="141" t="s">
        <v>235</v>
      </c>
      <c r="G34" s="141" t="s">
        <v>235</v>
      </c>
      <c r="H34" s="141" t="s">
        <v>235</v>
      </c>
      <c r="I34" s="141" t="s">
        <v>235</v>
      </c>
      <c r="J34" s="141" t="s">
        <v>235</v>
      </c>
      <c r="K34" s="141" t="s">
        <v>235</v>
      </c>
      <c r="L34" s="141" t="s">
        <v>235</v>
      </c>
    </row>
    <row r="35" spans="1:12" ht="18" x14ac:dyDescent="0.3">
      <c r="A35" s="125">
        <f t="shared" si="1"/>
        <v>46256</v>
      </c>
      <c r="B35" s="140" t="str">
        <f t="shared" si="0"/>
        <v>Saturday</v>
      </c>
      <c r="C35" s="141" t="s">
        <v>235</v>
      </c>
      <c r="D35" s="141" t="s">
        <v>235</v>
      </c>
      <c r="E35" s="141" t="s">
        <v>235</v>
      </c>
      <c r="F35" s="141" t="s">
        <v>235</v>
      </c>
      <c r="G35" s="141" t="s">
        <v>235</v>
      </c>
      <c r="H35" s="141" t="s">
        <v>235</v>
      </c>
      <c r="I35" s="141" t="s">
        <v>235</v>
      </c>
      <c r="J35" s="141" t="s">
        <v>235</v>
      </c>
      <c r="K35" s="141" t="s">
        <v>235</v>
      </c>
      <c r="L35" s="141" t="s">
        <v>235</v>
      </c>
    </row>
    <row r="36" spans="1:12" ht="18" x14ac:dyDescent="0.3">
      <c r="A36" s="125">
        <f t="shared" si="1"/>
        <v>46257</v>
      </c>
      <c r="B36" s="140" t="str">
        <f t="shared" si="0"/>
        <v>Sunday</v>
      </c>
      <c r="C36" s="141" t="s">
        <v>235</v>
      </c>
      <c r="D36" s="141" t="s">
        <v>235</v>
      </c>
      <c r="E36" s="141" t="s">
        <v>235</v>
      </c>
      <c r="F36" s="141" t="s">
        <v>235</v>
      </c>
      <c r="G36" s="141" t="s">
        <v>235</v>
      </c>
      <c r="H36" s="141" t="s">
        <v>235</v>
      </c>
      <c r="I36" s="141" t="s">
        <v>235</v>
      </c>
      <c r="J36" s="141" t="s">
        <v>235</v>
      </c>
      <c r="K36" s="141" t="s">
        <v>235</v>
      </c>
      <c r="L36" s="141" t="s">
        <v>235</v>
      </c>
    </row>
    <row r="37" spans="1:12" ht="18" x14ac:dyDescent="0.3">
      <c r="A37" s="125">
        <f t="shared" si="1"/>
        <v>46258</v>
      </c>
      <c r="B37" s="140" t="str">
        <f t="shared" si="0"/>
        <v>Monday</v>
      </c>
      <c r="C37" s="141" t="s">
        <v>235</v>
      </c>
      <c r="D37" s="141" t="s">
        <v>235</v>
      </c>
      <c r="E37" s="141" t="s">
        <v>235</v>
      </c>
      <c r="F37" s="141" t="s">
        <v>235</v>
      </c>
      <c r="G37" s="141" t="s">
        <v>235</v>
      </c>
      <c r="H37" s="141" t="s">
        <v>235</v>
      </c>
      <c r="I37" s="141" t="s">
        <v>235</v>
      </c>
      <c r="J37" s="141" t="s">
        <v>235</v>
      </c>
      <c r="K37" s="141" t="s">
        <v>235</v>
      </c>
      <c r="L37" s="141" t="s">
        <v>235</v>
      </c>
    </row>
    <row r="38" spans="1:12" ht="18" x14ac:dyDescent="0.3">
      <c r="A38" s="125">
        <f t="shared" si="1"/>
        <v>46259</v>
      </c>
      <c r="B38" s="140" t="str">
        <f t="shared" si="0"/>
        <v>Tuesday</v>
      </c>
      <c r="C38" s="141" t="s">
        <v>235</v>
      </c>
      <c r="D38" s="141" t="s">
        <v>235</v>
      </c>
      <c r="E38" s="141" t="s">
        <v>235</v>
      </c>
      <c r="F38" s="141" t="s">
        <v>235</v>
      </c>
      <c r="G38" s="141" t="s">
        <v>235</v>
      </c>
      <c r="H38" s="141" t="s">
        <v>235</v>
      </c>
      <c r="I38" s="141" t="s">
        <v>235</v>
      </c>
      <c r="J38" s="141" t="s">
        <v>235</v>
      </c>
      <c r="K38" s="141" t="s">
        <v>235</v>
      </c>
      <c r="L38" s="141" t="s">
        <v>235</v>
      </c>
    </row>
    <row r="39" spans="1:12" ht="18" x14ac:dyDescent="0.3">
      <c r="A39" s="125">
        <f t="shared" si="1"/>
        <v>46260</v>
      </c>
      <c r="B39" s="140" t="str">
        <f t="shared" si="0"/>
        <v>Wednesday</v>
      </c>
      <c r="C39" s="141" t="s">
        <v>235</v>
      </c>
      <c r="D39" s="141" t="s">
        <v>235</v>
      </c>
      <c r="E39" s="141" t="s">
        <v>235</v>
      </c>
      <c r="F39" s="141" t="s">
        <v>235</v>
      </c>
      <c r="G39" s="141" t="s">
        <v>235</v>
      </c>
      <c r="H39" s="141" t="s">
        <v>235</v>
      </c>
      <c r="I39" s="141" t="s">
        <v>235</v>
      </c>
      <c r="J39" s="141" t="s">
        <v>235</v>
      </c>
      <c r="K39" s="141" t="s">
        <v>235</v>
      </c>
      <c r="L39" s="141" t="s">
        <v>235</v>
      </c>
    </row>
    <row r="40" spans="1:12" ht="18" x14ac:dyDescent="0.3">
      <c r="A40" s="125">
        <f t="shared" si="1"/>
        <v>46261</v>
      </c>
      <c r="B40" s="140" t="str">
        <f t="shared" si="0"/>
        <v>Thursday</v>
      </c>
      <c r="C40" s="141" t="s">
        <v>235</v>
      </c>
      <c r="D40" s="141" t="s">
        <v>235</v>
      </c>
      <c r="E40" s="141" t="s">
        <v>236</v>
      </c>
      <c r="F40" s="141" t="s">
        <v>235</v>
      </c>
      <c r="G40" s="141" t="s">
        <v>235</v>
      </c>
      <c r="H40" s="141" t="s">
        <v>235</v>
      </c>
      <c r="I40" s="141" t="s">
        <v>236</v>
      </c>
      <c r="J40" s="141" t="s">
        <v>235</v>
      </c>
      <c r="K40" s="141" t="s">
        <v>235</v>
      </c>
      <c r="L40" s="141" t="s">
        <v>235</v>
      </c>
    </row>
    <row r="41" spans="1:12" ht="18" x14ac:dyDescent="0.3">
      <c r="A41" s="125">
        <f t="shared" si="1"/>
        <v>46262</v>
      </c>
      <c r="B41" s="140" t="str">
        <f t="shared" si="0"/>
        <v>Friday</v>
      </c>
      <c r="C41" s="141" t="s">
        <v>235</v>
      </c>
      <c r="D41" s="141" t="s">
        <v>235</v>
      </c>
      <c r="E41" s="141" t="s">
        <v>235</v>
      </c>
      <c r="F41" s="141" t="s">
        <v>235</v>
      </c>
      <c r="G41" s="141" t="s">
        <v>235</v>
      </c>
      <c r="H41" s="141" t="s">
        <v>235</v>
      </c>
      <c r="I41" s="141" t="s">
        <v>235</v>
      </c>
      <c r="J41" s="141" t="s">
        <v>235</v>
      </c>
      <c r="K41" s="141" t="s">
        <v>235</v>
      </c>
      <c r="L41" s="141" t="s">
        <v>235</v>
      </c>
    </row>
    <row r="42" spans="1:12" ht="18" x14ac:dyDescent="0.3">
      <c r="A42" s="125">
        <f t="shared" si="1"/>
        <v>46263</v>
      </c>
      <c r="B42" s="140" t="str">
        <f t="shared" si="0"/>
        <v>Saturday</v>
      </c>
      <c r="C42" s="141" t="s">
        <v>235</v>
      </c>
      <c r="D42" s="141" t="s">
        <v>235</v>
      </c>
      <c r="E42" s="141" t="s">
        <v>235</v>
      </c>
      <c r="F42" s="141" t="s">
        <v>235</v>
      </c>
      <c r="G42" s="141" t="s">
        <v>235</v>
      </c>
      <c r="H42" s="141" t="s">
        <v>235</v>
      </c>
      <c r="I42" s="141" t="s">
        <v>235</v>
      </c>
      <c r="J42" s="141" t="s">
        <v>235</v>
      </c>
      <c r="K42" s="141" t="s">
        <v>235</v>
      </c>
      <c r="L42" s="141" t="s">
        <v>235</v>
      </c>
    </row>
    <row r="43" spans="1:12" ht="18" x14ac:dyDescent="0.3">
      <c r="A43" s="125">
        <f t="shared" si="1"/>
        <v>46264</v>
      </c>
      <c r="B43" s="140" t="str">
        <f t="shared" si="0"/>
        <v>Sunday</v>
      </c>
      <c r="C43" s="141" t="s">
        <v>235</v>
      </c>
      <c r="D43" s="141" t="s">
        <v>235</v>
      </c>
      <c r="E43" s="141" t="s">
        <v>235</v>
      </c>
      <c r="F43" s="141" t="s">
        <v>235</v>
      </c>
      <c r="G43" s="141" t="s">
        <v>235</v>
      </c>
      <c r="H43" s="141" t="s">
        <v>235</v>
      </c>
      <c r="I43" s="141" t="s">
        <v>235</v>
      </c>
      <c r="J43" s="141" t="s">
        <v>235</v>
      </c>
      <c r="K43" s="141" t="s">
        <v>235</v>
      </c>
      <c r="L43" s="141" t="s">
        <v>235</v>
      </c>
    </row>
    <row r="44" spans="1:12" ht="18" x14ac:dyDescent="0.3">
      <c r="A44" s="125">
        <f t="shared" si="1"/>
        <v>46265</v>
      </c>
      <c r="B44" s="140" t="str">
        <f t="shared" si="0"/>
        <v>Monday</v>
      </c>
      <c r="C44" s="141" t="s">
        <v>236</v>
      </c>
      <c r="D44" s="141" t="s">
        <v>235</v>
      </c>
      <c r="E44" s="141" t="s">
        <v>235</v>
      </c>
      <c r="F44" s="141" t="s">
        <v>235</v>
      </c>
      <c r="G44" s="141" t="s">
        <v>235</v>
      </c>
      <c r="H44" s="141" t="s">
        <v>235</v>
      </c>
      <c r="I44" s="141" t="s">
        <v>235</v>
      </c>
      <c r="J44" s="141" t="s">
        <v>235</v>
      </c>
      <c r="K44" s="141" t="s">
        <v>236</v>
      </c>
      <c r="L44" s="141" t="s">
        <v>236</v>
      </c>
    </row>
    <row r="45" spans="1:12" ht="18" x14ac:dyDescent="0.3">
      <c r="A45" s="125">
        <f t="shared" si="1"/>
        <v>46266</v>
      </c>
      <c r="B45" s="140" t="str">
        <f t="shared" si="0"/>
        <v>Tuesday</v>
      </c>
      <c r="C45" s="141" t="s">
        <v>236</v>
      </c>
      <c r="D45" s="141" t="s">
        <v>235</v>
      </c>
      <c r="E45" s="141" t="s">
        <v>236</v>
      </c>
      <c r="F45" s="141" t="s">
        <v>235</v>
      </c>
      <c r="G45" s="141" t="s">
        <v>235</v>
      </c>
      <c r="H45" s="141" t="s">
        <v>235</v>
      </c>
      <c r="I45" s="141" t="s">
        <v>236</v>
      </c>
      <c r="J45" s="141" t="s">
        <v>235</v>
      </c>
      <c r="K45" s="141" t="s">
        <v>236</v>
      </c>
      <c r="L45" s="141" t="s">
        <v>236</v>
      </c>
    </row>
    <row r="46" spans="1:12" ht="18" x14ac:dyDescent="0.3">
      <c r="A46" s="125">
        <f t="shared" si="1"/>
        <v>46267</v>
      </c>
      <c r="B46" s="140" t="str">
        <f t="shared" si="0"/>
        <v>Wednesday</v>
      </c>
      <c r="C46" s="141" t="s">
        <v>236</v>
      </c>
      <c r="D46" s="141" t="s">
        <v>235</v>
      </c>
      <c r="E46" s="141" t="s">
        <v>236</v>
      </c>
      <c r="F46" s="141" t="s">
        <v>235</v>
      </c>
      <c r="G46" s="141" t="s">
        <v>235</v>
      </c>
      <c r="H46" s="141" t="s">
        <v>235</v>
      </c>
      <c r="I46" s="141" t="s">
        <v>235</v>
      </c>
      <c r="J46" s="141" t="s">
        <v>235</v>
      </c>
      <c r="K46" s="141" t="s">
        <v>236</v>
      </c>
      <c r="L46" s="141" t="s">
        <v>236</v>
      </c>
    </row>
    <row r="47" spans="1:12" ht="18" x14ac:dyDescent="0.3">
      <c r="A47" s="125">
        <f t="shared" si="1"/>
        <v>46268</v>
      </c>
      <c r="B47" s="140" t="str">
        <f t="shared" si="0"/>
        <v>Thursday</v>
      </c>
      <c r="C47" s="141" t="s">
        <v>236</v>
      </c>
      <c r="D47" s="141" t="s">
        <v>235</v>
      </c>
      <c r="E47" s="141" t="s">
        <v>235</v>
      </c>
      <c r="F47" s="141" t="s">
        <v>235</v>
      </c>
      <c r="G47" s="141" t="s">
        <v>235</v>
      </c>
      <c r="H47" s="141" t="s">
        <v>236</v>
      </c>
      <c r="I47" s="141" t="s">
        <v>236</v>
      </c>
      <c r="J47" s="141" t="s">
        <v>235</v>
      </c>
      <c r="K47" s="141" t="s">
        <v>235</v>
      </c>
      <c r="L47" s="141" t="s">
        <v>236</v>
      </c>
    </row>
    <row r="48" spans="1:12" ht="18" x14ac:dyDescent="0.3">
      <c r="A48" s="125">
        <f t="shared" si="1"/>
        <v>46269</v>
      </c>
      <c r="B48" s="140" t="str">
        <f t="shared" si="0"/>
        <v>Friday</v>
      </c>
      <c r="C48" s="141" t="s">
        <v>236</v>
      </c>
      <c r="D48" s="141" t="s">
        <v>235</v>
      </c>
      <c r="E48" s="141" t="s">
        <v>236</v>
      </c>
      <c r="F48" s="141" t="s">
        <v>235</v>
      </c>
      <c r="G48" s="141" t="s">
        <v>235</v>
      </c>
      <c r="H48" s="141" t="s">
        <v>235</v>
      </c>
      <c r="I48" s="141" t="s">
        <v>235</v>
      </c>
      <c r="J48" s="141" t="s">
        <v>235</v>
      </c>
      <c r="K48" s="141" t="s">
        <v>235</v>
      </c>
      <c r="L48" s="141" t="s">
        <v>235</v>
      </c>
    </row>
    <row r="49" spans="1:12" ht="18" x14ac:dyDescent="0.3">
      <c r="A49" s="125">
        <f t="shared" si="1"/>
        <v>46270</v>
      </c>
      <c r="B49" s="140" t="str">
        <f t="shared" si="0"/>
        <v>Saturday</v>
      </c>
      <c r="C49" s="141" t="s">
        <v>235</v>
      </c>
      <c r="D49" s="141" t="s">
        <v>235</v>
      </c>
      <c r="E49" s="141" t="s">
        <v>235</v>
      </c>
      <c r="F49" s="141" t="s">
        <v>235</v>
      </c>
      <c r="G49" s="141" t="s">
        <v>235</v>
      </c>
      <c r="H49" s="141" t="s">
        <v>235</v>
      </c>
      <c r="I49" s="141" t="s">
        <v>235</v>
      </c>
      <c r="J49" s="141" t="s">
        <v>236</v>
      </c>
      <c r="K49" s="141" t="s">
        <v>235</v>
      </c>
      <c r="L49" s="141" t="s">
        <v>236</v>
      </c>
    </row>
    <row r="50" spans="1:12" ht="18" x14ac:dyDescent="0.3">
      <c r="A50" s="125">
        <f t="shared" si="1"/>
        <v>46271</v>
      </c>
      <c r="B50" s="140" t="str">
        <f t="shared" si="0"/>
        <v>Sunday</v>
      </c>
      <c r="C50" s="141" t="s">
        <v>235</v>
      </c>
      <c r="D50" s="141" t="s">
        <v>235</v>
      </c>
      <c r="E50" s="141" t="s">
        <v>235</v>
      </c>
      <c r="F50" s="141" t="s">
        <v>235</v>
      </c>
      <c r="G50" s="141" t="s">
        <v>235</v>
      </c>
      <c r="H50" s="141" t="s">
        <v>235</v>
      </c>
      <c r="I50" s="141" t="s">
        <v>236</v>
      </c>
      <c r="J50" s="141" t="s">
        <v>235</v>
      </c>
      <c r="K50" s="141" t="s">
        <v>235</v>
      </c>
      <c r="L50" s="141" t="s">
        <v>236</v>
      </c>
    </row>
    <row r="51" spans="1:12" ht="18" x14ac:dyDescent="0.3">
      <c r="A51" s="125">
        <f t="shared" si="1"/>
        <v>46272</v>
      </c>
      <c r="B51" s="140" t="str">
        <f t="shared" si="0"/>
        <v>Monday</v>
      </c>
      <c r="C51" s="141" t="s">
        <v>236</v>
      </c>
      <c r="D51" s="141" t="s">
        <v>236</v>
      </c>
      <c r="E51" s="141" t="s">
        <v>236</v>
      </c>
      <c r="F51" s="141" t="s">
        <v>235</v>
      </c>
      <c r="G51" s="141" t="s">
        <v>235</v>
      </c>
      <c r="H51" s="141" t="s">
        <v>235</v>
      </c>
      <c r="I51" s="141" t="s">
        <v>235</v>
      </c>
      <c r="J51" s="141" t="s">
        <v>235</v>
      </c>
      <c r="K51" s="141" t="s">
        <v>236</v>
      </c>
      <c r="L51" s="141" t="s">
        <v>236</v>
      </c>
    </row>
    <row r="52" spans="1:12" ht="18" x14ac:dyDescent="0.3">
      <c r="A52" s="125">
        <f t="shared" si="1"/>
        <v>46273</v>
      </c>
      <c r="B52" s="140" t="str">
        <f t="shared" si="0"/>
        <v>Tuesday</v>
      </c>
      <c r="C52" s="141" t="s">
        <v>236</v>
      </c>
      <c r="D52" s="141" t="s">
        <v>236</v>
      </c>
      <c r="E52" s="141" t="s">
        <v>236</v>
      </c>
      <c r="F52" s="141" t="s">
        <v>235</v>
      </c>
      <c r="G52" s="141" t="s">
        <v>235</v>
      </c>
      <c r="H52" s="141" t="s">
        <v>236</v>
      </c>
      <c r="I52" s="141" t="s">
        <v>236</v>
      </c>
      <c r="J52" s="141" t="s">
        <v>235</v>
      </c>
      <c r="K52" s="141" t="s">
        <v>236</v>
      </c>
      <c r="L52" s="141" t="s">
        <v>236</v>
      </c>
    </row>
    <row r="53" spans="1:12" ht="18" x14ac:dyDescent="0.3">
      <c r="A53" s="125">
        <f t="shared" si="1"/>
        <v>46274</v>
      </c>
      <c r="B53" s="140" t="str">
        <f t="shared" si="0"/>
        <v>Wednesday</v>
      </c>
      <c r="C53" s="141" t="s">
        <v>235</v>
      </c>
      <c r="D53" s="141" t="s">
        <v>235</v>
      </c>
      <c r="E53" s="141" t="s">
        <v>235</v>
      </c>
      <c r="F53" s="141" t="s">
        <v>235</v>
      </c>
      <c r="G53" s="141" t="s">
        <v>235</v>
      </c>
      <c r="H53" s="141" t="s">
        <v>235</v>
      </c>
      <c r="I53" s="141" t="s">
        <v>235</v>
      </c>
      <c r="J53" s="141" t="s">
        <v>235</v>
      </c>
      <c r="K53" s="141" t="s">
        <v>235</v>
      </c>
      <c r="L53" s="141" t="s">
        <v>235</v>
      </c>
    </row>
    <row r="54" spans="1:12" ht="18" x14ac:dyDescent="0.3">
      <c r="A54" s="125">
        <f t="shared" si="1"/>
        <v>46275</v>
      </c>
      <c r="B54" s="140" t="str">
        <f t="shared" si="0"/>
        <v>Thursday</v>
      </c>
      <c r="C54" s="141" t="s">
        <v>235</v>
      </c>
      <c r="D54" s="141" t="s">
        <v>235</v>
      </c>
      <c r="E54" s="141" t="s">
        <v>235</v>
      </c>
      <c r="F54" s="141" t="s">
        <v>235</v>
      </c>
      <c r="G54" s="141" t="s">
        <v>235</v>
      </c>
      <c r="H54" s="141" t="s">
        <v>235</v>
      </c>
      <c r="I54" s="141" t="s">
        <v>235</v>
      </c>
      <c r="J54" s="141" t="s">
        <v>235</v>
      </c>
      <c r="K54" s="141" t="s">
        <v>235</v>
      </c>
      <c r="L54" s="141" t="s">
        <v>235</v>
      </c>
    </row>
    <row r="55" spans="1:12" ht="18" x14ac:dyDescent="0.3">
      <c r="A55" s="125">
        <f t="shared" si="1"/>
        <v>46276</v>
      </c>
      <c r="B55" s="140" t="str">
        <f t="shared" si="0"/>
        <v>Friday</v>
      </c>
      <c r="C55" s="141" t="s">
        <v>235</v>
      </c>
      <c r="D55" s="141" t="s">
        <v>235</v>
      </c>
      <c r="E55" s="141" t="s">
        <v>235</v>
      </c>
      <c r="F55" s="141" t="s">
        <v>235</v>
      </c>
      <c r="G55" s="141" t="s">
        <v>235</v>
      </c>
      <c r="H55" s="141" t="s">
        <v>235</v>
      </c>
      <c r="I55" s="141" t="s">
        <v>235</v>
      </c>
      <c r="J55" s="141" t="s">
        <v>235</v>
      </c>
      <c r="K55" s="141" t="s">
        <v>235</v>
      </c>
      <c r="L55" s="141" t="s">
        <v>235</v>
      </c>
    </row>
    <row r="56" spans="1:12" ht="18" x14ac:dyDescent="0.3">
      <c r="A56" s="125">
        <f t="shared" si="1"/>
        <v>46277</v>
      </c>
      <c r="B56" s="140" t="str">
        <f t="shared" si="0"/>
        <v>Saturday</v>
      </c>
      <c r="C56" s="141" t="s">
        <v>235</v>
      </c>
      <c r="D56" s="141" t="s">
        <v>235</v>
      </c>
      <c r="E56" s="141" t="s">
        <v>235</v>
      </c>
      <c r="F56" s="141" t="s">
        <v>235</v>
      </c>
      <c r="G56" s="141" t="s">
        <v>235</v>
      </c>
      <c r="H56" s="141" t="s">
        <v>235</v>
      </c>
      <c r="I56" s="141" t="s">
        <v>235</v>
      </c>
      <c r="J56" s="141" t="s">
        <v>235</v>
      </c>
      <c r="K56" s="141" t="s">
        <v>235</v>
      </c>
      <c r="L56" s="141" t="s">
        <v>235</v>
      </c>
    </row>
    <row r="57" spans="1:12" ht="18" x14ac:dyDescent="0.3">
      <c r="A57" s="125">
        <f t="shared" si="1"/>
        <v>46278</v>
      </c>
      <c r="B57" s="140" t="str">
        <f t="shared" si="0"/>
        <v>Sunday</v>
      </c>
      <c r="C57" s="141" t="s">
        <v>235</v>
      </c>
      <c r="D57" s="141" t="s">
        <v>235</v>
      </c>
      <c r="E57" s="141" t="s">
        <v>235</v>
      </c>
      <c r="F57" s="141" t="s">
        <v>235</v>
      </c>
      <c r="G57" s="141" t="s">
        <v>235</v>
      </c>
      <c r="H57" s="141" t="s">
        <v>235</v>
      </c>
      <c r="I57" s="141" t="s">
        <v>235</v>
      </c>
      <c r="J57" s="141" t="s">
        <v>235</v>
      </c>
      <c r="K57" s="141" t="s">
        <v>235</v>
      </c>
      <c r="L57" s="141" t="s">
        <v>235</v>
      </c>
    </row>
    <row r="58" spans="1:12" ht="18" x14ac:dyDescent="0.3">
      <c r="A58" s="125">
        <f t="shared" si="1"/>
        <v>46279</v>
      </c>
      <c r="B58" s="140" t="str">
        <f t="shared" si="0"/>
        <v>Monday</v>
      </c>
      <c r="C58" s="141" t="s">
        <v>235</v>
      </c>
      <c r="D58" s="141" t="s">
        <v>235</v>
      </c>
      <c r="E58" s="141" t="s">
        <v>235</v>
      </c>
      <c r="F58" s="141" t="s">
        <v>235</v>
      </c>
      <c r="G58" s="141" t="s">
        <v>235</v>
      </c>
      <c r="H58" s="141" t="s">
        <v>235</v>
      </c>
      <c r="I58" s="141" t="s">
        <v>235</v>
      </c>
      <c r="J58" s="141" t="s">
        <v>235</v>
      </c>
      <c r="K58" s="141" t="s">
        <v>235</v>
      </c>
      <c r="L58" s="141" t="s">
        <v>235</v>
      </c>
    </row>
    <row r="59" spans="1:12" ht="18" x14ac:dyDescent="0.3">
      <c r="A59" s="125">
        <f t="shared" si="1"/>
        <v>46280</v>
      </c>
      <c r="B59" s="140" t="str">
        <f t="shared" si="0"/>
        <v>Tuesday</v>
      </c>
      <c r="C59" s="141" t="s">
        <v>235</v>
      </c>
      <c r="D59" s="141" t="s">
        <v>235</v>
      </c>
      <c r="E59" s="141" t="s">
        <v>235</v>
      </c>
      <c r="F59" s="141" t="s">
        <v>235</v>
      </c>
      <c r="G59" s="141" t="s">
        <v>235</v>
      </c>
      <c r="H59" s="141" t="s">
        <v>235</v>
      </c>
      <c r="I59" s="141" t="s">
        <v>235</v>
      </c>
      <c r="J59" s="141" t="s">
        <v>235</v>
      </c>
      <c r="K59" s="141" t="s">
        <v>235</v>
      </c>
      <c r="L59" s="141" t="s">
        <v>235</v>
      </c>
    </row>
    <row r="60" spans="1:12" ht="18" x14ac:dyDescent="0.3">
      <c r="A60" s="125">
        <f t="shared" si="1"/>
        <v>46281</v>
      </c>
      <c r="B60" s="140" t="str">
        <f t="shared" si="0"/>
        <v>Wednesday</v>
      </c>
      <c r="C60" s="141" t="s">
        <v>235</v>
      </c>
      <c r="D60" s="141" t="s">
        <v>235</v>
      </c>
      <c r="E60" s="141" t="s">
        <v>235</v>
      </c>
      <c r="F60" s="141" t="s">
        <v>235</v>
      </c>
      <c r="G60" s="141" t="s">
        <v>235</v>
      </c>
      <c r="H60" s="141" t="s">
        <v>235</v>
      </c>
      <c r="I60" s="141" t="s">
        <v>235</v>
      </c>
      <c r="J60" s="141" t="s">
        <v>235</v>
      </c>
      <c r="K60" s="141" t="s">
        <v>235</v>
      </c>
      <c r="L60" s="141" t="s">
        <v>235</v>
      </c>
    </row>
    <row r="61" spans="1:12" ht="18" x14ac:dyDescent="0.3">
      <c r="A61" s="125">
        <f t="shared" si="1"/>
        <v>46282</v>
      </c>
      <c r="B61" s="140" t="str">
        <f t="shared" si="0"/>
        <v>Thursday</v>
      </c>
      <c r="C61" s="141" t="s">
        <v>235</v>
      </c>
      <c r="D61" s="141" t="s">
        <v>235</v>
      </c>
      <c r="E61" s="141" t="s">
        <v>235</v>
      </c>
      <c r="F61" s="141" t="s">
        <v>235</v>
      </c>
      <c r="G61" s="141" t="s">
        <v>235</v>
      </c>
      <c r="H61" s="141" t="s">
        <v>235</v>
      </c>
      <c r="I61" s="141" t="s">
        <v>235</v>
      </c>
      <c r="J61" s="141" t="s">
        <v>235</v>
      </c>
      <c r="K61" s="141" t="s">
        <v>235</v>
      </c>
      <c r="L61" s="141" t="s">
        <v>235</v>
      </c>
    </row>
    <row r="62" spans="1:12" ht="18" x14ac:dyDescent="0.3">
      <c r="A62" s="125">
        <f t="shared" si="1"/>
        <v>46283</v>
      </c>
      <c r="B62" s="140" t="str">
        <f t="shared" si="0"/>
        <v>Friday</v>
      </c>
      <c r="C62" s="141" t="s">
        <v>235</v>
      </c>
      <c r="D62" s="141" t="s">
        <v>235</v>
      </c>
      <c r="E62" s="141" t="s">
        <v>235</v>
      </c>
      <c r="F62" s="141" t="s">
        <v>235</v>
      </c>
      <c r="G62" s="141" t="s">
        <v>235</v>
      </c>
      <c r="H62" s="141" t="s">
        <v>235</v>
      </c>
      <c r="I62" s="141" t="s">
        <v>235</v>
      </c>
      <c r="J62" s="141" t="s">
        <v>235</v>
      </c>
      <c r="K62" s="141" t="s">
        <v>235</v>
      </c>
      <c r="L62" s="141" t="s">
        <v>235</v>
      </c>
    </row>
    <row r="63" spans="1:12" ht="18" x14ac:dyDescent="0.3">
      <c r="A63" s="125">
        <f t="shared" si="1"/>
        <v>46284</v>
      </c>
      <c r="B63" s="140" t="str">
        <f t="shared" si="0"/>
        <v>Saturday</v>
      </c>
      <c r="C63" s="141" t="s">
        <v>235</v>
      </c>
      <c r="D63" s="141" t="s">
        <v>235</v>
      </c>
      <c r="E63" s="141" t="s">
        <v>235</v>
      </c>
      <c r="F63" s="141" t="s">
        <v>235</v>
      </c>
      <c r="G63" s="141" t="s">
        <v>235</v>
      </c>
      <c r="H63" s="141" t="s">
        <v>235</v>
      </c>
      <c r="I63" s="141" t="s">
        <v>235</v>
      </c>
      <c r="J63" s="141" t="s">
        <v>235</v>
      </c>
      <c r="K63" s="141" t="s">
        <v>235</v>
      </c>
      <c r="L63" s="141" t="s">
        <v>235</v>
      </c>
    </row>
    <row r="64" spans="1:12" ht="18" x14ac:dyDescent="0.3">
      <c r="A64" s="125">
        <f t="shared" si="1"/>
        <v>46285</v>
      </c>
      <c r="B64" s="140" t="str">
        <f t="shared" si="0"/>
        <v>Sunday</v>
      </c>
      <c r="C64" s="141" t="s">
        <v>235</v>
      </c>
      <c r="D64" s="141" t="s">
        <v>235</v>
      </c>
      <c r="E64" s="141" t="s">
        <v>235</v>
      </c>
      <c r="F64" s="141" t="s">
        <v>235</v>
      </c>
      <c r="G64" s="141" t="s">
        <v>235</v>
      </c>
      <c r="H64" s="141" t="s">
        <v>235</v>
      </c>
      <c r="I64" s="141" t="s">
        <v>235</v>
      </c>
      <c r="J64" s="141" t="s">
        <v>235</v>
      </c>
      <c r="K64" s="141" t="s">
        <v>235</v>
      </c>
      <c r="L64" s="141" t="s">
        <v>235</v>
      </c>
    </row>
    <row r="65" spans="1:12" ht="18" x14ac:dyDescent="0.3">
      <c r="A65" s="125">
        <f t="shared" si="1"/>
        <v>46286</v>
      </c>
      <c r="B65" s="140" t="str">
        <f t="shared" si="0"/>
        <v>Monday</v>
      </c>
      <c r="C65" s="141" t="s">
        <v>235</v>
      </c>
      <c r="D65" s="141" t="s">
        <v>235</v>
      </c>
      <c r="E65" s="141" t="s">
        <v>235</v>
      </c>
      <c r="F65" s="141" t="s">
        <v>235</v>
      </c>
      <c r="G65" s="141" t="s">
        <v>235</v>
      </c>
      <c r="H65" s="141" t="s">
        <v>235</v>
      </c>
      <c r="I65" s="141" t="s">
        <v>235</v>
      </c>
      <c r="J65" s="141" t="s">
        <v>235</v>
      </c>
      <c r="K65" s="141" t="s">
        <v>235</v>
      </c>
      <c r="L65" s="141" t="s">
        <v>235</v>
      </c>
    </row>
    <row r="66" spans="1:12" ht="18" x14ac:dyDescent="0.3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235</v>
      </c>
      <c r="D66" s="141" t="s">
        <v>235</v>
      </c>
      <c r="E66" s="141" t="s">
        <v>235</v>
      </c>
      <c r="F66" s="141" t="s">
        <v>235</v>
      </c>
      <c r="G66" s="141" t="s">
        <v>235</v>
      </c>
      <c r="H66" s="141" t="s">
        <v>235</v>
      </c>
      <c r="I66" s="141" t="s">
        <v>235</v>
      </c>
      <c r="J66" s="141" t="s">
        <v>235</v>
      </c>
      <c r="K66" s="141" t="s">
        <v>235</v>
      </c>
      <c r="L66" s="141" t="s">
        <v>235</v>
      </c>
    </row>
    <row r="67" spans="1:12" ht="18" x14ac:dyDescent="0.3">
      <c r="A67" s="125">
        <f t="shared" si="1"/>
        <v>46288</v>
      </c>
      <c r="B67" s="140" t="str">
        <f t="shared" si="2"/>
        <v>Wednesday</v>
      </c>
      <c r="C67" s="141" t="s">
        <v>235</v>
      </c>
      <c r="D67" s="141" t="s">
        <v>235</v>
      </c>
      <c r="E67" s="141" t="s">
        <v>235</v>
      </c>
      <c r="F67" s="141" t="s">
        <v>235</v>
      </c>
      <c r="G67" s="141" t="s">
        <v>235</v>
      </c>
      <c r="H67" s="141" t="s">
        <v>235</v>
      </c>
      <c r="I67" s="141" t="s">
        <v>235</v>
      </c>
      <c r="J67" s="141" t="s">
        <v>235</v>
      </c>
      <c r="K67" s="141" t="s">
        <v>235</v>
      </c>
      <c r="L67" s="141" t="s">
        <v>235</v>
      </c>
    </row>
    <row r="68" spans="1:12" ht="18" x14ac:dyDescent="0.3">
      <c r="A68" s="125">
        <f t="shared" ref="A68:A131" si="3">A67+1</f>
        <v>46289</v>
      </c>
      <c r="B68" s="140" t="str">
        <f t="shared" si="2"/>
        <v>Thursday</v>
      </c>
      <c r="C68" s="141" t="s">
        <v>235</v>
      </c>
      <c r="D68" s="141" t="s">
        <v>235</v>
      </c>
      <c r="E68" s="141" t="s">
        <v>235</v>
      </c>
      <c r="F68" s="141" t="s">
        <v>235</v>
      </c>
      <c r="G68" s="141" t="s">
        <v>235</v>
      </c>
      <c r="H68" s="141" t="s">
        <v>235</v>
      </c>
      <c r="I68" s="141" t="s">
        <v>235</v>
      </c>
      <c r="J68" s="141" t="s">
        <v>235</v>
      </c>
      <c r="K68" s="141" t="s">
        <v>235</v>
      </c>
      <c r="L68" s="141" t="s">
        <v>235</v>
      </c>
    </row>
    <row r="69" spans="1:12" ht="18" x14ac:dyDescent="0.3">
      <c r="A69" s="125">
        <f t="shared" si="3"/>
        <v>46290</v>
      </c>
      <c r="B69" s="140" t="str">
        <f t="shared" si="2"/>
        <v>Friday</v>
      </c>
      <c r="C69" s="141" t="s">
        <v>235</v>
      </c>
      <c r="D69" s="141" t="s">
        <v>235</v>
      </c>
      <c r="E69" s="141" t="s">
        <v>235</v>
      </c>
      <c r="F69" s="141" t="s">
        <v>235</v>
      </c>
      <c r="G69" s="141" t="s">
        <v>235</v>
      </c>
      <c r="H69" s="141" t="s">
        <v>235</v>
      </c>
      <c r="I69" s="141" t="s">
        <v>235</v>
      </c>
      <c r="J69" s="141" t="s">
        <v>235</v>
      </c>
      <c r="K69" s="141" t="s">
        <v>235</v>
      </c>
      <c r="L69" s="141" t="s">
        <v>235</v>
      </c>
    </row>
    <row r="70" spans="1:12" ht="18" x14ac:dyDescent="0.3">
      <c r="A70" s="125">
        <f t="shared" si="3"/>
        <v>46291</v>
      </c>
      <c r="B70" s="140" t="str">
        <f t="shared" si="2"/>
        <v>Saturday</v>
      </c>
      <c r="C70" s="141" t="s">
        <v>235</v>
      </c>
      <c r="D70" s="141" t="s">
        <v>235</v>
      </c>
      <c r="E70" s="141" t="s">
        <v>235</v>
      </c>
      <c r="F70" s="141" t="s">
        <v>235</v>
      </c>
      <c r="G70" s="141" t="s">
        <v>235</v>
      </c>
      <c r="H70" s="141" t="s">
        <v>235</v>
      </c>
      <c r="I70" s="141" t="s">
        <v>235</v>
      </c>
      <c r="J70" s="141" t="s">
        <v>235</v>
      </c>
      <c r="K70" s="141" t="s">
        <v>235</v>
      </c>
      <c r="L70" s="141" t="s">
        <v>235</v>
      </c>
    </row>
    <row r="71" spans="1:12" ht="18" x14ac:dyDescent="0.3">
      <c r="A71" s="125">
        <f t="shared" si="3"/>
        <v>46292</v>
      </c>
      <c r="B71" s="140" t="str">
        <f t="shared" si="2"/>
        <v>Sunday</v>
      </c>
      <c r="C71" s="141" t="s">
        <v>235</v>
      </c>
      <c r="D71" s="141" t="s">
        <v>235</v>
      </c>
      <c r="E71" s="141" t="s">
        <v>235</v>
      </c>
      <c r="F71" s="141" t="s">
        <v>235</v>
      </c>
      <c r="G71" s="141" t="s">
        <v>235</v>
      </c>
      <c r="H71" s="141" t="s">
        <v>235</v>
      </c>
      <c r="I71" s="141" t="s">
        <v>235</v>
      </c>
      <c r="J71" s="141" t="s">
        <v>235</v>
      </c>
      <c r="K71" s="141" t="s">
        <v>235</v>
      </c>
      <c r="L71" s="141" t="s">
        <v>235</v>
      </c>
    </row>
    <row r="72" spans="1:12" ht="18" x14ac:dyDescent="0.3">
      <c r="A72" s="125">
        <f t="shared" si="3"/>
        <v>46293</v>
      </c>
      <c r="B72" s="140" t="str">
        <f t="shared" si="2"/>
        <v>Monday</v>
      </c>
      <c r="C72" s="141" t="s">
        <v>235</v>
      </c>
      <c r="D72" s="141" t="s">
        <v>235</v>
      </c>
      <c r="E72" s="141" t="s">
        <v>235</v>
      </c>
      <c r="F72" s="141" t="s">
        <v>235</v>
      </c>
      <c r="G72" s="141" t="s">
        <v>235</v>
      </c>
      <c r="H72" s="141" t="s">
        <v>235</v>
      </c>
      <c r="I72" s="141" t="s">
        <v>235</v>
      </c>
      <c r="J72" s="141" t="s">
        <v>235</v>
      </c>
      <c r="K72" s="141" t="s">
        <v>235</v>
      </c>
      <c r="L72" s="141" t="s">
        <v>235</v>
      </c>
    </row>
    <row r="73" spans="1:12" ht="18" x14ac:dyDescent="0.3">
      <c r="A73" s="125">
        <f t="shared" si="3"/>
        <v>46294</v>
      </c>
      <c r="B73" s="140" t="str">
        <f t="shared" si="2"/>
        <v>Tuesday</v>
      </c>
      <c r="C73" s="141" t="s">
        <v>235</v>
      </c>
      <c r="D73" s="141" t="s">
        <v>235</v>
      </c>
      <c r="E73" s="141" t="s">
        <v>235</v>
      </c>
      <c r="F73" s="141" t="s">
        <v>235</v>
      </c>
      <c r="G73" s="141" t="s">
        <v>235</v>
      </c>
      <c r="H73" s="141" t="s">
        <v>235</v>
      </c>
      <c r="I73" s="141" t="s">
        <v>235</v>
      </c>
      <c r="J73" s="141" t="s">
        <v>235</v>
      </c>
      <c r="K73" s="141" t="s">
        <v>235</v>
      </c>
      <c r="L73" s="141" t="s">
        <v>235</v>
      </c>
    </row>
    <row r="74" spans="1:12" ht="18" x14ac:dyDescent="0.3">
      <c r="A74" s="125">
        <f t="shared" si="3"/>
        <v>46295</v>
      </c>
      <c r="B74" s="140" t="str">
        <f t="shared" si="2"/>
        <v>Wednesday</v>
      </c>
      <c r="C74" s="141" t="s">
        <v>235</v>
      </c>
      <c r="D74" s="141" t="s">
        <v>235</v>
      </c>
      <c r="E74" s="141" t="s">
        <v>235</v>
      </c>
      <c r="F74" s="141" t="s">
        <v>235</v>
      </c>
      <c r="G74" s="141" t="s">
        <v>235</v>
      </c>
      <c r="H74" s="141" t="s">
        <v>235</v>
      </c>
      <c r="I74" s="141" t="s">
        <v>235</v>
      </c>
      <c r="J74" s="141" t="s">
        <v>235</v>
      </c>
      <c r="K74" s="141" t="s">
        <v>235</v>
      </c>
      <c r="L74" s="141" t="s">
        <v>235</v>
      </c>
    </row>
    <row r="75" spans="1:12" ht="18" x14ac:dyDescent="0.3">
      <c r="A75" s="125">
        <f t="shared" si="3"/>
        <v>46296</v>
      </c>
      <c r="B75" s="140" t="str">
        <f t="shared" si="2"/>
        <v>Thursday</v>
      </c>
      <c r="C75" s="141" t="s">
        <v>235</v>
      </c>
      <c r="D75" s="141" t="s">
        <v>235</v>
      </c>
      <c r="E75" s="141" t="s">
        <v>235</v>
      </c>
      <c r="F75" s="141" t="s">
        <v>235</v>
      </c>
      <c r="G75" s="141" t="s">
        <v>235</v>
      </c>
      <c r="H75" s="141" t="s">
        <v>235</v>
      </c>
      <c r="I75" s="141" t="s">
        <v>235</v>
      </c>
      <c r="J75" s="141" t="s">
        <v>235</v>
      </c>
      <c r="K75" s="141" t="s">
        <v>235</v>
      </c>
      <c r="L75" s="141" t="s">
        <v>235</v>
      </c>
    </row>
    <row r="76" spans="1:12" ht="18" x14ac:dyDescent="0.3">
      <c r="A76" s="125">
        <f t="shared" si="3"/>
        <v>46297</v>
      </c>
      <c r="B76" s="140" t="str">
        <f t="shared" si="2"/>
        <v>Friday</v>
      </c>
      <c r="C76" s="141" t="s">
        <v>235</v>
      </c>
      <c r="D76" s="141" t="s">
        <v>235</v>
      </c>
      <c r="E76" s="141" t="s">
        <v>235</v>
      </c>
      <c r="F76" s="141" t="s">
        <v>235</v>
      </c>
      <c r="G76" s="141" t="s">
        <v>235</v>
      </c>
      <c r="H76" s="141" t="s">
        <v>235</v>
      </c>
      <c r="I76" s="141" t="s">
        <v>235</v>
      </c>
      <c r="J76" s="141" t="s">
        <v>235</v>
      </c>
      <c r="K76" s="141" t="s">
        <v>235</v>
      </c>
      <c r="L76" s="141" t="s">
        <v>235</v>
      </c>
    </row>
    <row r="77" spans="1:12" ht="18" x14ac:dyDescent="0.3">
      <c r="A77" s="125">
        <f t="shared" si="3"/>
        <v>46298</v>
      </c>
      <c r="B77" s="140" t="str">
        <f t="shared" si="2"/>
        <v>Saturday</v>
      </c>
      <c r="C77" s="141" t="s">
        <v>235</v>
      </c>
      <c r="D77" s="141" t="s">
        <v>235</v>
      </c>
      <c r="E77" s="141" t="s">
        <v>235</v>
      </c>
      <c r="F77" s="141" t="s">
        <v>235</v>
      </c>
      <c r="G77" s="141" t="s">
        <v>235</v>
      </c>
      <c r="H77" s="141" t="s">
        <v>235</v>
      </c>
      <c r="I77" s="141" t="s">
        <v>235</v>
      </c>
      <c r="J77" s="141" t="s">
        <v>235</v>
      </c>
      <c r="K77" s="141" t="s">
        <v>235</v>
      </c>
      <c r="L77" s="141" t="s">
        <v>235</v>
      </c>
    </row>
    <row r="78" spans="1:12" ht="18" x14ac:dyDescent="0.3">
      <c r="A78" s="125">
        <f t="shared" si="3"/>
        <v>46299</v>
      </c>
      <c r="B78" s="140" t="str">
        <f t="shared" si="2"/>
        <v>Sunday</v>
      </c>
      <c r="C78" s="141" t="s">
        <v>235</v>
      </c>
      <c r="D78" s="141" t="s">
        <v>235</v>
      </c>
      <c r="E78" s="141" t="s">
        <v>235</v>
      </c>
      <c r="F78" s="141" t="s">
        <v>235</v>
      </c>
      <c r="G78" s="141" t="s">
        <v>235</v>
      </c>
      <c r="H78" s="141" t="s">
        <v>235</v>
      </c>
      <c r="I78" s="141" t="s">
        <v>235</v>
      </c>
      <c r="J78" s="141" t="s">
        <v>235</v>
      </c>
      <c r="K78" s="141" t="s">
        <v>235</v>
      </c>
      <c r="L78" s="141" t="s">
        <v>235</v>
      </c>
    </row>
    <row r="79" spans="1:12" ht="18" x14ac:dyDescent="0.3">
      <c r="A79" s="125">
        <f t="shared" si="3"/>
        <v>46300</v>
      </c>
      <c r="B79" s="140" t="str">
        <f t="shared" si="2"/>
        <v>Monday</v>
      </c>
      <c r="C79" s="141" t="s">
        <v>235</v>
      </c>
      <c r="D79" s="141" t="s">
        <v>235</v>
      </c>
      <c r="E79" s="141" t="s">
        <v>235</v>
      </c>
      <c r="F79" s="141" t="s">
        <v>235</v>
      </c>
      <c r="G79" s="141" t="s">
        <v>235</v>
      </c>
      <c r="H79" s="141" t="s">
        <v>235</v>
      </c>
      <c r="I79" s="141" t="s">
        <v>235</v>
      </c>
      <c r="J79" s="141" t="s">
        <v>235</v>
      </c>
      <c r="K79" s="141" t="s">
        <v>235</v>
      </c>
      <c r="L79" s="141" t="s">
        <v>235</v>
      </c>
    </row>
    <row r="80" spans="1:12" ht="18" x14ac:dyDescent="0.3">
      <c r="A80" s="125">
        <f t="shared" si="3"/>
        <v>46301</v>
      </c>
      <c r="B80" s="140" t="str">
        <f t="shared" si="2"/>
        <v>Tuesday</v>
      </c>
      <c r="C80" s="141" t="s">
        <v>235</v>
      </c>
      <c r="D80" s="141" t="s">
        <v>235</v>
      </c>
      <c r="E80" s="141" t="s">
        <v>235</v>
      </c>
      <c r="F80" s="141" t="s">
        <v>235</v>
      </c>
      <c r="G80" s="141" t="s">
        <v>235</v>
      </c>
      <c r="H80" s="141" t="s">
        <v>235</v>
      </c>
      <c r="I80" s="141" t="s">
        <v>235</v>
      </c>
      <c r="J80" s="141" t="s">
        <v>235</v>
      </c>
      <c r="K80" s="141" t="s">
        <v>235</v>
      </c>
      <c r="L80" s="141" t="s">
        <v>235</v>
      </c>
    </row>
    <row r="81" spans="1:12" ht="18" x14ac:dyDescent="0.3">
      <c r="A81" s="125">
        <f t="shared" si="3"/>
        <v>46302</v>
      </c>
      <c r="B81" s="140" t="str">
        <f t="shared" si="2"/>
        <v>Wednesday</v>
      </c>
      <c r="C81" s="141" t="s">
        <v>235</v>
      </c>
      <c r="D81" s="141" t="s">
        <v>235</v>
      </c>
      <c r="E81" s="141" t="s">
        <v>235</v>
      </c>
      <c r="F81" s="141" t="s">
        <v>235</v>
      </c>
      <c r="G81" s="141" t="s">
        <v>235</v>
      </c>
      <c r="H81" s="141" t="s">
        <v>235</v>
      </c>
      <c r="I81" s="141" t="s">
        <v>235</v>
      </c>
      <c r="J81" s="141" t="s">
        <v>235</v>
      </c>
      <c r="K81" s="141" t="s">
        <v>235</v>
      </c>
      <c r="L81" s="141" t="s">
        <v>235</v>
      </c>
    </row>
    <row r="82" spans="1:12" ht="18" x14ac:dyDescent="0.3">
      <c r="A82" s="125">
        <f t="shared" si="3"/>
        <v>46303</v>
      </c>
      <c r="B82" s="140" t="str">
        <f t="shared" si="2"/>
        <v>Thursday</v>
      </c>
      <c r="C82" s="141" t="s">
        <v>235</v>
      </c>
      <c r="D82" s="141" t="s">
        <v>235</v>
      </c>
      <c r="E82" s="141" t="s">
        <v>235</v>
      </c>
      <c r="F82" s="141" t="s">
        <v>235</v>
      </c>
      <c r="G82" s="141" t="s">
        <v>235</v>
      </c>
      <c r="H82" s="141" t="s">
        <v>235</v>
      </c>
      <c r="I82" s="141" t="s">
        <v>235</v>
      </c>
      <c r="J82" s="141" t="s">
        <v>235</v>
      </c>
      <c r="K82" s="141" t="s">
        <v>235</v>
      </c>
      <c r="L82" s="141" t="s">
        <v>235</v>
      </c>
    </row>
    <row r="83" spans="1:12" ht="18" x14ac:dyDescent="0.3">
      <c r="A83" s="125">
        <f t="shared" si="3"/>
        <v>46304</v>
      </c>
      <c r="B83" s="140" t="str">
        <f t="shared" si="2"/>
        <v>Friday</v>
      </c>
      <c r="C83" s="141" t="s">
        <v>235</v>
      </c>
      <c r="D83" s="141" t="s">
        <v>235</v>
      </c>
      <c r="E83" s="141" t="s">
        <v>235</v>
      </c>
      <c r="F83" s="141" t="s">
        <v>235</v>
      </c>
      <c r="G83" s="141" t="s">
        <v>235</v>
      </c>
      <c r="H83" s="141" t="s">
        <v>235</v>
      </c>
      <c r="I83" s="141" t="s">
        <v>235</v>
      </c>
      <c r="J83" s="141" t="s">
        <v>235</v>
      </c>
      <c r="K83" s="141" t="s">
        <v>235</v>
      </c>
      <c r="L83" s="141" t="s">
        <v>235</v>
      </c>
    </row>
    <row r="84" spans="1:12" ht="18" x14ac:dyDescent="0.3">
      <c r="A84" s="125">
        <f t="shared" si="3"/>
        <v>46305</v>
      </c>
      <c r="B84" s="140" t="str">
        <f t="shared" si="2"/>
        <v>Saturday</v>
      </c>
      <c r="C84" s="141" t="s">
        <v>235</v>
      </c>
      <c r="D84" s="141" t="s">
        <v>235</v>
      </c>
      <c r="E84" s="141" t="s">
        <v>235</v>
      </c>
      <c r="F84" s="141" t="s">
        <v>235</v>
      </c>
      <c r="G84" s="141" t="s">
        <v>235</v>
      </c>
      <c r="H84" s="141" t="s">
        <v>235</v>
      </c>
      <c r="I84" s="141" t="s">
        <v>235</v>
      </c>
      <c r="J84" s="141" t="s">
        <v>235</v>
      </c>
      <c r="K84" s="141" t="s">
        <v>235</v>
      </c>
      <c r="L84" s="141" t="s">
        <v>235</v>
      </c>
    </row>
    <row r="85" spans="1:12" ht="18" x14ac:dyDescent="0.3">
      <c r="A85" s="125">
        <f t="shared" si="3"/>
        <v>46306</v>
      </c>
      <c r="B85" s="140" t="str">
        <f t="shared" si="2"/>
        <v>Sunday</v>
      </c>
      <c r="C85" s="141" t="s">
        <v>235</v>
      </c>
      <c r="D85" s="141" t="s">
        <v>235</v>
      </c>
      <c r="E85" s="141" t="s">
        <v>235</v>
      </c>
      <c r="F85" s="141" t="s">
        <v>235</v>
      </c>
      <c r="G85" s="141" t="s">
        <v>235</v>
      </c>
      <c r="H85" s="141" t="s">
        <v>235</v>
      </c>
      <c r="I85" s="141" t="s">
        <v>235</v>
      </c>
      <c r="J85" s="141" t="s">
        <v>235</v>
      </c>
      <c r="K85" s="141" t="s">
        <v>235</v>
      </c>
      <c r="L85" s="141" t="s">
        <v>235</v>
      </c>
    </row>
    <row r="86" spans="1:12" ht="18" x14ac:dyDescent="0.3">
      <c r="A86" s="125">
        <f t="shared" si="3"/>
        <v>46307</v>
      </c>
      <c r="B86" s="140" t="str">
        <f t="shared" si="2"/>
        <v>Monday</v>
      </c>
      <c r="C86" s="141" t="s">
        <v>235</v>
      </c>
      <c r="D86" s="141" t="s">
        <v>235</v>
      </c>
      <c r="E86" s="141" t="s">
        <v>235</v>
      </c>
      <c r="F86" s="141" t="s">
        <v>235</v>
      </c>
      <c r="G86" s="141" t="s">
        <v>235</v>
      </c>
      <c r="H86" s="141" t="s">
        <v>235</v>
      </c>
      <c r="I86" s="141" t="s">
        <v>235</v>
      </c>
      <c r="J86" s="141" t="s">
        <v>235</v>
      </c>
      <c r="K86" s="141" t="s">
        <v>235</v>
      </c>
      <c r="L86" s="141" t="s">
        <v>235</v>
      </c>
    </row>
    <row r="87" spans="1:12" ht="18" x14ac:dyDescent="0.3">
      <c r="A87" s="125">
        <f t="shared" si="3"/>
        <v>46308</v>
      </c>
      <c r="B87" s="140" t="str">
        <f t="shared" si="2"/>
        <v>Tuesday</v>
      </c>
      <c r="C87" s="141" t="s">
        <v>235</v>
      </c>
      <c r="D87" s="141" t="s">
        <v>235</v>
      </c>
      <c r="E87" s="141" t="s">
        <v>235</v>
      </c>
      <c r="F87" s="141" t="s">
        <v>235</v>
      </c>
      <c r="G87" s="141" t="s">
        <v>235</v>
      </c>
      <c r="H87" s="141" t="s">
        <v>235</v>
      </c>
      <c r="I87" s="141" t="s">
        <v>235</v>
      </c>
      <c r="J87" s="141" t="s">
        <v>235</v>
      </c>
      <c r="K87" s="141" t="s">
        <v>235</v>
      </c>
      <c r="L87" s="141" t="s">
        <v>235</v>
      </c>
    </row>
    <row r="88" spans="1:12" ht="18" x14ac:dyDescent="0.3">
      <c r="A88" s="125">
        <f t="shared" si="3"/>
        <v>46309</v>
      </c>
      <c r="B88" s="140" t="str">
        <f t="shared" si="2"/>
        <v>Wednesday</v>
      </c>
      <c r="C88" s="141" t="s">
        <v>235</v>
      </c>
      <c r="D88" s="141" t="s">
        <v>235</v>
      </c>
      <c r="E88" s="141" t="s">
        <v>235</v>
      </c>
      <c r="F88" s="141" t="s">
        <v>235</v>
      </c>
      <c r="G88" s="141" t="s">
        <v>235</v>
      </c>
      <c r="H88" s="141" t="s">
        <v>235</v>
      </c>
      <c r="I88" s="141" t="s">
        <v>235</v>
      </c>
      <c r="J88" s="141" t="s">
        <v>235</v>
      </c>
      <c r="K88" s="141" t="s">
        <v>235</v>
      </c>
      <c r="L88" s="141" t="s">
        <v>235</v>
      </c>
    </row>
    <row r="89" spans="1:12" ht="18" x14ac:dyDescent="0.3">
      <c r="A89" s="125">
        <f t="shared" si="3"/>
        <v>46310</v>
      </c>
      <c r="B89" s="140" t="str">
        <f t="shared" si="2"/>
        <v>Thursday</v>
      </c>
      <c r="C89" s="141" t="s">
        <v>235</v>
      </c>
      <c r="D89" s="141" t="s">
        <v>235</v>
      </c>
      <c r="E89" s="141" t="s">
        <v>235</v>
      </c>
      <c r="F89" s="141" t="s">
        <v>235</v>
      </c>
      <c r="G89" s="141" t="s">
        <v>235</v>
      </c>
      <c r="H89" s="141" t="s">
        <v>235</v>
      </c>
      <c r="I89" s="141" t="s">
        <v>235</v>
      </c>
      <c r="J89" s="141" t="s">
        <v>235</v>
      </c>
      <c r="K89" s="141" t="s">
        <v>235</v>
      </c>
      <c r="L89" s="141" t="s">
        <v>235</v>
      </c>
    </row>
    <row r="90" spans="1:12" ht="18" x14ac:dyDescent="0.3">
      <c r="A90" s="125">
        <f t="shared" si="3"/>
        <v>46311</v>
      </c>
      <c r="B90" s="140" t="str">
        <f t="shared" si="2"/>
        <v>Friday</v>
      </c>
      <c r="C90" s="141" t="s">
        <v>235</v>
      </c>
      <c r="D90" s="141" t="s">
        <v>235</v>
      </c>
      <c r="E90" s="141" t="s">
        <v>235</v>
      </c>
      <c r="F90" s="141" t="s">
        <v>235</v>
      </c>
      <c r="G90" s="141" t="s">
        <v>235</v>
      </c>
      <c r="H90" s="141" t="s">
        <v>235</v>
      </c>
      <c r="I90" s="141" t="s">
        <v>235</v>
      </c>
      <c r="J90" s="141" t="s">
        <v>235</v>
      </c>
      <c r="K90" s="141" t="s">
        <v>235</v>
      </c>
      <c r="L90" s="141" t="s">
        <v>235</v>
      </c>
    </row>
    <row r="91" spans="1:12" ht="18" x14ac:dyDescent="0.3">
      <c r="A91" s="125">
        <f t="shared" si="3"/>
        <v>46312</v>
      </c>
      <c r="B91" s="140" t="str">
        <f t="shared" si="2"/>
        <v>Saturday</v>
      </c>
      <c r="C91" s="141" t="s">
        <v>235</v>
      </c>
      <c r="D91" s="141" t="s">
        <v>235</v>
      </c>
      <c r="E91" s="141" t="s">
        <v>235</v>
      </c>
      <c r="F91" s="141" t="s">
        <v>235</v>
      </c>
      <c r="G91" s="141" t="s">
        <v>235</v>
      </c>
      <c r="H91" s="141" t="s">
        <v>235</v>
      </c>
      <c r="I91" s="141" t="s">
        <v>235</v>
      </c>
      <c r="J91" s="141" t="s">
        <v>235</v>
      </c>
      <c r="K91" s="141" t="s">
        <v>235</v>
      </c>
      <c r="L91" s="141" t="s">
        <v>235</v>
      </c>
    </row>
    <row r="92" spans="1:12" ht="18" x14ac:dyDescent="0.3">
      <c r="A92" s="125">
        <f t="shared" si="3"/>
        <v>46313</v>
      </c>
      <c r="B92" s="140" t="str">
        <f t="shared" si="2"/>
        <v>Sunday</v>
      </c>
      <c r="C92" s="141" t="s">
        <v>235</v>
      </c>
      <c r="D92" s="141" t="s">
        <v>235</v>
      </c>
      <c r="E92" s="141" t="s">
        <v>235</v>
      </c>
      <c r="F92" s="141" t="s">
        <v>235</v>
      </c>
      <c r="G92" s="141" t="s">
        <v>235</v>
      </c>
      <c r="H92" s="141" t="s">
        <v>235</v>
      </c>
      <c r="I92" s="141" t="s">
        <v>235</v>
      </c>
      <c r="J92" s="141" t="s">
        <v>235</v>
      </c>
      <c r="K92" s="141" t="s">
        <v>235</v>
      </c>
      <c r="L92" s="141" t="s">
        <v>235</v>
      </c>
    </row>
    <row r="93" spans="1:12" ht="18" x14ac:dyDescent="0.3">
      <c r="A93" s="125">
        <f t="shared" si="3"/>
        <v>46314</v>
      </c>
      <c r="B93" s="140" t="str">
        <f t="shared" si="2"/>
        <v>Monday</v>
      </c>
      <c r="C93" s="141" t="s">
        <v>235</v>
      </c>
      <c r="D93" s="141" t="s">
        <v>235</v>
      </c>
      <c r="E93" s="141" t="s">
        <v>235</v>
      </c>
      <c r="F93" s="141" t="s">
        <v>235</v>
      </c>
      <c r="G93" s="141" t="s">
        <v>235</v>
      </c>
      <c r="H93" s="141" t="s">
        <v>235</v>
      </c>
      <c r="I93" s="141" t="s">
        <v>235</v>
      </c>
      <c r="J93" s="141" t="s">
        <v>235</v>
      </c>
      <c r="K93" s="141" t="s">
        <v>235</v>
      </c>
      <c r="L93" s="141" t="s">
        <v>235</v>
      </c>
    </row>
    <row r="94" spans="1:12" ht="18" x14ac:dyDescent="0.3">
      <c r="A94" s="125">
        <f t="shared" si="3"/>
        <v>46315</v>
      </c>
      <c r="B94" s="140" t="str">
        <f t="shared" si="2"/>
        <v>Tuesday</v>
      </c>
      <c r="C94" s="141" t="s">
        <v>235</v>
      </c>
      <c r="D94" s="141" t="s">
        <v>235</v>
      </c>
      <c r="E94" s="141" t="s">
        <v>235</v>
      </c>
      <c r="F94" s="141" t="s">
        <v>235</v>
      </c>
      <c r="G94" s="141" t="s">
        <v>235</v>
      </c>
      <c r="H94" s="141" t="s">
        <v>235</v>
      </c>
      <c r="I94" s="141" t="s">
        <v>235</v>
      </c>
      <c r="J94" s="141" t="s">
        <v>235</v>
      </c>
      <c r="K94" s="141" t="s">
        <v>235</v>
      </c>
      <c r="L94" s="141" t="s">
        <v>235</v>
      </c>
    </row>
    <row r="95" spans="1:12" ht="18" x14ac:dyDescent="0.3">
      <c r="A95" s="125">
        <f t="shared" si="3"/>
        <v>46316</v>
      </c>
      <c r="B95" s="140" t="str">
        <f t="shared" si="2"/>
        <v>Wednesday</v>
      </c>
      <c r="C95" s="141" t="s">
        <v>235</v>
      </c>
      <c r="D95" s="141" t="s">
        <v>235</v>
      </c>
      <c r="E95" s="141" t="s">
        <v>235</v>
      </c>
      <c r="F95" s="141" t="s">
        <v>235</v>
      </c>
      <c r="G95" s="141" t="s">
        <v>235</v>
      </c>
      <c r="H95" s="141" t="s">
        <v>235</v>
      </c>
      <c r="I95" s="141" t="s">
        <v>235</v>
      </c>
      <c r="J95" s="141" t="s">
        <v>235</v>
      </c>
      <c r="K95" s="141" t="s">
        <v>235</v>
      </c>
      <c r="L95" s="141" t="s">
        <v>235</v>
      </c>
    </row>
    <row r="96" spans="1:12" ht="18" x14ac:dyDescent="0.3">
      <c r="A96" s="125">
        <f t="shared" si="3"/>
        <v>46317</v>
      </c>
      <c r="B96" s="140" t="str">
        <f t="shared" si="2"/>
        <v>Thursday</v>
      </c>
      <c r="C96" s="141" t="s">
        <v>235</v>
      </c>
      <c r="D96" s="141" t="s">
        <v>235</v>
      </c>
      <c r="E96" s="141" t="s">
        <v>235</v>
      </c>
      <c r="F96" s="141" t="s">
        <v>235</v>
      </c>
      <c r="G96" s="141" t="s">
        <v>235</v>
      </c>
      <c r="H96" s="141" t="s">
        <v>235</v>
      </c>
      <c r="I96" s="141" t="s">
        <v>235</v>
      </c>
      <c r="J96" s="141" t="s">
        <v>235</v>
      </c>
      <c r="K96" s="141" t="s">
        <v>235</v>
      </c>
      <c r="L96" s="141" t="s">
        <v>235</v>
      </c>
    </row>
    <row r="97" spans="1:12" ht="18" x14ac:dyDescent="0.3">
      <c r="A97" s="125">
        <f t="shared" si="3"/>
        <v>46318</v>
      </c>
      <c r="B97" s="140" t="str">
        <f t="shared" si="2"/>
        <v>Friday</v>
      </c>
      <c r="C97" s="141" t="s">
        <v>235</v>
      </c>
      <c r="D97" s="141" t="s">
        <v>235</v>
      </c>
      <c r="E97" s="141" t="s">
        <v>235</v>
      </c>
      <c r="F97" s="141" t="s">
        <v>235</v>
      </c>
      <c r="G97" s="141" t="s">
        <v>235</v>
      </c>
      <c r="H97" s="141" t="s">
        <v>235</v>
      </c>
      <c r="I97" s="141" t="s">
        <v>235</v>
      </c>
      <c r="J97" s="141" t="s">
        <v>235</v>
      </c>
      <c r="K97" s="141" t="s">
        <v>235</v>
      </c>
      <c r="L97" s="141" t="s">
        <v>235</v>
      </c>
    </row>
    <row r="98" spans="1:12" ht="18" x14ac:dyDescent="0.3">
      <c r="A98" s="125">
        <f t="shared" si="3"/>
        <v>46319</v>
      </c>
      <c r="B98" s="140" t="str">
        <f t="shared" si="2"/>
        <v>Saturday</v>
      </c>
      <c r="C98" s="141" t="s">
        <v>235</v>
      </c>
      <c r="D98" s="141" t="s">
        <v>235</v>
      </c>
      <c r="E98" s="141" t="s">
        <v>235</v>
      </c>
      <c r="F98" s="141" t="s">
        <v>235</v>
      </c>
      <c r="G98" s="141" t="s">
        <v>235</v>
      </c>
      <c r="H98" s="141" t="s">
        <v>235</v>
      </c>
      <c r="I98" s="141" t="s">
        <v>235</v>
      </c>
      <c r="J98" s="141" t="s">
        <v>235</v>
      </c>
      <c r="K98" s="141" t="s">
        <v>235</v>
      </c>
      <c r="L98" s="141" t="s">
        <v>235</v>
      </c>
    </row>
    <row r="99" spans="1:12" ht="18" x14ac:dyDescent="0.3">
      <c r="A99" s="125">
        <f t="shared" si="3"/>
        <v>46320</v>
      </c>
      <c r="B99" s="140" t="str">
        <f t="shared" si="2"/>
        <v>Sunday</v>
      </c>
      <c r="C99" s="141" t="s">
        <v>235</v>
      </c>
      <c r="D99" s="141" t="s">
        <v>235</v>
      </c>
      <c r="E99" s="141" t="s">
        <v>235</v>
      </c>
      <c r="F99" s="141" t="s">
        <v>235</v>
      </c>
      <c r="G99" s="141" t="s">
        <v>235</v>
      </c>
      <c r="H99" s="141" t="s">
        <v>235</v>
      </c>
      <c r="I99" s="141" t="s">
        <v>235</v>
      </c>
      <c r="J99" s="141" t="s">
        <v>235</v>
      </c>
      <c r="K99" s="141" t="s">
        <v>235</v>
      </c>
      <c r="L99" s="141" t="s">
        <v>235</v>
      </c>
    </row>
    <row r="100" spans="1:12" ht="18" x14ac:dyDescent="0.3">
      <c r="A100" s="125">
        <f t="shared" si="3"/>
        <v>46321</v>
      </c>
      <c r="B100" s="140" t="str">
        <f t="shared" si="2"/>
        <v>Monday</v>
      </c>
      <c r="C100" s="141" t="s">
        <v>235</v>
      </c>
      <c r="D100" s="141" t="s">
        <v>235</v>
      </c>
      <c r="E100" s="141" t="s">
        <v>235</v>
      </c>
      <c r="F100" s="141" t="s">
        <v>235</v>
      </c>
      <c r="G100" s="141" t="s">
        <v>235</v>
      </c>
      <c r="H100" s="141" t="s">
        <v>235</v>
      </c>
      <c r="I100" s="141" t="s">
        <v>235</v>
      </c>
      <c r="J100" s="141" t="s">
        <v>235</v>
      </c>
      <c r="K100" s="141" t="s">
        <v>235</v>
      </c>
      <c r="L100" s="141" t="s">
        <v>235</v>
      </c>
    </row>
    <row r="101" spans="1:12" ht="18" x14ac:dyDescent="0.3">
      <c r="A101" s="125">
        <f t="shared" si="3"/>
        <v>46322</v>
      </c>
      <c r="B101" s="140" t="str">
        <f t="shared" si="2"/>
        <v>Tuesday</v>
      </c>
      <c r="C101" s="141" t="s">
        <v>235</v>
      </c>
      <c r="D101" s="141" t="s">
        <v>235</v>
      </c>
      <c r="E101" s="141" t="s">
        <v>235</v>
      </c>
      <c r="F101" s="141" t="s">
        <v>235</v>
      </c>
      <c r="G101" s="141" t="s">
        <v>235</v>
      </c>
      <c r="H101" s="141" t="s">
        <v>235</v>
      </c>
      <c r="I101" s="141" t="s">
        <v>235</v>
      </c>
      <c r="J101" s="141" t="s">
        <v>235</v>
      </c>
      <c r="K101" s="141" t="s">
        <v>235</v>
      </c>
      <c r="L101" s="141" t="s">
        <v>235</v>
      </c>
    </row>
    <row r="102" spans="1:12" ht="18" x14ac:dyDescent="0.3">
      <c r="A102" s="125">
        <f t="shared" si="3"/>
        <v>46323</v>
      </c>
      <c r="B102" s="140" t="str">
        <f t="shared" si="2"/>
        <v>Wednesday</v>
      </c>
      <c r="C102" s="141" t="s">
        <v>235</v>
      </c>
      <c r="D102" s="141" t="s">
        <v>235</v>
      </c>
      <c r="E102" s="141" t="s">
        <v>235</v>
      </c>
      <c r="F102" s="141" t="s">
        <v>235</v>
      </c>
      <c r="G102" s="141" t="s">
        <v>235</v>
      </c>
      <c r="H102" s="141" t="s">
        <v>235</v>
      </c>
      <c r="I102" s="141" t="s">
        <v>235</v>
      </c>
      <c r="J102" s="141" t="s">
        <v>235</v>
      </c>
      <c r="K102" s="141" t="s">
        <v>235</v>
      </c>
      <c r="L102" s="141" t="s">
        <v>235</v>
      </c>
    </row>
    <row r="103" spans="1:12" ht="18" x14ac:dyDescent="0.3">
      <c r="A103" s="125">
        <f t="shared" si="3"/>
        <v>46324</v>
      </c>
      <c r="B103" s="140" t="str">
        <f t="shared" si="2"/>
        <v>Thursday</v>
      </c>
      <c r="C103" s="141" t="s">
        <v>235</v>
      </c>
      <c r="D103" s="141" t="s">
        <v>235</v>
      </c>
      <c r="E103" s="141" t="s">
        <v>235</v>
      </c>
      <c r="F103" s="141" t="s">
        <v>235</v>
      </c>
      <c r="G103" s="141" t="s">
        <v>235</v>
      </c>
      <c r="H103" s="141" t="s">
        <v>235</v>
      </c>
      <c r="I103" s="141" t="s">
        <v>235</v>
      </c>
      <c r="J103" s="141" t="s">
        <v>235</v>
      </c>
      <c r="K103" s="141" t="s">
        <v>235</v>
      </c>
      <c r="L103" s="141" t="s">
        <v>235</v>
      </c>
    </row>
    <row r="104" spans="1:12" ht="18" x14ac:dyDescent="0.3">
      <c r="A104" s="125">
        <f t="shared" si="3"/>
        <v>46325</v>
      </c>
      <c r="B104" s="140" t="str">
        <f t="shared" si="2"/>
        <v>Friday</v>
      </c>
      <c r="C104" s="141" t="s">
        <v>235</v>
      </c>
      <c r="D104" s="141" t="s">
        <v>235</v>
      </c>
      <c r="E104" s="141" t="s">
        <v>235</v>
      </c>
      <c r="F104" s="141" t="s">
        <v>235</v>
      </c>
      <c r="G104" s="141" t="s">
        <v>235</v>
      </c>
      <c r="H104" s="141" t="s">
        <v>235</v>
      </c>
      <c r="I104" s="141" t="s">
        <v>235</v>
      </c>
      <c r="J104" s="141" t="s">
        <v>235</v>
      </c>
      <c r="K104" s="141" t="s">
        <v>235</v>
      </c>
      <c r="L104" s="141" t="s">
        <v>235</v>
      </c>
    </row>
    <row r="105" spans="1:12" ht="18" x14ac:dyDescent="0.3">
      <c r="A105" s="125">
        <f t="shared" si="3"/>
        <v>46326</v>
      </c>
      <c r="B105" s="140" t="str">
        <f t="shared" si="2"/>
        <v>Saturday</v>
      </c>
      <c r="C105" s="141" t="s">
        <v>235</v>
      </c>
      <c r="D105" s="141" t="s">
        <v>235</v>
      </c>
      <c r="E105" s="141" t="s">
        <v>235</v>
      </c>
      <c r="F105" s="141" t="s">
        <v>235</v>
      </c>
      <c r="G105" s="141" t="s">
        <v>235</v>
      </c>
      <c r="H105" s="141" t="s">
        <v>235</v>
      </c>
      <c r="I105" s="141" t="s">
        <v>235</v>
      </c>
      <c r="J105" s="141" t="s">
        <v>235</v>
      </c>
      <c r="K105" s="141" t="s">
        <v>235</v>
      </c>
      <c r="L105" s="141" t="s">
        <v>235</v>
      </c>
    </row>
    <row r="106" spans="1:12" ht="18" x14ac:dyDescent="0.3">
      <c r="A106" s="125">
        <f t="shared" si="3"/>
        <v>46327</v>
      </c>
      <c r="B106" s="140" t="str">
        <f t="shared" si="2"/>
        <v>Sunday</v>
      </c>
      <c r="C106" s="141" t="s">
        <v>235</v>
      </c>
      <c r="D106" s="141" t="s">
        <v>235</v>
      </c>
      <c r="E106" s="141" t="s">
        <v>235</v>
      </c>
      <c r="F106" s="141" t="s">
        <v>235</v>
      </c>
      <c r="G106" s="141" t="s">
        <v>235</v>
      </c>
      <c r="H106" s="141" t="s">
        <v>235</v>
      </c>
      <c r="I106" s="141" t="s">
        <v>235</v>
      </c>
      <c r="J106" s="141" t="s">
        <v>235</v>
      </c>
      <c r="K106" s="141" t="s">
        <v>235</v>
      </c>
      <c r="L106" s="141" t="s">
        <v>235</v>
      </c>
    </row>
    <row r="107" spans="1:12" ht="18" x14ac:dyDescent="0.3">
      <c r="A107" s="125">
        <f t="shared" si="3"/>
        <v>46328</v>
      </c>
      <c r="B107" s="140" t="str">
        <f t="shared" si="2"/>
        <v>Monday</v>
      </c>
      <c r="C107" s="141" t="s">
        <v>235</v>
      </c>
      <c r="D107" s="141" t="s">
        <v>235</v>
      </c>
      <c r="E107" s="141" t="s">
        <v>235</v>
      </c>
      <c r="F107" s="141" t="s">
        <v>235</v>
      </c>
      <c r="G107" s="141" t="s">
        <v>235</v>
      </c>
      <c r="H107" s="141" t="s">
        <v>235</v>
      </c>
      <c r="I107" s="141" t="s">
        <v>235</v>
      </c>
      <c r="J107" s="141" t="s">
        <v>235</v>
      </c>
      <c r="K107" s="141" t="s">
        <v>235</v>
      </c>
      <c r="L107" s="141" t="s">
        <v>235</v>
      </c>
    </row>
    <row r="108" spans="1:12" ht="18" x14ac:dyDescent="0.3">
      <c r="A108" s="125">
        <f t="shared" si="3"/>
        <v>46329</v>
      </c>
      <c r="B108" s="140" t="str">
        <f t="shared" si="2"/>
        <v>Tuesday</v>
      </c>
      <c r="C108" s="141" t="s">
        <v>235</v>
      </c>
      <c r="D108" s="141" t="s">
        <v>235</v>
      </c>
      <c r="E108" s="141" t="s">
        <v>235</v>
      </c>
      <c r="F108" s="141" t="s">
        <v>235</v>
      </c>
      <c r="G108" s="141" t="s">
        <v>235</v>
      </c>
      <c r="H108" s="141" t="s">
        <v>235</v>
      </c>
      <c r="I108" s="141" t="s">
        <v>235</v>
      </c>
      <c r="J108" s="141" t="s">
        <v>235</v>
      </c>
      <c r="K108" s="141" t="s">
        <v>235</v>
      </c>
      <c r="L108" s="141" t="s">
        <v>235</v>
      </c>
    </row>
    <row r="109" spans="1:12" ht="18" x14ac:dyDescent="0.3">
      <c r="A109" s="125">
        <f t="shared" si="3"/>
        <v>46330</v>
      </c>
      <c r="B109" s="140" t="str">
        <f t="shared" si="2"/>
        <v>Wednesday</v>
      </c>
      <c r="C109" s="141" t="s">
        <v>235</v>
      </c>
      <c r="D109" s="141" t="s">
        <v>235</v>
      </c>
      <c r="E109" s="141" t="s">
        <v>235</v>
      </c>
      <c r="F109" s="141" t="s">
        <v>235</v>
      </c>
      <c r="G109" s="141" t="s">
        <v>235</v>
      </c>
      <c r="H109" s="141" t="s">
        <v>235</v>
      </c>
      <c r="I109" s="141" t="s">
        <v>235</v>
      </c>
      <c r="J109" s="141" t="s">
        <v>235</v>
      </c>
      <c r="K109" s="141" t="s">
        <v>235</v>
      </c>
      <c r="L109" s="141" t="s">
        <v>235</v>
      </c>
    </row>
    <row r="110" spans="1:12" ht="18" x14ac:dyDescent="0.3">
      <c r="A110" s="125">
        <f t="shared" si="3"/>
        <v>46331</v>
      </c>
      <c r="B110" s="140" t="str">
        <f t="shared" si="2"/>
        <v>Thursday</v>
      </c>
      <c r="C110" s="141" t="s">
        <v>235</v>
      </c>
      <c r="D110" s="141" t="s">
        <v>235</v>
      </c>
      <c r="E110" s="141" t="s">
        <v>235</v>
      </c>
      <c r="F110" s="141" t="s">
        <v>235</v>
      </c>
      <c r="G110" s="141" t="s">
        <v>235</v>
      </c>
      <c r="H110" s="141" t="s">
        <v>235</v>
      </c>
      <c r="I110" s="141" t="s">
        <v>235</v>
      </c>
      <c r="J110" s="141" t="s">
        <v>235</v>
      </c>
      <c r="K110" s="141" t="s">
        <v>235</v>
      </c>
      <c r="L110" s="141" t="s">
        <v>235</v>
      </c>
    </row>
    <row r="111" spans="1:12" ht="18" x14ac:dyDescent="0.3">
      <c r="A111" s="125">
        <f t="shared" si="3"/>
        <v>46332</v>
      </c>
      <c r="B111" s="140" t="str">
        <f t="shared" si="2"/>
        <v>Friday</v>
      </c>
      <c r="C111" s="141" t="s">
        <v>235</v>
      </c>
      <c r="D111" s="141" t="s">
        <v>235</v>
      </c>
      <c r="E111" s="141" t="s">
        <v>235</v>
      </c>
      <c r="F111" s="141" t="s">
        <v>235</v>
      </c>
      <c r="G111" s="141" t="s">
        <v>235</v>
      </c>
      <c r="H111" s="141" t="s">
        <v>235</v>
      </c>
      <c r="I111" s="141" t="s">
        <v>235</v>
      </c>
      <c r="J111" s="141" t="s">
        <v>235</v>
      </c>
      <c r="K111" s="141" t="s">
        <v>235</v>
      </c>
      <c r="L111" s="141" t="s">
        <v>235</v>
      </c>
    </row>
    <row r="112" spans="1:12" ht="18" x14ac:dyDescent="0.3">
      <c r="A112" s="125">
        <f t="shared" si="3"/>
        <v>46333</v>
      </c>
      <c r="B112" s="140" t="str">
        <f t="shared" si="2"/>
        <v>Saturday</v>
      </c>
      <c r="C112" s="141" t="s">
        <v>235</v>
      </c>
      <c r="D112" s="141" t="s">
        <v>235</v>
      </c>
      <c r="E112" s="141" t="s">
        <v>235</v>
      </c>
      <c r="F112" s="141" t="s">
        <v>235</v>
      </c>
      <c r="G112" s="141" t="s">
        <v>235</v>
      </c>
      <c r="H112" s="141" t="s">
        <v>235</v>
      </c>
      <c r="I112" s="141" t="s">
        <v>235</v>
      </c>
      <c r="J112" s="141" t="s">
        <v>235</v>
      </c>
      <c r="K112" s="141" t="s">
        <v>235</v>
      </c>
      <c r="L112" s="141" t="s">
        <v>235</v>
      </c>
    </row>
    <row r="113" spans="1:12" ht="18" x14ac:dyDescent="0.3">
      <c r="A113" s="125">
        <f t="shared" si="3"/>
        <v>46334</v>
      </c>
      <c r="B113" s="140" t="str">
        <f t="shared" si="2"/>
        <v>Sunday</v>
      </c>
      <c r="C113" s="141" t="s">
        <v>235</v>
      </c>
      <c r="D113" s="141" t="s">
        <v>235</v>
      </c>
      <c r="E113" s="141" t="s">
        <v>235</v>
      </c>
      <c r="F113" s="141" t="s">
        <v>235</v>
      </c>
      <c r="G113" s="141" t="s">
        <v>235</v>
      </c>
      <c r="H113" s="141" t="s">
        <v>235</v>
      </c>
      <c r="I113" s="141" t="s">
        <v>235</v>
      </c>
      <c r="J113" s="141" t="s">
        <v>235</v>
      </c>
      <c r="K113" s="141" t="s">
        <v>235</v>
      </c>
      <c r="L113" s="141" t="s">
        <v>235</v>
      </c>
    </row>
    <row r="114" spans="1:12" ht="18" x14ac:dyDescent="0.3">
      <c r="A114" s="125">
        <f t="shared" si="3"/>
        <v>46335</v>
      </c>
      <c r="B114" s="140" t="str">
        <f t="shared" si="2"/>
        <v>Monday</v>
      </c>
      <c r="C114" s="141" t="s">
        <v>235</v>
      </c>
      <c r="D114" s="141" t="s">
        <v>235</v>
      </c>
      <c r="E114" s="141" t="s">
        <v>235</v>
      </c>
      <c r="F114" s="141" t="s">
        <v>235</v>
      </c>
      <c r="G114" s="141" t="s">
        <v>235</v>
      </c>
      <c r="H114" s="141" t="s">
        <v>235</v>
      </c>
      <c r="I114" s="141" t="s">
        <v>235</v>
      </c>
      <c r="J114" s="141" t="s">
        <v>235</v>
      </c>
      <c r="K114" s="141" t="s">
        <v>235</v>
      </c>
      <c r="L114" s="141" t="s">
        <v>235</v>
      </c>
    </row>
    <row r="115" spans="1:12" ht="18" x14ac:dyDescent="0.3">
      <c r="A115" s="125">
        <f t="shared" si="3"/>
        <v>46336</v>
      </c>
      <c r="B115" s="140" t="str">
        <f t="shared" si="2"/>
        <v>Tuesday</v>
      </c>
      <c r="C115" s="141" t="s">
        <v>235</v>
      </c>
      <c r="D115" s="141" t="s">
        <v>235</v>
      </c>
      <c r="E115" s="141" t="s">
        <v>235</v>
      </c>
      <c r="F115" s="141" t="s">
        <v>235</v>
      </c>
      <c r="G115" s="141" t="s">
        <v>235</v>
      </c>
      <c r="H115" s="141" t="s">
        <v>235</v>
      </c>
      <c r="I115" s="141" t="s">
        <v>235</v>
      </c>
      <c r="J115" s="141" t="s">
        <v>235</v>
      </c>
      <c r="K115" s="141" t="s">
        <v>235</v>
      </c>
      <c r="L115" s="141" t="s">
        <v>235</v>
      </c>
    </row>
    <row r="116" spans="1:12" ht="18" x14ac:dyDescent="0.3">
      <c r="A116" s="125">
        <f t="shared" si="3"/>
        <v>46337</v>
      </c>
      <c r="B116" s="140" t="str">
        <f t="shared" si="2"/>
        <v>Wednesday</v>
      </c>
      <c r="C116" s="141" t="s">
        <v>235</v>
      </c>
      <c r="D116" s="141" t="s">
        <v>235</v>
      </c>
      <c r="E116" s="141" t="s">
        <v>235</v>
      </c>
      <c r="F116" s="141" t="s">
        <v>235</v>
      </c>
      <c r="G116" s="141" t="s">
        <v>235</v>
      </c>
      <c r="H116" s="141" t="s">
        <v>235</v>
      </c>
      <c r="I116" s="141" t="s">
        <v>235</v>
      </c>
      <c r="J116" s="141" t="s">
        <v>235</v>
      </c>
      <c r="K116" s="141" t="s">
        <v>235</v>
      </c>
      <c r="L116" s="141" t="s">
        <v>235</v>
      </c>
    </row>
    <row r="117" spans="1:12" ht="18" x14ac:dyDescent="0.3">
      <c r="A117" s="125">
        <f t="shared" si="3"/>
        <v>46338</v>
      </c>
      <c r="B117" s="140" t="str">
        <f t="shared" si="2"/>
        <v>Thursday</v>
      </c>
      <c r="C117" s="141" t="s">
        <v>235</v>
      </c>
      <c r="D117" s="141" t="s">
        <v>235</v>
      </c>
      <c r="E117" s="141" t="s">
        <v>235</v>
      </c>
      <c r="F117" s="141" t="s">
        <v>235</v>
      </c>
      <c r="G117" s="141" t="s">
        <v>235</v>
      </c>
      <c r="H117" s="141" t="s">
        <v>235</v>
      </c>
      <c r="I117" s="141" t="s">
        <v>235</v>
      </c>
      <c r="J117" s="141" t="s">
        <v>235</v>
      </c>
      <c r="K117" s="141" t="s">
        <v>235</v>
      </c>
      <c r="L117" s="141" t="s">
        <v>235</v>
      </c>
    </row>
    <row r="118" spans="1:12" ht="18" x14ac:dyDescent="0.3">
      <c r="A118" s="125">
        <f t="shared" si="3"/>
        <v>46339</v>
      </c>
      <c r="B118" s="140" t="str">
        <f t="shared" si="2"/>
        <v>Friday</v>
      </c>
      <c r="C118" s="141" t="s">
        <v>235</v>
      </c>
      <c r="D118" s="141" t="s">
        <v>235</v>
      </c>
      <c r="E118" s="141" t="s">
        <v>235</v>
      </c>
      <c r="F118" s="141" t="s">
        <v>235</v>
      </c>
      <c r="G118" s="141" t="s">
        <v>235</v>
      </c>
      <c r="H118" s="141" t="s">
        <v>235</v>
      </c>
      <c r="I118" s="141" t="s">
        <v>235</v>
      </c>
      <c r="J118" s="141" t="s">
        <v>235</v>
      </c>
      <c r="K118" s="141" t="s">
        <v>235</v>
      </c>
      <c r="L118" s="141" t="s">
        <v>235</v>
      </c>
    </row>
    <row r="119" spans="1:12" ht="18" x14ac:dyDescent="0.3">
      <c r="A119" s="125">
        <f t="shared" si="3"/>
        <v>46340</v>
      </c>
      <c r="B119" s="140" t="str">
        <f t="shared" si="2"/>
        <v>Saturday</v>
      </c>
      <c r="C119" s="141" t="s">
        <v>235</v>
      </c>
      <c r="D119" s="141" t="s">
        <v>235</v>
      </c>
      <c r="E119" s="141" t="s">
        <v>235</v>
      </c>
      <c r="F119" s="141" t="s">
        <v>235</v>
      </c>
      <c r="G119" s="141" t="s">
        <v>235</v>
      </c>
      <c r="H119" s="141" t="s">
        <v>235</v>
      </c>
      <c r="I119" s="141" t="s">
        <v>235</v>
      </c>
      <c r="J119" s="141" t="s">
        <v>235</v>
      </c>
      <c r="K119" s="141" t="s">
        <v>235</v>
      </c>
      <c r="L119" s="141" t="s">
        <v>235</v>
      </c>
    </row>
    <row r="120" spans="1:12" ht="18" x14ac:dyDescent="0.3">
      <c r="A120" s="125">
        <f t="shared" si="3"/>
        <v>46341</v>
      </c>
      <c r="B120" s="140" t="str">
        <f t="shared" si="2"/>
        <v>Sunday</v>
      </c>
      <c r="C120" s="141" t="s">
        <v>235</v>
      </c>
      <c r="D120" s="141" t="s">
        <v>235</v>
      </c>
      <c r="E120" s="141" t="s">
        <v>235</v>
      </c>
      <c r="F120" s="141" t="s">
        <v>235</v>
      </c>
      <c r="G120" s="141" t="s">
        <v>235</v>
      </c>
      <c r="H120" s="141" t="s">
        <v>235</v>
      </c>
      <c r="I120" s="141" t="s">
        <v>235</v>
      </c>
      <c r="J120" s="141" t="s">
        <v>235</v>
      </c>
      <c r="K120" s="141" t="s">
        <v>235</v>
      </c>
      <c r="L120" s="141" t="s">
        <v>235</v>
      </c>
    </row>
    <row r="121" spans="1:12" ht="18" x14ac:dyDescent="0.3">
      <c r="A121" s="125">
        <f t="shared" si="3"/>
        <v>46342</v>
      </c>
      <c r="B121" s="140" t="str">
        <f t="shared" si="2"/>
        <v>Monday</v>
      </c>
      <c r="C121" s="141" t="s">
        <v>235</v>
      </c>
      <c r="D121" s="141" t="s">
        <v>235</v>
      </c>
      <c r="E121" s="141" t="s">
        <v>235</v>
      </c>
      <c r="F121" s="141" t="s">
        <v>235</v>
      </c>
      <c r="G121" s="141" t="s">
        <v>235</v>
      </c>
      <c r="H121" s="141" t="s">
        <v>235</v>
      </c>
      <c r="I121" s="141" t="s">
        <v>235</v>
      </c>
      <c r="J121" s="141" t="s">
        <v>235</v>
      </c>
      <c r="K121" s="141" t="s">
        <v>235</v>
      </c>
      <c r="L121" s="141" t="s">
        <v>235</v>
      </c>
    </row>
    <row r="122" spans="1:12" ht="18" x14ac:dyDescent="0.3">
      <c r="A122" s="125">
        <f t="shared" si="3"/>
        <v>46343</v>
      </c>
      <c r="B122" s="140" t="str">
        <f t="shared" si="2"/>
        <v>Tuesday</v>
      </c>
      <c r="C122" s="141" t="s">
        <v>235</v>
      </c>
      <c r="D122" s="141" t="s">
        <v>235</v>
      </c>
      <c r="E122" s="141" t="s">
        <v>235</v>
      </c>
      <c r="F122" s="141" t="s">
        <v>235</v>
      </c>
      <c r="G122" s="141" t="s">
        <v>235</v>
      </c>
      <c r="H122" s="141" t="s">
        <v>235</v>
      </c>
      <c r="I122" s="141" t="s">
        <v>235</v>
      </c>
      <c r="J122" s="141" t="s">
        <v>235</v>
      </c>
      <c r="K122" s="141" t="s">
        <v>235</v>
      </c>
      <c r="L122" s="141" t="s">
        <v>235</v>
      </c>
    </row>
    <row r="123" spans="1:12" ht="18" x14ac:dyDescent="0.3">
      <c r="A123" s="125">
        <f t="shared" si="3"/>
        <v>46344</v>
      </c>
      <c r="B123" s="140" t="str">
        <f t="shared" si="2"/>
        <v>Wednesday</v>
      </c>
      <c r="C123" s="141" t="s">
        <v>235</v>
      </c>
      <c r="D123" s="141" t="s">
        <v>235</v>
      </c>
      <c r="E123" s="141" t="s">
        <v>235</v>
      </c>
      <c r="F123" s="141" t="s">
        <v>235</v>
      </c>
      <c r="G123" s="141" t="s">
        <v>235</v>
      </c>
      <c r="H123" s="141" t="s">
        <v>235</v>
      </c>
      <c r="I123" s="141" t="s">
        <v>235</v>
      </c>
      <c r="J123" s="141" t="s">
        <v>235</v>
      </c>
      <c r="K123" s="141" t="s">
        <v>235</v>
      </c>
      <c r="L123" s="141" t="s">
        <v>235</v>
      </c>
    </row>
    <row r="124" spans="1:12" ht="18" x14ac:dyDescent="0.3">
      <c r="A124" s="125">
        <f t="shared" si="3"/>
        <v>46345</v>
      </c>
      <c r="B124" s="140" t="str">
        <f t="shared" si="2"/>
        <v>Thursday</v>
      </c>
      <c r="C124" s="141" t="s">
        <v>235</v>
      </c>
      <c r="D124" s="141" t="s">
        <v>235</v>
      </c>
      <c r="E124" s="141" t="s">
        <v>235</v>
      </c>
      <c r="F124" s="141" t="s">
        <v>235</v>
      </c>
      <c r="G124" s="141" t="s">
        <v>235</v>
      </c>
      <c r="H124" s="141" t="s">
        <v>235</v>
      </c>
      <c r="I124" s="141" t="s">
        <v>235</v>
      </c>
      <c r="J124" s="141" t="s">
        <v>235</v>
      </c>
      <c r="K124" s="141" t="s">
        <v>235</v>
      </c>
      <c r="L124" s="141" t="s">
        <v>235</v>
      </c>
    </row>
    <row r="125" spans="1:12" ht="18" x14ac:dyDescent="0.3">
      <c r="A125" s="125">
        <f t="shared" si="3"/>
        <v>46346</v>
      </c>
      <c r="B125" s="140" t="str">
        <f t="shared" si="2"/>
        <v>Friday</v>
      </c>
      <c r="C125" s="141" t="s">
        <v>235</v>
      </c>
      <c r="D125" s="141" t="s">
        <v>235</v>
      </c>
      <c r="E125" s="141" t="s">
        <v>235</v>
      </c>
      <c r="F125" s="141" t="s">
        <v>235</v>
      </c>
      <c r="G125" s="141" t="s">
        <v>235</v>
      </c>
      <c r="H125" s="141" t="s">
        <v>235</v>
      </c>
      <c r="I125" s="141" t="s">
        <v>235</v>
      </c>
      <c r="J125" s="141" t="s">
        <v>235</v>
      </c>
      <c r="K125" s="141" t="s">
        <v>235</v>
      </c>
      <c r="L125" s="141" t="s">
        <v>235</v>
      </c>
    </row>
    <row r="126" spans="1:12" ht="18" x14ac:dyDescent="0.3">
      <c r="A126" s="125">
        <f t="shared" si="3"/>
        <v>46347</v>
      </c>
      <c r="B126" s="140" t="str">
        <f t="shared" si="2"/>
        <v>Saturday</v>
      </c>
      <c r="C126" s="141" t="s">
        <v>235</v>
      </c>
      <c r="D126" s="141" t="s">
        <v>235</v>
      </c>
      <c r="E126" s="141" t="s">
        <v>235</v>
      </c>
      <c r="F126" s="141" t="s">
        <v>235</v>
      </c>
      <c r="G126" s="141" t="s">
        <v>235</v>
      </c>
      <c r="H126" s="141" t="s">
        <v>235</v>
      </c>
      <c r="I126" s="141" t="s">
        <v>235</v>
      </c>
      <c r="J126" s="141" t="s">
        <v>235</v>
      </c>
      <c r="K126" s="141" t="s">
        <v>235</v>
      </c>
      <c r="L126" s="141" t="s">
        <v>235</v>
      </c>
    </row>
    <row r="127" spans="1:12" ht="18" x14ac:dyDescent="0.3">
      <c r="A127" s="125">
        <f t="shared" si="3"/>
        <v>46348</v>
      </c>
      <c r="B127" s="140" t="str">
        <f t="shared" si="2"/>
        <v>Sunday</v>
      </c>
      <c r="C127" s="141" t="s">
        <v>235</v>
      </c>
      <c r="D127" s="141" t="s">
        <v>235</v>
      </c>
      <c r="E127" s="141" t="s">
        <v>235</v>
      </c>
      <c r="F127" s="141" t="s">
        <v>235</v>
      </c>
      <c r="G127" s="141" t="s">
        <v>235</v>
      </c>
      <c r="H127" s="141" t="s">
        <v>235</v>
      </c>
      <c r="I127" s="141" t="s">
        <v>235</v>
      </c>
      <c r="J127" s="141" t="s">
        <v>235</v>
      </c>
      <c r="K127" s="141" t="s">
        <v>235</v>
      </c>
      <c r="L127" s="141" t="s">
        <v>235</v>
      </c>
    </row>
    <row r="128" spans="1:12" ht="18" x14ac:dyDescent="0.3">
      <c r="A128" s="125">
        <f t="shared" si="3"/>
        <v>46349</v>
      </c>
      <c r="B128" s="140" t="str">
        <f t="shared" si="2"/>
        <v>Monday</v>
      </c>
      <c r="C128" s="141" t="s">
        <v>235</v>
      </c>
      <c r="D128" s="141" t="s">
        <v>235</v>
      </c>
      <c r="E128" s="141" t="s">
        <v>235</v>
      </c>
      <c r="F128" s="141" t="s">
        <v>235</v>
      </c>
      <c r="G128" s="141" t="s">
        <v>235</v>
      </c>
      <c r="H128" s="141" t="s">
        <v>235</v>
      </c>
      <c r="I128" s="141" t="s">
        <v>235</v>
      </c>
      <c r="J128" s="141" t="s">
        <v>235</v>
      </c>
      <c r="K128" s="141" t="s">
        <v>235</v>
      </c>
      <c r="L128" s="141" t="s">
        <v>235</v>
      </c>
    </row>
    <row r="129" spans="1:12" ht="18" x14ac:dyDescent="0.3">
      <c r="A129" s="125">
        <f t="shared" si="3"/>
        <v>46350</v>
      </c>
      <c r="B129" s="140" t="str">
        <f t="shared" si="2"/>
        <v>Tuesday</v>
      </c>
      <c r="C129" s="141" t="s">
        <v>235</v>
      </c>
      <c r="D129" s="141" t="s">
        <v>235</v>
      </c>
      <c r="E129" s="141" t="s">
        <v>235</v>
      </c>
      <c r="F129" s="141" t="s">
        <v>235</v>
      </c>
      <c r="G129" s="141" t="s">
        <v>235</v>
      </c>
      <c r="H129" s="141" t="s">
        <v>235</v>
      </c>
      <c r="I129" s="141" t="s">
        <v>235</v>
      </c>
      <c r="J129" s="141" t="s">
        <v>235</v>
      </c>
      <c r="K129" s="141" t="s">
        <v>235</v>
      </c>
      <c r="L129" s="141" t="s">
        <v>235</v>
      </c>
    </row>
    <row r="130" spans="1:12" ht="18" x14ac:dyDescent="0.3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235</v>
      </c>
      <c r="D130" s="141" t="s">
        <v>235</v>
      </c>
      <c r="E130" s="141" t="s">
        <v>235</v>
      </c>
      <c r="F130" s="141" t="s">
        <v>235</v>
      </c>
      <c r="G130" s="141" t="s">
        <v>235</v>
      </c>
      <c r="H130" s="141" t="s">
        <v>235</v>
      </c>
      <c r="I130" s="141" t="s">
        <v>235</v>
      </c>
      <c r="J130" s="141" t="s">
        <v>235</v>
      </c>
      <c r="K130" s="141" t="s">
        <v>235</v>
      </c>
      <c r="L130" s="141" t="s">
        <v>235</v>
      </c>
    </row>
    <row r="131" spans="1:12" ht="18" x14ac:dyDescent="0.3">
      <c r="A131" s="125">
        <f t="shared" si="3"/>
        <v>46352</v>
      </c>
      <c r="B131" s="140" t="str">
        <f t="shared" si="4"/>
        <v>Thursday</v>
      </c>
      <c r="C131" s="141" t="s">
        <v>235</v>
      </c>
      <c r="D131" s="141" t="s">
        <v>235</v>
      </c>
      <c r="E131" s="141" t="s">
        <v>235</v>
      </c>
      <c r="F131" s="141" t="s">
        <v>235</v>
      </c>
      <c r="G131" s="141" t="s">
        <v>235</v>
      </c>
      <c r="H131" s="141" t="s">
        <v>235</v>
      </c>
      <c r="I131" s="141" t="s">
        <v>235</v>
      </c>
      <c r="J131" s="141" t="s">
        <v>235</v>
      </c>
      <c r="K131" s="141" t="s">
        <v>235</v>
      </c>
      <c r="L131" s="141" t="s">
        <v>235</v>
      </c>
    </row>
    <row r="132" spans="1:12" ht="18" x14ac:dyDescent="0.3">
      <c r="A132" s="125">
        <f t="shared" ref="A132:A195" si="5">A131+1</f>
        <v>46353</v>
      </c>
      <c r="B132" s="140" t="str">
        <f t="shared" si="4"/>
        <v>Friday</v>
      </c>
      <c r="C132" s="141" t="s">
        <v>235</v>
      </c>
      <c r="D132" s="141" t="s">
        <v>235</v>
      </c>
      <c r="E132" s="141" t="s">
        <v>235</v>
      </c>
      <c r="F132" s="141" t="s">
        <v>235</v>
      </c>
      <c r="G132" s="141" t="s">
        <v>235</v>
      </c>
      <c r="H132" s="141" t="s">
        <v>235</v>
      </c>
      <c r="I132" s="141" t="s">
        <v>235</v>
      </c>
      <c r="J132" s="141" t="s">
        <v>235</v>
      </c>
      <c r="K132" s="141" t="s">
        <v>235</v>
      </c>
      <c r="L132" s="141" t="s">
        <v>235</v>
      </c>
    </row>
    <row r="133" spans="1:12" ht="18" x14ac:dyDescent="0.3">
      <c r="A133" s="125">
        <f t="shared" si="5"/>
        <v>46354</v>
      </c>
      <c r="B133" s="140" t="str">
        <f t="shared" si="4"/>
        <v>Saturday</v>
      </c>
      <c r="C133" s="141" t="s">
        <v>235</v>
      </c>
      <c r="D133" s="141" t="s">
        <v>235</v>
      </c>
      <c r="E133" s="141" t="s">
        <v>235</v>
      </c>
      <c r="F133" s="141" t="s">
        <v>235</v>
      </c>
      <c r="G133" s="141" t="s">
        <v>235</v>
      </c>
      <c r="H133" s="141" t="s">
        <v>235</v>
      </c>
      <c r="I133" s="141" t="s">
        <v>235</v>
      </c>
      <c r="J133" s="141" t="s">
        <v>235</v>
      </c>
      <c r="K133" s="141" t="s">
        <v>235</v>
      </c>
      <c r="L133" s="141" t="s">
        <v>235</v>
      </c>
    </row>
    <row r="134" spans="1:12" ht="18" x14ac:dyDescent="0.3">
      <c r="A134" s="125">
        <f t="shared" si="5"/>
        <v>46355</v>
      </c>
      <c r="B134" s="140" t="str">
        <f t="shared" si="4"/>
        <v>Sunday</v>
      </c>
      <c r="C134" s="141" t="s">
        <v>235</v>
      </c>
      <c r="D134" s="141" t="s">
        <v>235</v>
      </c>
      <c r="E134" s="141" t="s">
        <v>235</v>
      </c>
      <c r="F134" s="141" t="s">
        <v>235</v>
      </c>
      <c r="G134" s="141" t="s">
        <v>235</v>
      </c>
      <c r="H134" s="141" t="s">
        <v>235</v>
      </c>
      <c r="I134" s="141" t="s">
        <v>235</v>
      </c>
      <c r="J134" s="141" t="s">
        <v>235</v>
      </c>
      <c r="K134" s="141" t="s">
        <v>235</v>
      </c>
      <c r="L134" s="141" t="s">
        <v>235</v>
      </c>
    </row>
    <row r="135" spans="1:12" ht="18" x14ac:dyDescent="0.3">
      <c r="A135" s="125">
        <f t="shared" si="5"/>
        <v>46356</v>
      </c>
      <c r="B135" s="140" t="str">
        <f t="shared" si="4"/>
        <v>Monday</v>
      </c>
      <c r="C135" s="141" t="s">
        <v>235</v>
      </c>
      <c r="D135" s="141" t="s">
        <v>235</v>
      </c>
      <c r="E135" s="141" t="s">
        <v>235</v>
      </c>
      <c r="F135" s="141" t="s">
        <v>235</v>
      </c>
      <c r="G135" s="141" t="s">
        <v>235</v>
      </c>
      <c r="H135" s="141" t="s">
        <v>235</v>
      </c>
      <c r="I135" s="141" t="s">
        <v>235</v>
      </c>
      <c r="J135" s="141" t="s">
        <v>235</v>
      </c>
      <c r="K135" s="141" t="s">
        <v>235</v>
      </c>
      <c r="L135" s="141" t="s">
        <v>235</v>
      </c>
    </row>
    <row r="136" spans="1:12" ht="18" x14ac:dyDescent="0.3">
      <c r="A136" s="125">
        <f t="shared" si="5"/>
        <v>46357</v>
      </c>
      <c r="B136" s="140" t="str">
        <f t="shared" si="4"/>
        <v>Tuesday</v>
      </c>
      <c r="C136" s="141" t="s">
        <v>235</v>
      </c>
      <c r="D136" s="141" t="s">
        <v>235</v>
      </c>
      <c r="E136" s="141" t="s">
        <v>235</v>
      </c>
      <c r="F136" s="141" t="s">
        <v>235</v>
      </c>
      <c r="G136" s="141" t="s">
        <v>235</v>
      </c>
      <c r="H136" s="141" t="s">
        <v>235</v>
      </c>
      <c r="I136" s="141" t="s">
        <v>235</v>
      </c>
      <c r="J136" s="141" t="s">
        <v>235</v>
      </c>
      <c r="K136" s="141" t="s">
        <v>235</v>
      </c>
      <c r="L136" s="141" t="s">
        <v>235</v>
      </c>
    </row>
    <row r="137" spans="1:12" ht="18" x14ac:dyDescent="0.3">
      <c r="A137" s="125">
        <f t="shared" si="5"/>
        <v>46358</v>
      </c>
      <c r="B137" s="140" t="str">
        <f t="shared" si="4"/>
        <v>Wednesday</v>
      </c>
      <c r="C137" s="141" t="s">
        <v>235</v>
      </c>
      <c r="D137" s="141" t="s">
        <v>235</v>
      </c>
      <c r="E137" s="141" t="s">
        <v>235</v>
      </c>
      <c r="F137" s="141" t="s">
        <v>235</v>
      </c>
      <c r="G137" s="141" t="s">
        <v>235</v>
      </c>
      <c r="H137" s="141" t="s">
        <v>235</v>
      </c>
      <c r="I137" s="141" t="s">
        <v>235</v>
      </c>
      <c r="J137" s="141" t="s">
        <v>235</v>
      </c>
      <c r="K137" s="141" t="s">
        <v>235</v>
      </c>
      <c r="L137" s="141" t="s">
        <v>235</v>
      </c>
    </row>
    <row r="138" spans="1:12" ht="18" x14ac:dyDescent="0.3">
      <c r="A138" s="125">
        <f t="shared" si="5"/>
        <v>46359</v>
      </c>
      <c r="B138" s="140" t="str">
        <f t="shared" si="4"/>
        <v>Thursday</v>
      </c>
      <c r="C138" s="141" t="s">
        <v>235</v>
      </c>
      <c r="D138" s="141" t="s">
        <v>235</v>
      </c>
      <c r="E138" s="141" t="s">
        <v>235</v>
      </c>
      <c r="F138" s="141" t="s">
        <v>235</v>
      </c>
      <c r="G138" s="141" t="s">
        <v>235</v>
      </c>
      <c r="H138" s="141" t="s">
        <v>235</v>
      </c>
      <c r="I138" s="141" t="s">
        <v>235</v>
      </c>
      <c r="J138" s="141" t="s">
        <v>235</v>
      </c>
      <c r="K138" s="141" t="s">
        <v>235</v>
      </c>
      <c r="L138" s="141" t="s">
        <v>235</v>
      </c>
    </row>
    <row r="139" spans="1:12" ht="18" x14ac:dyDescent="0.3">
      <c r="A139" s="125">
        <f t="shared" si="5"/>
        <v>46360</v>
      </c>
      <c r="B139" s="140" t="str">
        <f t="shared" si="4"/>
        <v>Friday</v>
      </c>
      <c r="C139" s="141" t="s">
        <v>235</v>
      </c>
      <c r="D139" s="141" t="s">
        <v>235</v>
      </c>
      <c r="E139" s="141" t="s">
        <v>235</v>
      </c>
      <c r="F139" s="141" t="s">
        <v>235</v>
      </c>
      <c r="G139" s="141" t="s">
        <v>235</v>
      </c>
      <c r="H139" s="141" t="s">
        <v>235</v>
      </c>
      <c r="I139" s="141" t="s">
        <v>235</v>
      </c>
      <c r="J139" s="141" t="s">
        <v>235</v>
      </c>
      <c r="K139" s="141" t="s">
        <v>235</v>
      </c>
      <c r="L139" s="141" t="s">
        <v>235</v>
      </c>
    </row>
    <row r="140" spans="1:12" ht="18" x14ac:dyDescent="0.3">
      <c r="A140" s="125">
        <f t="shared" si="5"/>
        <v>46361</v>
      </c>
      <c r="B140" s="140" t="str">
        <f t="shared" si="4"/>
        <v>Saturday</v>
      </c>
      <c r="C140" s="141" t="s">
        <v>235</v>
      </c>
      <c r="D140" s="141" t="s">
        <v>235</v>
      </c>
      <c r="E140" s="141" t="s">
        <v>235</v>
      </c>
      <c r="F140" s="141" t="s">
        <v>235</v>
      </c>
      <c r="G140" s="141" t="s">
        <v>235</v>
      </c>
      <c r="H140" s="141" t="s">
        <v>235</v>
      </c>
      <c r="I140" s="141" t="s">
        <v>235</v>
      </c>
      <c r="J140" s="141" t="s">
        <v>235</v>
      </c>
      <c r="K140" s="141" t="s">
        <v>235</v>
      </c>
      <c r="L140" s="141" t="s">
        <v>235</v>
      </c>
    </row>
    <row r="141" spans="1:12" ht="18" x14ac:dyDescent="0.3">
      <c r="A141" s="125">
        <f t="shared" si="5"/>
        <v>46362</v>
      </c>
      <c r="B141" s="140" t="str">
        <f t="shared" si="4"/>
        <v>Sunday</v>
      </c>
      <c r="C141" s="141" t="s">
        <v>235</v>
      </c>
      <c r="D141" s="141" t="s">
        <v>235</v>
      </c>
      <c r="E141" s="141" t="s">
        <v>235</v>
      </c>
      <c r="F141" s="141" t="s">
        <v>235</v>
      </c>
      <c r="G141" s="141" t="s">
        <v>235</v>
      </c>
      <c r="H141" s="141" t="s">
        <v>235</v>
      </c>
      <c r="I141" s="141" t="s">
        <v>235</v>
      </c>
      <c r="J141" s="141" t="s">
        <v>235</v>
      </c>
      <c r="K141" s="141" t="s">
        <v>235</v>
      </c>
      <c r="L141" s="141" t="s">
        <v>235</v>
      </c>
    </row>
    <row r="142" spans="1:12" ht="18" x14ac:dyDescent="0.3">
      <c r="A142" s="125">
        <f t="shared" si="5"/>
        <v>46363</v>
      </c>
      <c r="B142" s="140" t="str">
        <f t="shared" si="4"/>
        <v>Monday</v>
      </c>
      <c r="C142" s="141" t="s">
        <v>235</v>
      </c>
      <c r="D142" s="141" t="s">
        <v>235</v>
      </c>
      <c r="E142" s="141" t="s">
        <v>235</v>
      </c>
      <c r="F142" s="141" t="s">
        <v>235</v>
      </c>
      <c r="G142" s="141" t="s">
        <v>235</v>
      </c>
      <c r="H142" s="141" t="s">
        <v>235</v>
      </c>
      <c r="I142" s="141" t="s">
        <v>235</v>
      </c>
      <c r="J142" s="141" t="s">
        <v>235</v>
      </c>
      <c r="K142" s="141" t="s">
        <v>235</v>
      </c>
      <c r="L142" s="141" t="s">
        <v>235</v>
      </c>
    </row>
    <row r="143" spans="1:12" ht="18" x14ac:dyDescent="0.3">
      <c r="A143" s="125">
        <f t="shared" si="5"/>
        <v>46364</v>
      </c>
      <c r="B143" s="140" t="str">
        <f t="shared" si="4"/>
        <v>Tuesday</v>
      </c>
      <c r="C143" s="141" t="s">
        <v>235</v>
      </c>
      <c r="D143" s="141" t="s">
        <v>235</v>
      </c>
      <c r="E143" s="141" t="s">
        <v>235</v>
      </c>
      <c r="F143" s="141" t="s">
        <v>235</v>
      </c>
      <c r="G143" s="141" t="s">
        <v>235</v>
      </c>
      <c r="H143" s="141" t="s">
        <v>235</v>
      </c>
      <c r="I143" s="141" t="s">
        <v>235</v>
      </c>
      <c r="J143" s="141" t="s">
        <v>235</v>
      </c>
      <c r="K143" s="141" t="s">
        <v>235</v>
      </c>
      <c r="L143" s="141" t="s">
        <v>235</v>
      </c>
    </row>
    <row r="144" spans="1:12" ht="18" x14ac:dyDescent="0.3">
      <c r="A144" s="125">
        <f t="shared" si="5"/>
        <v>46365</v>
      </c>
      <c r="B144" s="140" t="str">
        <f t="shared" si="4"/>
        <v>Wednesday</v>
      </c>
      <c r="C144" s="141" t="s">
        <v>235</v>
      </c>
      <c r="D144" s="141" t="s">
        <v>235</v>
      </c>
      <c r="E144" s="141" t="s">
        <v>235</v>
      </c>
      <c r="F144" s="141" t="s">
        <v>235</v>
      </c>
      <c r="G144" s="141" t="s">
        <v>235</v>
      </c>
      <c r="H144" s="141" t="s">
        <v>235</v>
      </c>
      <c r="I144" s="141" t="s">
        <v>235</v>
      </c>
      <c r="J144" s="141" t="s">
        <v>235</v>
      </c>
      <c r="K144" s="141" t="s">
        <v>235</v>
      </c>
      <c r="L144" s="141" t="s">
        <v>235</v>
      </c>
    </row>
    <row r="145" spans="1:12" ht="18" x14ac:dyDescent="0.3">
      <c r="A145" s="125">
        <f t="shared" si="5"/>
        <v>46366</v>
      </c>
      <c r="B145" s="140" t="str">
        <f t="shared" si="4"/>
        <v>Thursday</v>
      </c>
      <c r="C145" s="141" t="s">
        <v>235</v>
      </c>
      <c r="D145" s="141" t="s">
        <v>235</v>
      </c>
      <c r="E145" s="141" t="s">
        <v>235</v>
      </c>
      <c r="F145" s="141" t="s">
        <v>235</v>
      </c>
      <c r="G145" s="141" t="s">
        <v>235</v>
      </c>
      <c r="H145" s="141" t="s">
        <v>235</v>
      </c>
      <c r="I145" s="141" t="s">
        <v>235</v>
      </c>
      <c r="J145" s="141" t="s">
        <v>235</v>
      </c>
      <c r="K145" s="141" t="s">
        <v>235</v>
      </c>
      <c r="L145" s="141" t="s">
        <v>235</v>
      </c>
    </row>
    <row r="146" spans="1:12" ht="18" x14ac:dyDescent="0.3">
      <c r="A146" s="125">
        <f t="shared" si="5"/>
        <v>46367</v>
      </c>
      <c r="B146" s="140" t="str">
        <f t="shared" si="4"/>
        <v>Friday</v>
      </c>
      <c r="C146" s="141" t="s">
        <v>235</v>
      </c>
      <c r="D146" s="141" t="s">
        <v>235</v>
      </c>
      <c r="E146" s="141" t="s">
        <v>235</v>
      </c>
      <c r="F146" s="141" t="s">
        <v>235</v>
      </c>
      <c r="G146" s="141" t="s">
        <v>235</v>
      </c>
      <c r="H146" s="141" t="s">
        <v>235</v>
      </c>
      <c r="I146" s="141" t="s">
        <v>235</v>
      </c>
      <c r="J146" s="141" t="s">
        <v>235</v>
      </c>
      <c r="K146" s="141" t="s">
        <v>235</v>
      </c>
      <c r="L146" s="141" t="s">
        <v>235</v>
      </c>
    </row>
    <row r="147" spans="1:12" ht="18" x14ac:dyDescent="0.3">
      <c r="A147" s="125">
        <f t="shared" si="5"/>
        <v>46368</v>
      </c>
      <c r="B147" s="140" t="str">
        <f t="shared" si="4"/>
        <v>Saturday</v>
      </c>
      <c r="C147" s="141" t="s">
        <v>235</v>
      </c>
      <c r="D147" s="141" t="s">
        <v>235</v>
      </c>
      <c r="E147" s="141" t="s">
        <v>235</v>
      </c>
      <c r="F147" s="141" t="s">
        <v>235</v>
      </c>
      <c r="G147" s="141" t="s">
        <v>235</v>
      </c>
      <c r="H147" s="141" t="s">
        <v>235</v>
      </c>
      <c r="I147" s="141" t="s">
        <v>235</v>
      </c>
      <c r="J147" s="141" t="s">
        <v>235</v>
      </c>
      <c r="K147" s="141" t="s">
        <v>235</v>
      </c>
      <c r="L147" s="141" t="s">
        <v>235</v>
      </c>
    </row>
    <row r="148" spans="1:12" ht="18" x14ac:dyDescent="0.3">
      <c r="A148" s="125">
        <f t="shared" si="5"/>
        <v>46369</v>
      </c>
      <c r="B148" s="140" t="str">
        <f t="shared" si="4"/>
        <v>Sunday</v>
      </c>
      <c r="C148" s="141" t="s">
        <v>235</v>
      </c>
      <c r="D148" s="141" t="s">
        <v>235</v>
      </c>
      <c r="E148" s="141" t="s">
        <v>235</v>
      </c>
      <c r="F148" s="141" t="s">
        <v>235</v>
      </c>
      <c r="G148" s="141" t="s">
        <v>235</v>
      </c>
      <c r="H148" s="141" t="s">
        <v>235</v>
      </c>
      <c r="I148" s="141" t="s">
        <v>235</v>
      </c>
      <c r="J148" s="141" t="s">
        <v>235</v>
      </c>
      <c r="K148" s="141" t="s">
        <v>235</v>
      </c>
      <c r="L148" s="141" t="s">
        <v>235</v>
      </c>
    </row>
    <row r="149" spans="1:12" ht="18" x14ac:dyDescent="0.3">
      <c r="A149" s="125">
        <f t="shared" si="5"/>
        <v>46370</v>
      </c>
      <c r="B149" s="140" t="str">
        <f t="shared" si="4"/>
        <v>Monday</v>
      </c>
      <c r="C149" s="141" t="s">
        <v>235</v>
      </c>
      <c r="D149" s="141" t="s">
        <v>235</v>
      </c>
      <c r="E149" s="141" t="s">
        <v>235</v>
      </c>
      <c r="F149" s="141" t="s">
        <v>235</v>
      </c>
      <c r="G149" s="141" t="s">
        <v>235</v>
      </c>
      <c r="H149" s="141" t="s">
        <v>235</v>
      </c>
      <c r="I149" s="141" t="s">
        <v>235</v>
      </c>
      <c r="J149" s="141" t="s">
        <v>235</v>
      </c>
      <c r="K149" s="141" t="s">
        <v>235</v>
      </c>
      <c r="L149" s="141" t="s">
        <v>235</v>
      </c>
    </row>
    <row r="150" spans="1:12" ht="18" x14ac:dyDescent="0.3">
      <c r="A150" s="125">
        <f t="shared" si="5"/>
        <v>46371</v>
      </c>
      <c r="B150" s="140" t="str">
        <f t="shared" si="4"/>
        <v>Tuesday</v>
      </c>
      <c r="C150" s="141" t="s">
        <v>235</v>
      </c>
      <c r="D150" s="141" t="s">
        <v>235</v>
      </c>
      <c r="E150" s="141" t="s">
        <v>235</v>
      </c>
      <c r="F150" s="141" t="s">
        <v>235</v>
      </c>
      <c r="G150" s="141" t="s">
        <v>235</v>
      </c>
      <c r="H150" s="141" t="s">
        <v>235</v>
      </c>
      <c r="I150" s="141" t="s">
        <v>235</v>
      </c>
      <c r="J150" s="141" t="s">
        <v>235</v>
      </c>
      <c r="K150" s="141" t="s">
        <v>235</v>
      </c>
      <c r="L150" s="141" t="s">
        <v>235</v>
      </c>
    </row>
    <row r="151" spans="1:12" ht="18" x14ac:dyDescent="0.3">
      <c r="A151" s="125">
        <f t="shared" si="5"/>
        <v>46372</v>
      </c>
      <c r="B151" s="140" t="str">
        <f t="shared" si="4"/>
        <v>Wednesday</v>
      </c>
      <c r="C151" s="141" t="s">
        <v>235</v>
      </c>
      <c r="D151" s="141" t="s">
        <v>235</v>
      </c>
      <c r="E151" s="141" t="s">
        <v>235</v>
      </c>
      <c r="F151" s="141" t="s">
        <v>235</v>
      </c>
      <c r="G151" s="141" t="s">
        <v>235</v>
      </c>
      <c r="H151" s="141" t="s">
        <v>235</v>
      </c>
      <c r="I151" s="141" t="s">
        <v>235</v>
      </c>
      <c r="J151" s="141" t="s">
        <v>235</v>
      </c>
      <c r="K151" s="141" t="s">
        <v>235</v>
      </c>
      <c r="L151" s="141" t="s">
        <v>235</v>
      </c>
    </row>
    <row r="152" spans="1:12" ht="18" x14ac:dyDescent="0.3">
      <c r="A152" s="125">
        <f t="shared" si="5"/>
        <v>46373</v>
      </c>
      <c r="B152" s="140" t="str">
        <f t="shared" si="4"/>
        <v>Thursday</v>
      </c>
      <c r="C152" s="141" t="s">
        <v>235</v>
      </c>
      <c r="D152" s="141" t="s">
        <v>235</v>
      </c>
      <c r="E152" s="141" t="s">
        <v>235</v>
      </c>
      <c r="F152" s="141" t="s">
        <v>235</v>
      </c>
      <c r="G152" s="141" t="s">
        <v>235</v>
      </c>
      <c r="H152" s="141" t="s">
        <v>235</v>
      </c>
      <c r="I152" s="141" t="s">
        <v>235</v>
      </c>
      <c r="J152" s="141" t="s">
        <v>235</v>
      </c>
      <c r="K152" s="141" t="s">
        <v>235</v>
      </c>
      <c r="L152" s="141" t="s">
        <v>235</v>
      </c>
    </row>
    <row r="153" spans="1:12" ht="18" x14ac:dyDescent="0.3">
      <c r="A153" s="125">
        <f t="shared" si="5"/>
        <v>46374</v>
      </c>
      <c r="B153" s="140" t="str">
        <f t="shared" si="4"/>
        <v>Friday</v>
      </c>
      <c r="C153" s="141" t="s">
        <v>235</v>
      </c>
      <c r="D153" s="141" t="s">
        <v>235</v>
      </c>
      <c r="E153" s="141" t="s">
        <v>235</v>
      </c>
      <c r="F153" s="141" t="s">
        <v>235</v>
      </c>
      <c r="G153" s="141" t="s">
        <v>235</v>
      </c>
      <c r="H153" s="141" t="s">
        <v>235</v>
      </c>
      <c r="I153" s="141" t="s">
        <v>235</v>
      </c>
      <c r="J153" s="141" t="s">
        <v>235</v>
      </c>
      <c r="K153" s="141" t="s">
        <v>235</v>
      </c>
      <c r="L153" s="141" t="s">
        <v>235</v>
      </c>
    </row>
    <row r="154" spans="1:12" ht="18" x14ac:dyDescent="0.3">
      <c r="A154" s="125">
        <f t="shared" si="5"/>
        <v>46375</v>
      </c>
      <c r="B154" s="140" t="str">
        <f t="shared" si="4"/>
        <v>Saturday</v>
      </c>
      <c r="C154" s="141" t="s">
        <v>235</v>
      </c>
      <c r="D154" s="141" t="s">
        <v>235</v>
      </c>
      <c r="E154" s="141" t="s">
        <v>235</v>
      </c>
      <c r="F154" s="141" t="s">
        <v>235</v>
      </c>
      <c r="G154" s="141" t="s">
        <v>235</v>
      </c>
      <c r="H154" s="141" t="s">
        <v>235</v>
      </c>
      <c r="I154" s="141" t="s">
        <v>235</v>
      </c>
      <c r="J154" s="141" t="s">
        <v>235</v>
      </c>
      <c r="K154" s="141" t="s">
        <v>235</v>
      </c>
      <c r="L154" s="141" t="s">
        <v>235</v>
      </c>
    </row>
    <row r="155" spans="1:12" ht="18" x14ac:dyDescent="0.3">
      <c r="A155" s="125">
        <f t="shared" si="5"/>
        <v>46376</v>
      </c>
      <c r="B155" s="140" t="str">
        <f t="shared" si="4"/>
        <v>Sunday</v>
      </c>
      <c r="C155" s="141" t="s">
        <v>235</v>
      </c>
      <c r="D155" s="141" t="s">
        <v>235</v>
      </c>
      <c r="E155" s="141" t="s">
        <v>235</v>
      </c>
      <c r="F155" s="141" t="s">
        <v>235</v>
      </c>
      <c r="G155" s="141" t="s">
        <v>235</v>
      </c>
      <c r="H155" s="141" t="s">
        <v>235</v>
      </c>
      <c r="I155" s="141" t="s">
        <v>235</v>
      </c>
      <c r="J155" s="141" t="s">
        <v>235</v>
      </c>
      <c r="K155" s="141" t="s">
        <v>235</v>
      </c>
      <c r="L155" s="141" t="s">
        <v>235</v>
      </c>
    </row>
    <row r="156" spans="1:12" ht="18" x14ac:dyDescent="0.3">
      <c r="A156" s="125">
        <f t="shared" si="5"/>
        <v>46377</v>
      </c>
      <c r="B156" s="140" t="str">
        <f t="shared" si="4"/>
        <v>Monday</v>
      </c>
      <c r="C156" s="141" t="s">
        <v>235</v>
      </c>
      <c r="D156" s="141" t="s">
        <v>235</v>
      </c>
      <c r="E156" s="141" t="s">
        <v>235</v>
      </c>
      <c r="F156" s="141" t="s">
        <v>235</v>
      </c>
      <c r="G156" s="141" t="s">
        <v>235</v>
      </c>
      <c r="H156" s="141" t="s">
        <v>235</v>
      </c>
      <c r="I156" s="141" t="s">
        <v>235</v>
      </c>
      <c r="J156" s="141" t="s">
        <v>235</v>
      </c>
      <c r="K156" s="141" t="s">
        <v>235</v>
      </c>
      <c r="L156" s="141" t="s">
        <v>235</v>
      </c>
    </row>
    <row r="157" spans="1:12" ht="18" x14ac:dyDescent="0.3">
      <c r="A157" s="125">
        <f t="shared" si="5"/>
        <v>46378</v>
      </c>
      <c r="B157" s="140" t="str">
        <f t="shared" si="4"/>
        <v>Tuesday</v>
      </c>
      <c r="C157" s="141" t="s">
        <v>235</v>
      </c>
      <c r="D157" s="141" t="s">
        <v>235</v>
      </c>
      <c r="E157" s="141" t="s">
        <v>235</v>
      </c>
      <c r="F157" s="141" t="s">
        <v>235</v>
      </c>
      <c r="G157" s="141" t="s">
        <v>235</v>
      </c>
      <c r="H157" s="141" t="s">
        <v>235</v>
      </c>
      <c r="I157" s="141" t="s">
        <v>235</v>
      </c>
      <c r="J157" s="141" t="s">
        <v>235</v>
      </c>
      <c r="K157" s="141" t="s">
        <v>235</v>
      </c>
      <c r="L157" s="141" t="s">
        <v>235</v>
      </c>
    </row>
    <row r="158" spans="1:12" ht="18" x14ac:dyDescent="0.3">
      <c r="A158" s="125">
        <f t="shared" si="5"/>
        <v>46379</v>
      </c>
      <c r="B158" s="140" t="str">
        <f t="shared" si="4"/>
        <v>Wednesday</v>
      </c>
      <c r="C158" s="141" t="s">
        <v>235</v>
      </c>
      <c r="D158" s="141" t="s">
        <v>235</v>
      </c>
      <c r="E158" s="141" t="s">
        <v>235</v>
      </c>
      <c r="F158" s="141" t="s">
        <v>235</v>
      </c>
      <c r="G158" s="141" t="s">
        <v>235</v>
      </c>
      <c r="H158" s="141" t="s">
        <v>235</v>
      </c>
      <c r="I158" s="141" t="s">
        <v>235</v>
      </c>
      <c r="J158" s="141" t="s">
        <v>235</v>
      </c>
      <c r="K158" s="141" t="s">
        <v>235</v>
      </c>
      <c r="L158" s="141" t="s">
        <v>235</v>
      </c>
    </row>
    <row r="159" spans="1:12" ht="18" x14ac:dyDescent="0.3">
      <c r="A159" s="125">
        <f t="shared" si="5"/>
        <v>46380</v>
      </c>
      <c r="B159" s="140" t="str">
        <f t="shared" si="4"/>
        <v>Thursday</v>
      </c>
      <c r="C159" s="141" t="s">
        <v>235</v>
      </c>
      <c r="D159" s="141" t="s">
        <v>235</v>
      </c>
      <c r="E159" s="141" t="s">
        <v>235</v>
      </c>
      <c r="F159" s="141" t="s">
        <v>235</v>
      </c>
      <c r="G159" s="141" t="s">
        <v>235</v>
      </c>
      <c r="H159" s="141" t="s">
        <v>235</v>
      </c>
      <c r="I159" s="141" t="s">
        <v>235</v>
      </c>
      <c r="J159" s="141" t="s">
        <v>235</v>
      </c>
      <c r="K159" s="141" t="s">
        <v>235</v>
      </c>
      <c r="L159" s="141" t="s">
        <v>235</v>
      </c>
    </row>
    <row r="160" spans="1:12" ht="18" x14ac:dyDescent="0.3">
      <c r="A160" s="125">
        <f t="shared" si="5"/>
        <v>46381</v>
      </c>
      <c r="B160" s="140" t="str">
        <f t="shared" si="4"/>
        <v>Friday</v>
      </c>
      <c r="C160" s="141" t="s">
        <v>235</v>
      </c>
      <c r="D160" s="141" t="s">
        <v>235</v>
      </c>
      <c r="E160" s="141" t="s">
        <v>235</v>
      </c>
      <c r="F160" s="141" t="s">
        <v>235</v>
      </c>
      <c r="G160" s="141" t="s">
        <v>235</v>
      </c>
      <c r="H160" s="141" t="s">
        <v>235</v>
      </c>
      <c r="I160" s="141" t="s">
        <v>235</v>
      </c>
      <c r="J160" s="141" t="s">
        <v>235</v>
      </c>
      <c r="K160" s="141" t="s">
        <v>235</v>
      </c>
      <c r="L160" s="141" t="s">
        <v>235</v>
      </c>
    </row>
    <row r="161" spans="1:12" ht="18" x14ac:dyDescent="0.3">
      <c r="A161" s="125">
        <f t="shared" si="5"/>
        <v>46382</v>
      </c>
      <c r="B161" s="140" t="str">
        <f t="shared" si="4"/>
        <v>Saturday</v>
      </c>
      <c r="C161" s="141" t="s">
        <v>235</v>
      </c>
      <c r="D161" s="141" t="s">
        <v>235</v>
      </c>
      <c r="E161" s="141" t="s">
        <v>235</v>
      </c>
      <c r="F161" s="141" t="s">
        <v>235</v>
      </c>
      <c r="G161" s="141" t="s">
        <v>235</v>
      </c>
      <c r="H161" s="141" t="s">
        <v>235</v>
      </c>
      <c r="I161" s="141" t="s">
        <v>235</v>
      </c>
      <c r="J161" s="141" t="s">
        <v>235</v>
      </c>
      <c r="K161" s="141" t="s">
        <v>235</v>
      </c>
      <c r="L161" s="141" t="s">
        <v>235</v>
      </c>
    </row>
    <row r="162" spans="1:12" ht="18" x14ac:dyDescent="0.3">
      <c r="A162" s="125">
        <f t="shared" si="5"/>
        <v>46383</v>
      </c>
      <c r="B162" s="140" t="str">
        <f t="shared" si="4"/>
        <v>Sunday</v>
      </c>
      <c r="C162" s="141" t="s">
        <v>235</v>
      </c>
      <c r="D162" s="141" t="s">
        <v>235</v>
      </c>
      <c r="E162" s="141" t="s">
        <v>235</v>
      </c>
      <c r="F162" s="141" t="s">
        <v>235</v>
      </c>
      <c r="G162" s="141" t="s">
        <v>235</v>
      </c>
      <c r="H162" s="141" t="s">
        <v>235</v>
      </c>
      <c r="I162" s="141" t="s">
        <v>235</v>
      </c>
      <c r="J162" s="141" t="s">
        <v>235</v>
      </c>
      <c r="K162" s="141" t="s">
        <v>235</v>
      </c>
      <c r="L162" s="141" t="s">
        <v>235</v>
      </c>
    </row>
    <row r="163" spans="1:12" ht="18" x14ac:dyDescent="0.3">
      <c r="A163" s="125">
        <f t="shared" si="5"/>
        <v>46384</v>
      </c>
      <c r="B163" s="140" t="str">
        <f t="shared" si="4"/>
        <v>Monday</v>
      </c>
      <c r="C163" s="141" t="s">
        <v>235</v>
      </c>
      <c r="D163" s="141" t="s">
        <v>235</v>
      </c>
      <c r="E163" s="141" t="s">
        <v>235</v>
      </c>
      <c r="F163" s="141" t="s">
        <v>235</v>
      </c>
      <c r="G163" s="141" t="s">
        <v>235</v>
      </c>
      <c r="H163" s="141" t="s">
        <v>235</v>
      </c>
      <c r="I163" s="141" t="s">
        <v>235</v>
      </c>
      <c r="J163" s="141" t="s">
        <v>235</v>
      </c>
      <c r="K163" s="141" t="s">
        <v>235</v>
      </c>
      <c r="L163" s="141" t="s">
        <v>235</v>
      </c>
    </row>
    <row r="164" spans="1:12" ht="18" x14ac:dyDescent="0.3">
      <c r="A164" s="125">
        <f t="shared" si="5"/>
        <v>46385</v>
      </c>
      <c r="B164" s="140" t="str">
        <f t="shared" si="4"/>
        <v>Tuesday</v>
      </c>
      <c r="C164" s="141" t="s">
        <v>235</v>
      </c>
      <c r="D164" s="141" t="s">
        <v>235</v>
      </c>
      <c r="E164" s="141" t="s">
        <v>235</v>
      </c>
      <c r="F164" s="141" t="s">
        <v>235</v>
      </c>
      <c r="G164" s="141" t="s">
        <v>235</v>
      </c>
      <c r="H164" s="141" t="s">
        <v>235</v>
      </c>
      <c r="I164" s="141" t="s">
        <v>235</v>
      </c>
      <c r="J164" s="141" t="s">
        <v>235</v>
      </c>
      <c r="K164" s="141" t="s">
        <v>235</v>
      </c>
      <c r="L164" s="141" t="s">
        <v>235</v>
      </c>
    </row>
    <row r="165" spans="1:12" ht="18" x14ac:dyDescent="0.3">
      <c r="A165" s="125">
        <f t="shared" si="5"/>
        <v>46386</v>
      </c>
      <c r="B165" s="140" t="str">
        <f t="shared" si="4"/>
        <v>Wednesday</v>
      </c>
      <c r="C165" s="141" t="s">
        <v>235</v>
      </c>
      <c r="D165" s="141" t="s">
        <v>235</v>
      </c>
      <c r="E165" s="141" t="s">
        <v>235</v>
      </c>
      <c r="F165" s="141" t="s">
        <v>235</v>
      </c>
      <c r="G165" s="141" t="s">
        <v>235</v>
      </c>
      <c r="H165" s="141" t="s">
        <v>235</v>
      </c>
      <c r="I165" s="141" t="s">
        <v>235</v>
      </c>
      <c r="J165" s="141" t="s">
        <v>235</v>
      </c>
      <c r="K165" s="141" t="s">
        <v>235</v>
      </c>
      <c r="L165" s="141" t="s">
        <v>235</v>
      </c>
    </row>
    <row r="166" spans="1:12" ht="18" x14ac:dyDescent="0.3">
      <c r="A166" s="125">
        <f t="shared" si="5"/>
        <v>46387</v>
      </c>
      <c r="B166" s="140" t="str">
        <f t="shared" si="4"/>
        <v>Thursday</v>
      </c>
      <c r="C166" s="141" t="s">
        <v>235</v>
      </c>
      <c r="D166" s="141" t="s">
        <v>235</v>
      </c>
      <c r="E166" s="141" t="s">
        <v>235</v>
      </c>
      <c r="F166" s="141" t="s">
        <v>235</v>
      </c>
      <c r="G166" s="141" t="s">
        <v>235</v>
      </c>
      <c r="H166" s="141" t="s">
        <v>235</v>
      </c>
      <c r="I166" s="141" t="s">
        <v>235</v>
      </c>
      <c r="J166" s="141" t="s">
        <v>235</v>
      </c>
      <c r="K166" s="141" t="s">
        <v>235</v>
      </c>
      <c r="L166" s="141" t="s">
        <v>235</v>
      </c>
    </row>
    <row r="167" spans="1:12" ht="18" x14ac:dyDescent="0.3">
      <c r="A167" s="125">
        <f t="shared" si="5"/>
        <v>46388</v>
      </c>
      <c r="B167" s="140" t="str">
        <f t="shared" si="4"/>
        <v>Friday</v>
      </c>
      <c r="C167" s="141" t="s">
        <v>235</v>
      </c>
      <c r="D167" s="141" t="s">
        <v>235</v>
      </c>
      <c r="E167" s="141" t="s">
        <v>235</v>
      </c>
      <c r="F167" s="141" t="s">
        <v>235</v>
      </c>
      <c r="G167" s="141" t="s">
        <v>235</v>
      </c>
      <c r="H167" s="141" t="s">
        <v>235</v>
      </c>
      <c r="I167" s="141" t="s">
        <v>235</v>
      </c>
      <c r="J167" s="141" t="s">
        <v>235</v>
      </c>
      <c r="K167" s="141" t="s">
        <v>235</v>
      </c>
      <c r="L167" s="141" t="s">
        <v>235</v>
      </c>
    </row>
    <row r="168" spans="1:12" ht="18" x14ac:dyDescent="0.3">
      <c r="A168" s="125">
        <f t="shared" si="5"/>
        <v>46389</v>
      </c>
      <c r="B168" s="140" t="str">
        <f t="shared" si="4"/>
        <v>Saturday</v>
      </c>
      <c r="C168" s="141" t="s">
        <v>235</v>
      </c>
      <c r="D168" s="141" t="s">
        <v>235</v>
      </c>
      <c r="E168" s="141" t="s">
        <v>235</v>
      </c>
      <c r="F168" s="141" t="s">
        <v>235</v>
      </c>
      <c r="G168" s="141" t="s">
        <v>235</v>
      </c>
      <c r="H168" s="141" t="s">
        <v>235</v>
      </c>
      <c r="I168" s="141" t="s">
        <v>235</v>
      </c>
      <c r="J168" s="141" t="s">
        <v>235</v>
      </c>
      <c r="K168" s="141" t="s">
        <v>235</v>
      </c>
      <c r="L168" s="141" t="s">
        <v>235</v>
      </c>
    </row>
    <row r="169" spans="1:12" ht="18" x14ac:dyDescent="0.3">
      <c r="A169" s="125">
        <f t="shared" si="5"/>
        <v>46390</v>
      </c>
      <c r="B169" s="140" t="str">
        <f t="shared" si="4"/>
        <v>Sunday</v>
      </c>
      <c r="C169" s="141" t="s">
        <v>235</v>
      </c>
      <c r="D169" s="141" t="s">
        <v>235</v>
      </c>
      <c r="E169" s="141" t="s">
        <v>235</v>
      </c>
      <c r="F169" s="141" t="s">
        <v>235</v>
      </c>
      <c r="G169" s="141" t="s">
        <v>235</v>
      </c>
      <c r="H169" s="141" t="s">
        <v>235</v>
      </c>
      <c r="I169" s="141" t="s">
        <v>235</v>
      </c>
      <c r="J169" s="141" t="s">
        <v>235</v>
      </c>
      <c r="K169" s="141" t="s">
        <v>235</v>
      </c>
      <c r="L169" s="141" t="s">
        <v>235</v>
      </c>
    </row>
    <row r="170" spans="1:12" ht="18" x14ac:dyDescent="0.3">
      <c r="A170" s="125">
        <f t="shared" si="5"/>
        <v>46391</v>
      </c>
      <c r="B170" s="140" t="str">
        <f t="shared" si="4"/>
        <v>Monday</v>
      </c>
      <c r="C170" s="141" t="s">
        <v>235</v>
      </c>
      <c r="D170" s="141" t="s">
        <v>235</v>
      </c>
      <c r="E170" s="141" t="s">
        <v>235</v>
      </c>
      <c r="F170" s="141" t="s">
        <v>235</v>
      </c>
      <c r="G170" s="141" t="s">
        <v>235</v>
      </c>
      <c r="H170" s="141" t="s">
        <v>235</v>
      </c>
      <c r="I170" s="141" t="s">
        <v>235</v>
      </c>
      <c r="J170" s="141" t="s">
        <v>235</v>
      </c>
      <c r="K170" s="141" t="s">
        <v>235</v>
      </c>
      <c r="L170" s="141" t="s">
        <v>235</v>
      </c>
    </row>
    <row r="171" spans="1:12" ht="18" x14ac:dyDescent="0.3">
      <c r="A171" s="125">
        <f t="shared" si="5"/>
        <v>46392</v>
      </c>
      <c r="B171" s="140" t="str">
        <f t="shared" si="4"/>
        <v>Tuesday</v>
      </c>
      <c r="C171" s="141" t="s">
        <v>235</v>
      </c>
      <c r="D171" s="141" t="s">
        <v>235</v>
      </c>
      <c r="E171" s="141" t="s">
        <v>235</v>
      </c>
      <c r="F171" s="141" t="s">
        <v>235</v>
      </c>
      <c r="G171" s="141" t="s">
        <v>235</v>
      </c>
      <c r="H171" s="141" t="s">
        <v>235</v>
      </c>
      <c r="I171" s="141" t="s">
        <v>235</v>
      </c>
      <c r="J171" s="141" t="s">
        <v>235</v>
      </c>
      <c r="K171" s="141" t="s">
        <v>235</v>
      </c>
      <c r="L171" s="141" t="s">
        <v>235</v>
      </c>
    </row>
    <row r="172" spans="1:12" ht="18" x14ac:dyDescent="0.3">
      <c r="A172" s="125">
        <f t="shared" si="5"/>
        <v>46393</v>
      </c>
      <c r="B172" s="140" t="str">
        <f t="shared" si="4"/>
        <v>Wednesday</v>
      </c>
      <c r="C172" s="141" t="s">
        <v>235</v>
      </c>
      <c r="D172" s="141" t="s">
        <v>235</v>
      </c>
      <c r="E172" s="141" t="s">
        <v>235</v>
      </c>
      <c r="F172" s="141" t="s">
        <v>235</v>
      </c>
      <c r="G172" s="141" t="s">
        <v>235</v>
      </c>
      <c r="H172" s="141" t="s">
        <v>235</v>
      </c>
      <c r="I172" s="141" t="s">
        <v>235</v>
      </c>
      <c r="J172" s="141" t="s">
        <v>235</v>
      </c>
      <c r="K172" s="141" t="s">
        <v>235</v>
      </c>
      <c r="L172" s="141" t="s">
        <v>235</v>
      </c>
    </row>
    <row r="173" spans="1:12" ht="18" x14ac:dyDescent="0.3">
      <c r="A173" s="125">
        <f t="shared" si="5"/>
        <v>46394</v>
      </c>
      <c r="B173" s="140" t="str">
        <f t="shared" si="4"/>
        <v>Thursday</v>
      </c>
      <c r="C173" s="141" t="s">
        <v>235</v>
      </c>
      <c r="D173" s="141" t="s">
        <v>235</v>
      </c>
      <c r="E173" s="141" t="s">
        <v>235</v>
      </c>
      <c r="F173" s="141" t="s">
        <v>235</v>
      </c>
      <c r="G173" s="141" t="s">
        <v>235</v>
      </c>
      <c r="H173" s="141" t="s">
        <v>235</v>
      </c>
      <c r="I173" s="141" t="s">
        <v>235</v>
      </c>
      <c r="J173" s="141" t="s">
        <v>235</v>
      </c>
      <c r="K173" s="141" t="s">
        <v>235</v>
      </c>
      <c r="L173" s="141" t="s">
        <v>235</v>
      </c>
    </row>
    <row r="174" spans="1:12" ht="18" x14ac:dyDescent="0.3">
      <c r="A174" s="125">
        <f t="shared" si="5"/>
        <v>46395</v>
      </c>
      <c r="B174" s="140" t="str">
        <f t="shared" si="4"/>
        <v>Friday</v>
      </c>
      <c r="C174" s="141" t="s">
        <v>235</v>
      </c>
      <c r="D174" s="141" t="s">
        <v>235</v>
      </c>
      <c r="E174" s="141" t="s">
        <v>235</v>
      </c>
      <c r="F174" s="141" t="s">
        <v>235</v>
      </c>
      <c r="G174" s="141" t="s">
        <v>235</v>
      </c>
      <c r="H174" s="141" t="s">
        <v>235</v>
      </c>
      <c r="I174" s="141" t="s">
        <v>235</v>
      </c>
      <c r="J174" s="141" t="s">
        <v>235</v>
      </c>
      <c r="K174" s="141" t="s">
        <v>235</v>
      </c>
      <c r="L174" s="141" t="s">
        <v>235</v>
      </c>
    </row>
    <row r="175" spans="1:12" ht="18" x14ac:dyDescent="0.3">
      <c r="A175" s="125">
        <f t="shared" si="5"/>
        <v>46396</v>
      </c>
      <c r="B175" s="140" t="str">
        <f t="shared" si="4"/>
        <v>Saturday</v>
      </c>
      <c r="C175" s="141" t="s">
        <v>235</v>
      </c>
      <c r="D175" s="141" t="s">
        <v>235</v>
      </c>
      <c r="E175" s="141" t="s">
        <v>235</v>
      </c>
      <c r="F175" s="141" t="s">
        <v>235</v>
      </c>
      <c r="G175" s="141" t="s">
        <v>235</v>
      </c>
      <c r="H175" s="141" t="s">
        <v>235</v>
      </c>
      <c r="I175" s="141" t="s">
        <v>235</v>
      </c>
      <c r="J175" s="141" t="s">
        <v>235</v>
      </c>
      <c r="K175" s="141" t="s">
        <v>235</v>
      </c>
      <c r="L175" s="141" t="s">
        <v>235</v>
      </c>
    </row>
    <row r="176" spans="1:12" ht="18" x14ac:dyDescent="0.3">
      <c r="A176" s="125">
        <f t="shared" si="5"/>
        <v>46397</v>
      </c>
      <c r="B176" s="140" t="str">
        <f t="shared" si="4"/>
        <v>Sunday</v>
      </c>
      <c r="C176" s="141" t="s">
        <v>235</v>
      </c>
      <c r="D176" s="141" t="s">
        <v>235</v>
      </c>
      <c r="E176" s="141" t="s">
        <v>235</v>
      </c>
      <c r="F176" s="141" t="s">
        <v>235</v>
      </c>
      <c r="G176" s="141" t="s">
        <v>235</v>
      </c>
      <c r="H176" s="141" t="s">
        <v>235</v>
      </c>
      <c r="I176" s="141" t="s">
        <v>235</v>
      </c>
      <c r="J176" s="141" t="s">
        <v>235</v>
      </c>
      <c r="K176" s="141" t="s">
        <v>235</v>
      </c>
      <c r="L176" s="141" t="s">
        <v>235</v>
      </c>
    </row>
    <row r="177" spans="1:12" ht="18" x14ac:dyDescent="0.3">
      <c r="A177" s="125">
        <f t="shared" si="5"/>
        <v>46398</v>
      </c>
      <c r="B177" s="140" t="str">
        <f t="shared" si="4"/>
        <v>Monday</v>
      </c>
      <c r="C177" s="141" t="s">
        <v>235</v>
      </c>
      <c r="D177" s="141" t="s">
        <v>235</v>
      </c>
      <c r="E177" s="141" t="s">
        <v>235</v>
      </c>
      <c r="F177" s="141" t="s">
        <v>235</v>
      </c>
      <c r="G177" s="141" t="s">
        <v>235</v>
      </c>
      <c r="H177" s="141" t="s">
        <v>235</v>
      </c>
      <c r="I177" s="141" t="s">
        <v>235</v>
      </c>
      <c r="J177" s="141" t="s">
        <v>235</v>
      </c>
      <c r="K177" s="141" t="s">
        <v>235</v>
      </c>
      <c r="L177" s="141" t="s">
        <v>235</v>
      </c>
    </row>
    <row r="178" spans="1:12" ht="18" x14ac:dyDescent="0.3">
      <c r="A178" s="125">
        <f t="shared" si="5"/>
        <v>46399</v>
      </c>
      <c r="B178" s="140" t="str">
        <f t="shared" si="4"/>
        <v>Tuesday</v>
      </c>
      <c r="C178" s="141" t="s">
        <v>235</v>
      </c>
      <c r="D178" s="141" t="s">
        <v>235</v>
      </c>
      <c r="E178" s="141" t="s">
        <v>235</v>
      </c>
      <c r="F178" s="141" t="s">
        <v>235</v>
      </c>
      <c r="G178" s="141" t="s">
        <v>235</v>
      </c>
      <c r="H178" s="141" t="s">
        <v>235</v>
      </c>
      <c r="I178" s="141" t="s">
        <v>235</v>
      </c>
      <c r="J178" s="141" t="s">
        <v>235</v>
      </c>
      <c r="K178" s="141" t="s">
        <v>235</v>
      </c>
      <c r="L178" s="141" t="s">
        <v>235</v>
      </c>
    </row>
    <row r="179" spans="1:12" ht="18" x14ac:dyDescent="0.3">
      <c r="A179" s="125">
        <f t="shared" si="5"/>
        <v>46400</v>
      </c>
      <c r="B179" s="140" t="str">
        <f t="shared" si="4"/>
        <v>Wednesday</v>
      </c>
      <c r="C179" s="141" t="s">
        <v>235</v>
      </c>
      <c r="D179" s="141" t="s">
        <v>235</v>
      </c>
      <c r="E179" s="141" t="s">
        <v>235</v>
      </c>
      <c r="F179" s="141" t="s">
        <v>235</v>
      </c>
      <c r="G179" s="141" t="s">
        <v>235</v>
      </c>
      <c r="H179" s="141" t="s">
        <v>235</v>
      </c>
      <c r="I179" s="141" t="s">
        <v>235</v>
      </c>
      <c r="J179" s="141" t="s">
        <v>235</v>
      </c>
      <c r="K179" s="141" t="s">
        <v>235</v>
      </c>
      <c r="L179" s="141" t="s">
        <v>235</v>
      </c>
    </row>
    <row r="180" spans="1:12" ht="18" x14ac:dyDescent="0.3">
      <c r="A180" s="125">
        <f t="shared" si="5"/>
        <v>46401</v>
      </c>
      <c r="B180" s="140" t="str">
        <f t="shared" si="4"/>
        <v>Thursday</v>
      </c>
      <c r="C180" s="141" t="s">
        <v>235</v>
      </c>
      <c r="D180" s="141" t="s">
        <v>235</v>
      </c>
      <c r="E180" s="141" t="s">
        <v>235</v>
      </c>
      <c r="F180" s="141" t="s">
        <v>235</v>
      </c>
      <c r="G180" s="141" t="s">
        <v>235</v>
      </c>
      <c r="H180" s="141" t="s">
        <v>235</v>
      </c>
      <c r="I180" s="141" t="s">
        <v>235</v>
      </c>
      <c r="J180" s="141" t="s">
        <v>235</v>
      </c>
      <c r="K180" s="141" t="s">
        <v>235</v>
      </c>
      <c r="L180" s="141" t="s">
        <v>235</v>
      </c>
    </row>
    <row r="181" spans="1:12" ht="18" x14ac:dyDescent="0.3">
      <c r="A181" s="125">
        <f t="shared" si="5"/>
        <v>46402</v>
      </c>
      <c r="B181" s="140" t="str">
        <f t="shared" si="4"/>
        <v>Friday</v>
      </c>
      <c r="C181" s="141" t="s">
        <v>235</v>
      </c>
      <c r="D181" s="141" t="s">
        <v>235</v>
      </c>
      <c r="E181" s="141" t="s">
        <v>235</v>
      </c>
      <c r="F181" s="141" t="s">
        <v>235</v>
      </c>
      <c r="G181" s="141" t="s">
        <v>235</v>
      </c>
      <c r="H181" s="141" t="s">
        <v>235</v>
      </c>
      <c r="I181" s="141" t="s">
        <v>235</v>
      </c>
      <c r="J181" s="141" t="s">
        <v>235</v>
      </c>
      <c r="K181" s="141" t="s">
        <v>235</v>
      </c>
      <c r="L181" s="141" t="s">
        <v>235</v>
      </c>
    </row>
    <row r="182" spans="1:12" ht="18" x14ac:dyDescent="0.3">
      <c r="A182" s="125">
        <f t="shared" si="5"/>
        <v>46403</v>
      </c>
      <c r="B182" s="140" t="str">
        <f t="shared" si="4"/>
        <v>Saturday</v>
      </c>
      <c r="C182" s="141" t="s">
        <v>235</v>
      </c>
      <c r="D182" s="141" t="s">
        <v>235</v>
      </c>
      <c r="E182" s="141" t="s">
        <v>235</v>
      </c>
      <c r="F182" s="141" t="s">
        <v>235</v>
      </c>
      <c r="G182" s="141" t="s">
        <v>235</v>
      </c>
      <c r="H182" s="141" t="s">
        <v>235</v>
      </c>
      <c r="I182" s="141" t="s">
        <v>235</v>
      </c>
      <c r="J182" s="141" t="s">
        <v>235</v>
      </c>
      <c r="K182" s="141" t="s">
        <v>235</v>
      </c>
      <c r="L182" s="141" t="s">
        <v>235</v>
      </c>
    </row>
    <row r="183" spans="1:12" ht="18" x14ac:dyDescent="0.3">
      <c r="A183" s="125">
        <f t="shared" si="5"/>
        <v>46404</v>
      </c>
      <c r="B183" s="140" t="str">
        <f t="shared" si="4"/>
        <v>Sunday</v>
      </c>
      <c r="C183" s="141" t="s">
        <v>235</v>
      </c>
      <c r="D183" s="141" t="s">
        <v>235</v>
      </c>
      <c r="E183" s="141" t="s">
        <v>235</v>
      </c>
      <c r="F183" s="141" t="s">
        <v>235</v>
      </c>
      <c r="G183" s="141" t="s">
        <v>235</v>
      </c>
      <c r="H183" s="141" t="s">
        <v>235</v>
      </c>
      <c r="I183" s="141" t="s">
        <v>235</v>
      </c>
      <c r="J183" s="141" t="s">
        <v>235</v>
      </c>
      <c r="K183" s="141" t="s">
        <v>235</v>
      </c>
      <c r="L183" s="141" t="s">
        <v>235</v>
      </c>
    </row>
    <row r="184" spans="1:12" ht="18" x14ac:dyDescent="0.3">
      <c r="A184" s="125">
        <f t="shared" si="5"/>
        <v>46405</v>
      </c>
      <c r="B184" s="140" t="str">
        <f t="shared" si="4"/>
        <v>Monday</v>
      </c>
      <c r="C184" s="141" t="s">
        <v>235</v>
      </c>
      <c r="D184" s="141" t="s">
        <v>235</v>
      </c>
      <c r="E184" s="141" t="s">
        <v>235</v>
      </c>
      <c r="F184" s="141" t="s">
        <v>235</v>
      </c>
      <c r="G184" s="141" t="s">
        <v>235</v>
      </c>
      <c r="H184" s="141" t="s">
        <v>235</v>
      </c>
      <c r="I184" s="141" t="s">
        <v>235</v>
      </c>
      <c r="J184" s="141" t="s">
        <v>235</v>
      </c>
      <c r="K184" s="141" t="s">
        <v>235</v>
      </c>
      <c r="L184" s="141" t="s">
        <v>235</v>
      </c>
    </row>
    <row r="185" spans="1:12" ht="18" x14ac:dyDescent="0.3">
      <c r="A185" s="125">
        <f t="shared" si="5"/>
        <v>46406</v>
      </c>
      <c r="B185" s="140" t="str">
        <f t="shared" si="4"/>
        <v>Tuesday</v>
      </c>
      <c r="C185" s="141" t="s">
        <v>235</v>
      </c>
      <c r="D185" s="141" t="s">
        <v>235</v>
      </c>
      <c r="E185" s="141" t="s">
        <v>235</v>
      </c>
      <c r="F185" s="141" t="s">
        <v>235</v>
      </c>
      <c r="G185" s="141" t="s">
        <v>235</v>
      </c>
      <c r="H185" s="141" t="s">
        <v>235</v>
      </c>
      <c r="I185" s="141" t="s">
        <v>235</v>
      </c>
      <c r="J185" s="141" t="s">
        <v>235</v>
      </c>
      <c r="K185" s="141" t="s">
        <v>235</v>
      </c>
      <c r="L185" s="141" t="s">
        <v>235</v>
      </c>
    </row>
    <row r="186" spans="1:12" ht="18" x14ac:dyDescent="0.3">
      <c r="A186" s="125">
        <f t="shared" si="5"/>
        <v>46407</v>
      </c>
      <c r="B186" s="140" t="str">
        <f t="shared" si="4"/>
        <v>Wednesday</v>
      </c>
      <c r="C186" s="141" t="s">
        <v>235</v>
      </c>
      <c r="D186" s="141" t="s">
        <v>235</v>
      </c>
      <c r="E186" s="141" t="s">
        <v>235</v>
      </c>
      <c r="F186" s="141" t="s">
        <v>235</v>
      </c>
      <c r="G186" s="141" t="s">
        <v>235</v>
      </c>
      <c r="H186" s="141" t="s">
        <v>235</v>
      </c>
      <c r="I186" s="141" t="s">
        <v>235</v>
      </c>
      <c r="J186" s="141" t="s">
        <v>235</v>
      </c>
      <c r="K186" s="141" t="s">
        <v>235</v>
      </c>
      <c r="L186" s="141" t="s">
        <v>235</v>
      </c>
    </row>
    <row r="187" spans="1:12" ht="18" x14ac:dyDescent="0.3">
      <c r="A187" s="125">
        <f t="shared" si="5"/>
        <v>46408</v>
      </c>
      <c r="B187" s="140" t="str">
        <f t="shared" si="4"/>
        <v>Thursday</v>
      </c>
      <c r="C187" s="141" t="s">
        <v>235</v>
      </c>
      <c r="D187" s="141" t="s">
        <v>235</v>
      </c>
      <c r="E187" s="141" t="s">
        <v>235</v>
      </c>
      <c r="F187" s="141" t="s">
        <v>235</v>
      </c>
      <c r="G187" s="141" t="s">
        <v>235</v>
      </c>
      <c r="H187" s="141" t="s">
        <v>235</v>
      </c>
      <c r="I187" s="141" t="s">
        <v>235</v>
      </c>
      <c r="J187" s="141" t="s">
        <v>235</v>
      </c>
      <c r="K187" s="141" t="s">
        <v>235</v>
      </c>
      <c r="L187" s="141" t="s">
        <v>235</v>
      </c>
    </row>
    <row r="188" spans="1:12" ht="18" x14ac:dyDescent="0.3">
      <c r="A188" s="125">
        <f t="shared" si="5"/>
        <v>46409</v>
      </c>
      <c r="B188" s="140" t="str">
        <f t="shared" si="4"/>
        <v>Friday</v>
      </c>
      <c r="C188" s="141" t="s">
        <v>235</v>
      </c>
      <c r="D188" s="141" t="s">
        <v>235</v>
      </c>
      <c r="E188" s="141" t="s">
        <v>235</v>
      </c>
      <c r="F188" s="141" t="s">
        <v>235</v>
      </c>
      <c r="G188" s="141" t="s">
        <v>235</v>
      </c>
      <c r="H188" s="141" t="s">
        <v>235</v>
      </c>
      <c r="I188" s="141" t="s">
        <v>235</v>
      </c>
      <c r="J188" s="141" t="s">
        <v>235</v>
      </c>
      <c r="K188" s="141" t="s">
        <v>235</v>
      </c>
      <c r="L188" s="141" t="s">
        <v>235</v>
      </c>
    </row>
    <row r="189" spans="1:12" ht="18" x14ac:dyDescent="0.3">
      <c r="A189" s="125">
        <f t="shared" si="5"/>
        <v>46410</v>
      </c>
      <c r="B189" s="140" t="str">
        <f t="shared" si="4"/>
        <v>Saturday</v>
      </c>
      <c r="C189" s="141" t="s">
        <v>235</v>
      </c>
      <c r="D189" s="141" t="s">
        <v>235</v>
      </c>
      <c r="E189" s="141" t="s">
        <v>235</v>
      </c>
      <c r="F189" s="141" t="s">
        <v>235</v>
      </c>
      <c r="G189" s="141" t="s">
        <v>235</v>
      </c>
      <c r="H189" s="141" t="s">
        <v>235</v>
      </c>
      <c r="I189" s="141" t="s">
        <v>235</v>
      </c>
      <c r="J189" s="141" t="s">
        <v>235</v>
      </c>
      <c r="K189" s="141" t="s">
        <v>235</v>
      </c>
      <c r="L189" s="141" t="s">
        <v>235</v>
      </c>
    </row>
    <row r="190" spans="1:12" ht="18" x14ac:dyDescent="0.3">
      <c r="A190" s="125">
        <f t="shared" si="5"/>
        <v>46411</v>
      </c>
      <c r="B190" s="140" t="str">
        <f t="shared" si="4"/>
        <v>Sunday</v>
      </c>
      <c r="C190" s="141" t="s">
        <v>235</v>
      </c>
      <c r="D190" s="141" t="s">
        <v>235</v>
      </c>
      <c r="E190" s="141" t="s">
        <v>235</v>
      </c>
      <c r="F190" s="141" t="s">
        <v>235</v>
      </c>
      <c r="G190" s="141" t="s">
        <v>235</v>
      </c>
      <c r="H190" s="141" t="s">
        <v>235</v>
      </c>
      <c r="I190" s="141" t="s">
        <v>235</v>
      </c>
      <c r="J190" s="141" t="s">
        <v>235</v>
      </c>
      <c r="K190" s="141" t="s">
        <v>235</v>
      </c>
      <c r="L190" s="141" t="s">
        <v>235</v>
      </c>
    </row>
    <row r="191" spans="1:12" ht="18" x14ac:dyDescent="0.3">
      <c r="A191" s="125">
        <f t="shared" si="5"/>
        <v>46412</v>
      </c>
      <c r="B191" s="140" t="str">
        <f t="shared" si="4"/>
        <v>Monday</v>
      </c>
      <c r="C191" s="141" t="s">
        <v>235</v>
      </c>
      <c r="D191" s="141" t="s">
        <v>235</v>
      </c>
      <c r="E191" s="141" t="s">
        <v>235</v>
      </c>
      <c r="F191" s="141" t="s">
        <v>235</v>
      </c>
      <c r="G191" s="141" t="s">
        <v>235</v>
      </c>
      <c r="H191" s="141" t="s">
        <v>235</v>
      </c>
      <c r="I191" s="141" t="s">
        <v>235</v>
      </c>
      <c r="J191" s="141" t="s">
        <v>235</v>
      </c>
      <c r="K191" s="141" t="s">
        <v>235</v>
      </c>
      <c r="L191" s="141" t="s">
        <v>235</v>
      </c>
    </row>
    <row r="192" spans="1:12" ht="18" x14ac:dyDescent="0.3">
      <c r="A192" s="125">
        <f t="shared" si="5"/>
        <v>46413</v>
      </c>
      <c r="B192" s="140" t="str">
        <f t="shared" si="4"/>
        <v>Tuesday</v>
      </c>
      <c r="C192" s="141" t="s">
        <v>235</v>
      </c>
      <c r="D192" s="141" t="s">
        <v>235</v>
      </c>
      <c r="E192" s="141" t="s">
        <v>235</v>
      </c>
      <c r="F192" s="141" t="s">
        <v>235</v>
      </c>
      <c r="G192" s="141" t="s">
        <v>235</v>
      </c>
      <c r="H192" s="141" t="s">
        <v>235</v>
      </c>
      <c r="I192" s="141" t="s">
        <v>235</v>
      </c>
      <c r="J192" s="141" t="s">
        <v>235</v>
      </c>
      <c r="K192" s="141" t="s">
        <v>235</v>
      </c>
      <c r="L192" s="141" t="s">
        <v>235</v>
      </c>
    </row>
    <row r="193" spans="1:12" ht="18" x14ac:dyDescent="0.3">
      <c r="A193" s="125">
        <f t="shared" si="5"/>
        <v>46414</v>
      </c>
      <c r="B193" s="140" t="str">
        <f t="shared" si="4"/>
        <v>Wednesday</v>
      </c>
      <c r="C193" s="141" t="s">
        <v>235</v>
      </c>
      <c r="D193" s="141" t="s">
        <v>235</v>
      </c>
      <c r="E193" s="141" t="s">
        <v>235</v>
      </c>
      <c r="F193" s="141" t="s">
        <v>235</v>
      </c>
      <c r="G193" s="141" t="s">
        <v>235</v>
      </c>
      <c r="H193" s="141" t="s">
        <v>235</v>
      </c>
      <c r="I193" s="141" t="s">
        <v>235</v>
      </c>
      <c r="J193" s="141" t="s">
        <v>235</v>
      </c>
      <c r="K193" s="141" t="s">
        <v>235</v>
      </c>
      <c r="L193" s="141" t="s">
        <v>235</v>
      </c>
    </row>
    <row r="194" spans="1:12" ht="18" x14ac:dyDescent="0.3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235</v>
      </c>
      <c r="D194" s="141" t="s">
        <v>235</v>
      </c>
      <c r="E194" s="141" t="s">
        <v>235</v>
      </c>
      <c r="F194" s="141" t="s">
        <v>235</v>
      </c>
      <c r="G194" s="141" t="s">
        <v>235</v>
      </c>
      <c r="H194" s="141" t="s">
        <v>235</v>
      </c>
      <c r="I194" s="141" t="s">
        <v>235</v>
      </c>
      <c r="J194" s="141" t="s">
        <v>235</v>
      </c>
      <c r="K194" s="141" t="s">
        <v>235</v>
      </c>
      <c r="L194" s="141" t="s">
        <v>235</v>
      </c>
    </row>
    <row r="195" spans="1:12" ht="18" x14ac:dyDescent="0.3">
      <c r="A195" s="125">
        <f t="shared" si="5"/>
        <v>46416</v>
      </c>
      <c r="B195" s="140" t="str">
        <f t="shared" si="6"/>
        <v>Friday</v>
      </c>
      <c r="C195" s="141" t="s">
        <v>235</v>
      </c>
      <c r="D195" s="141" t="s">
        <v>235</v>
      </c>
      <c r="E195" s="141" t="s">
        <v>235</v>
      </c>
      <c r="F195" s="141" t="s">
        <v>235</v>
      </c>
      <c r="G195" s="141" t="s">
        <v>235</v>
      </c>
      <c r="H195" s="141" t="s">
        <v>235</v>
      </c>
      <c r="I195" s="141" t="s">
        <v>235</v>
      </c>
      <c r="J195" s="141" t="s">
        <v>235</v>
      </c>
      <c r="K195" s="141" t="s">
        <v>235</v>
      </c>
      <c r="L195" s="141" t="s">
        <v>235</v>
      </c>
    </row>
    <row r="196" spans="1:12" ht="18" x14ac:dyDescent="0.3">
      <c r="A196" s="125">
        <f t="shared" ref="A196:A259" si="7">A195+1</f>
        <v>46417</v>
      </c>
      <c r="B196" s="140" t="str">
        <f t="shared" si="6"/>
        <v>Saturday</v>
      </c>
      <c r="C196" s="141" t="s">
        <v>235</v>
      </c>
      <c r="D196" s="141" t="s">
        <v>235</v>
      </c>
      <c r="E196" s="141" t="s">
        <v>235</v>
      </c>
      <c r="F196" s="141" t="s">
        <v>235</v>
      </c>
      <c r="G196" s="141" t="s">
        <v>235</v>
      </c>
      <c r="H196" s="141" t="s">
        <v>235</v>
      </c>
      <c r="I196" s="141" t="s">
        <v>235</v>
      </c>
      <c r="J196" s="141" t="s">
        <v>235</v>
      </c>
      <c r="K196" s="141" t="s">
        <v>235</v>
      </c>
      <c r="L196" s="141" t="s">
        <v>235</v>
      </c>
    </row>
    <row r="197" spans="1:12" ht="18" x14ac:dyDescent="0.3">
      <c r="A197" s="125">
        <f t="shared" si="7"/>
        <v>46418</v>
      </c>
      <c r="B197" s="140" t="str">
        <f t="shared" si="6"/>
        <v>Sunday</v>
      </c>
      <c r="C197" s="141" t="s">
        <v>235</v>
      </c>
      <c r="D197" s="141" t="s">
        <v>235</v>
      </c>
      <c r="E197" s="141" t="s">
        <v>235</v>
      </c>
      <c r="F197" s="141" t="s">
        <v>235</v>
      </c>
      <c r="G197" s="141" t="s">
        <v>235</v>
      </c>
      <c r="H197" s="141" t="s">
        <v>235</v>
      </c>
      <c r="I197" s="141" t="s">
        <v>235</v>
      </c>
      <c r="J197" s="141" t="s">
        <v>235</v>
      </c>
      <c r="K197" s="141" t="s">
        <v>235</v>
      </c>
      <c r="L197" s="141" t="s">
        <v>235</v>
      </c>
    </row>
    <row r="198" spans="1:12" ht="18" x14ac:dyDescent="0.3">
      <c r="A198" s="125">
        <f t="shared" si="7"/>
        <v>46419</v>
      </c>
      <c r="B198" s="140" t="str">
        <f t="shared" si="6"/>
        <v>Monday</v>
      </c>
      <c r="C198" s="141" t="s">
        <v>235</v>
      </c>
      <c r="D198" s="141" t="s">
        <v>235</v>
      </c>
      <c r="E198" s="141" t="s">
        <v>235</v>
      </c>
      <c r="F198" s="141" t="s">
        <v>235</v>
      </c>
      <c r="G198" s="141" t="s">
        <v>235</v>
      </c>
      <c r="H198" s="141" t="s">
        <v>235</v>
      </c>
      <c r="I198" s="141" t="s">
        <v>235</v>
      </c>
      <c r="J198" s="141" t="s">
        <v>235</v>
      </c>
      <c r="K198" s="141" t="s">
        <v>235</v>
      </c>
      <c r="L198" s="141" t="s">
        <v>235</v>
      </c>
    </row>
    <row r="199" spans="1:12" ht="18" x14ac:dyDescent="0.3">
      <c r="A199" s="125">
        <f t="shared" si="7"/>
        <v>46420</v>
      </c>
      <c r="B199" s="140" t="str">
        <f t="shared" si="6"/>
        <v>Tuesday</v>
      </c>
      <c r="C199" s="141" t="s">
        <v>235</v>
      </c>
      <c r="D199" s="141" t="s">
        <v>235</v>
      </c>
      <c r="E199" s="141" t="s">
        <v>235</v>
      </c>
      <c r="F199" s="141" t="s">
        <v>235</v>
      </c>
      <c r="G199" s="141" t="s">
        <v>235</v>
      </c>
      <c r="H199" s="141" t="s">
        <v>235</v>
      </c>
      <c r="I199" s="141" t="s">
        <v>235</v>
      </c>
      <c r="J199" s="141" t="s">
        <v>235</v>
      </c>
      <c r="K199" s="141" t="s">
        <v>235</v>
      </c>
      <c r="L199" s="141" t="s">
        <v>235</v>
      </c>
    </row>
    <row r="200" spans="1:12" ht="18" x14ac:dyDescent="0.3">
      <c r="A200" s="125">
        <f t="shared" si="7"/>
        <v>46421</v>
      </c>
      <c r="B200" s="140" t="str">
        <f t="shared" si="6"/>
        <v>Wednesday</v>
      </c>
      <c r="C200" s="141" t="s">
        <v>235</v>
      </c>
      <c r="D200" s="141" t="s">
        <v>235</v>
      </c>
      <c r="E200" s="141" t="s">
        <v>235</v>
      </c>
      <c r="F200" s="141" t="s">
        <v>235</v>
      </c>
      <c r="G200" s="141" t="s">
        <v>235</v>
      </c>
      <c r="H200" s="141" t="s">
        <v>235</v>
      </c>
      <c r="I200" s="141" t="s">
        <v>235</v>
      </c>
      <c r="J200" s="141" t="s">
        <v>235</v>
      </c>
      <c r="K200" s="141" t="s">
        <v>235</v>
      </c>
      <c r="L200" s="141" t="s">
        <v>235</v>
      </c>
    </row>
    <row r="201" spans="1:12" ht="18" x14ac:dyDescent="0.3">
      <c r="A201" s="125">
        <f t="shared" si="7"/>
        <v>46422</v>
      </c>
      <c r="B201" s="140" t="str">
        <f t="shared" si="6"/>
        <v>Thursday</v>
      </c>
      <c r="C201" s="141" t="s">
        <v>235</v>
      </c>
      <c r="D201" s="141" t="s">
        <v>235</v>
      </c>
      <c r="E201" s="141" t="s">
        <v>235</v>
      </c>
      <c r="F201" s="141" t="s">
        <v>235</v>
      </c>
      <c r="G201" s="141" t="s">
        <v>235</v>
      </c>
      <c r="H201" s="141" t="s">
        <v>235</v>
      </c>
      <c r="I201" s="141" t="s">
        <v>235</v>
      </c>
      <c r="J201" s="141" t="s">
        <v>235</v>
      </c>
      <c r="K201" s="141" t="s">
        <v>235</v>
      </c>
      <c r="L201" s="141" t="s">
        <v>235</v>
      </c>
    </row>
    <row r="202" spans="1:12" ht="18" x14ac:dyDescent="0.3">
      <c r="A202" s="125">
        <f t="shared" si="7"/>
        <v>46423</v>
      </c>
      <c r="B202" s="140" t="str">
        <f t="shared" si="6"/>
        <v>Friday</v>
      </c>
      <c r="C202" s="141" t="s">
        <v>235</v>
      </c>
      <c r="D202" s="141" t="s">
        <v>235</v>
      </c>
      <c r="E202" s="141" t="s">
        <v>235</v>
      </c>
      <c r="F202" s="141" t="s">
        <v>235</v>
      </c>
      <c r="G202" s="141" t="s">
        <v>235</v>
      </c>
      <c r="H202" s="141" t="s">
        <v>235</v>
      </c>
      <c r="I202" s="141" t="s">
        <v>235</v>
      </c>
      <c r="J202" s="141" t="s">
        <v>235</v>
      </c>
      <c r="K202" s="141" t="s">
        <v>235</v>
      </c>
      <c r="L202" s="141" t="s">
        <v>235</v>
      </c>
    </row>
    <row r="203" spans="1:12" ht="18" x14ac:dyDescent="0.3">
      <c r="A203" s="125">
        <f t="shared" si="7"/>
        <v>46424</v>
      </c>
      <c r="B203" s="140" t="str">
        <f t="shared" si="6"/>
        <v>Saturday</v>
      </c>
      <c r="C203" s="141" t="s">
        <v>235</v>
      </c>
      <c r="D203" s="141" t="s">
        <v>235</v>
      </c>
      <c r="E203" s="141" t="s">
        <v>235</v>
      </c>
      <c r="F203" s="141" t="s">
        <v>235</v>
      </c>
      <c r="G203" s="141" t="s">
        <v>235</v>
      </c>
      <c r="H203" s="141" t="s">
        <v>235</v>
      </c>
      <c r="I203" s="141" t="s">
        <v>235</v>
      </c>
      <c r="J203" s="141" t="s">
        <v>235</v>
      </c>
      <c r="K203" s="141" t="s">
        <v>235</v>
      </c>
      <c r="L203" s="141" t="s">
        <v>235</v>
      </c>
    </row>
    <row r="204" spans="1:12" ht="18" x14ac:dyDescent="0.3">
      <c r="A204" s="125">
        <f t="shared" si="7"/>
        <v>46425</v>
      </c>
      <c r="B204" s="140" t="str">
        <f t="shared" si="6"/>
        <v>Sunday</v>
      </c>
      <c r="C204" s="141" t="s">
        <v>235</v>
      </c>
      <c r="D204" s="141" t="s">
        <v>235</v>
      </c>
      <c r="E204" s="141" t="s">
        <v>235</v>
      </c>
      <c r="F204" s="141" t="s">
        <v>235</v>
      </c>
      <c r="G204" s="141" t="s">
        <v>235</v>
      </c>
      <c r="H204" s="141" t="s">
        <v>235</v>
      </c>
      <c r="I204" s="141" t="s">
        <v>235</v>
      </c>
      <c r="J204" s="141" t="s">
        <v>235</v>
      </c>
      <c r="K204" s="141" t="s">
        <v>235</v>
      </c>
      <c r="L204" s="141" t="s">
        <v>235</v>
      </c>
    </row>
    <row r="205" spans="1:12" ht="18" x14ac:dyDescent="0.3">
      <c r="A205" s="125">
        <f t="shared" si="7"/>
        <v>46426</v>
      </c>
      <c r="B205" s="140" t="str">
        <f t="shared" si="6"/>
        <v>Monday</v>
      </c>
      <c r="C205" s="141" t="s">
        <v>235</v>
      </c>
      <c r="D205" s="141" t="s">
        <v>235</v>
      </c>
      <c r="E205" s="141" t="s">
        <v>235</v>
      </c>
      <c r="F205" s="141" t="s">
        <v>235</v>
      </c>
      <c r="G205" s="141" t="s">
        <v>235</v>
      </c>
      <c r="H205" s="141" t="s">
        <v>235</v>
      </c>
      <c r="I205" s="141" t="s">
        <v>235</v>
      </c>
      <c r="J205" s="141" t="s">
        <v>235</v>
      </c>
      <c r="K205" s="141" t="s">
        <v>235</v>
      </c>
      <c r="L205" s="141" t="s">
        <v>235</v>
      </c>
    </row>
    <row r="206" spans="1:12" ht="18" x14ac:dyDescent="0.3">
      <c r="A206" s="125">
        <f t="shared" si="7"/>
        <v>46427</v>
      </c>
      <c r="B206" s="140" t="str">
        <f t="shared" si="6"/>
        <v>Tuesday</v>
      </c>
      <c r="C206" s="141" t="s">
        <v>235</v>
      </c>
      <c r="D206" s="141" t="s">
        <v>235</v>
      </c>
      <c r="E206" s="141" t="s">
        <v>235</v>
      </c>
      <c r="F206" s="141" t="s">
        <v>235</v>
      </c>
      <c r="G206" s="141" t="s">
        <v>235</v>
      </c>
      <c r="H206" s="141" t="s">
        <v>235</v>
      </c>
      <c r="I206" s="141" t="s">
        <v>235</v>
      </c>
      <c r="J206" s="141" t="s">
        <v>235</v>
      </c>
      <c r="K206" s="141" t="s">
        <v>235</v>
      </c>
      <c r="L206" s="141" t="s">
        <v>235</v>
      </c>
    </row>
    <row r="207" spans="1:12" ht="18" x14ac:dyDescent="0.3">
      <c r="A207" s="125">
        <f t="shared" si="7"/>
        <v>46428</v>
      </c>
      <c r="B207" s="140" t="str">
        <f t="shared" si="6"/>
        <v>Wednesday</v>
      </c>
      <c r="C207" s="141" t="s">
        <v>235</v>
      </c>
      <c r="D207" s="141" t="s">
        <v>235</v>
      </c>
      <c r="E207" s="141" t="s">
        <v>235</v>
      </c>
      <c r="F207" s="141" t="s">
        <v>235</v>
      </c>
      <c r="G207" s="141" t="s">
        <v>235</v>
      </c>
      <c r="H207" s="141" t="s">
        <v>235</v>
      </c>
      <c r="I207" s="141" t="s">
        <v>235</v>
      </c>
      <c r="J207" s="141" t="s">
        <v>235</v>
      </c>
      <c r="K207" s="141" t="s">
        <v>235</v>
      </c>
      <c r="L207" s="141" t="s">
        <v>235</v>
      </c>
    </row>
    <row r="208" spans="1:12" ht="18" x14ac:dyDescent="0.3">
      <c r="A208" s="125">
        <f t="shared" si="7"/>
        <v>46429</v>
      </c>
      <c r="B208" s="140" t="str">
        <f t="shared" si="6"/>
        <v>Thursday</v>
      </c>
      <c r="C208" s="141" t="s">
        <v>235</v>
      </c>
      <c r="D208" s="141" t="s">
        <v>235</v>
      </c>
      <c r="E208" s="141" t="s">
        <v>235</v>
      </c>
      <c r="F208" s="141" t="s">
        <v>235</v>
      </c>
      <c r="G208" s="141" t="s">
        <v>235</v>
      </c>
      <c r="H208" s="141" t="s">
        <v>235</v>
      </c>
      <c r="I208" s="141" t="s">
        <v>235</v>
      </c>
      <c r="J208" s="141" t="s">
        <v>235</v>
      </c>
      <c r="K208" s="141" t="s">
        <v>235</v>
      </c>
      <c r="L208" s="141" t="s">
        <v>235</v>
      </c>
    </row>
    <row r="209" spans="1:12" ht="18" x14ac:dyDescent="0.3">
      <c r="A209" s="125">
        <f t="shared" si="7"/>
        <v>46430</v>
      </c>
      <c r="B209" s="140" t="str">
        <f t="shared" si="6"/>
        <v>Friday</v>
      </c>
      <c r="C209" s="141" t="s">
        <v>235</v>
      </c>
      <c r="D209" s="141" t="s">
        <v>235</v>
      </c>
      <c r="E209" s="141" t="s">
        <v>235</v>
      </c>
      <c r="F209" s="141" t="s">
        <v>235</v>
      </c>
      <c r="G209" s="141" t="s">
        <v>235</v>
      </c>
      <c r="H209" s="141" t="s">
        <v>235</v>
      </c>
      <c r="I209" s="141" t="s">
        <v>235</v>
      </c>
      <c r="J209" s="141" t="s">
        <v>235</v>
      </c>
      <c r="K209" s="141" t="s">
        <v>235</v>
      </c>
      <c r="L209" s="141" t="s">
        <v>235</v>
      </c>
    </row>
    <row r="210" spans="1:12" ht="18" x14ac:dyDescent="0.3">
      <c r="A210" s="125">
        <f t="shared" si="7"/>
        <v>46431</v>
      </c>
      <c r="B210" s="140" t="str">
        <f t="shared" si="6"/>
        <v>Saturday</v>
      </c>
      <c r="C210" s="141" t="s">
        <v>235</v>
      </c>
      <c r="D210" s="141" t="s">
        <v>235</v>
      </c>
      <c r="E210" s="141" t="s">
        <v>235</v>
      </c>
      <c r="F210" s="141" t="s">
        <v>235</v>
      </c>
      <c r="G210" s="141" t="s">
        <v>235</v>
      </c>
      <c r="H210" s="141" t="s">
        <v>235</v>
      </c>
      <c r="I210" s="141" t="s">
        <v>235</v>
      </c>
      <c r="J210" s="141" t="s">
        <v>235</v>
      </c>
      <c r="K210" s="141" t="s">
        <v>235</v>
      </c>
      <c r="L210" s="141" t="s">
        <v>235</v>
      </c>
    </row>
    <row r="211" spans="1:12" ht="18" x14ac:dyDescent="0.3">
      <c r="A211" s="125">
        <f t="shared" si="7"/>
        <v>46432</v>
      </c>
      <c r="B211" s="140" t="str">
        <f t="shared" si="6"/>
        <v>Sunday</v>
      </c>
      <c r="C211" s="141" t="s">
        <v>235</v>
      </c>
      <c r="D211" s="141" t="s">
        <v>235</v>
      </c>
      <c r="E211" s="141" t="s">
        <v>235</v>
      </c>
      <c r="F211" s="141" t="s">
        <v>235</v>
      </c>
      <c r="G211" s="141" t="s">
        <v>235</v>
      </c>
      <c r="H211" s="141" t="s">
        <v>235</v>
      </c>
      <c r="I211" s="141" t="s">
        <v>235</v>
      </c>
      <c r="J211" s="141" t="s">
        <v>235</v>
      </c>
      <c r="K211" s="141" t="s">
        <v>235</v>
      </c>
      <c r="L211" s="141" t="s">
        <v>235</v>
      </c>
    </row>
    <row r="212" spans="1:12" ht="18" x14ac:dyDescent="0.3">
      <c r="A212" s="125">
        <f t="shared" si="7"/>
        <v>46433</v>
      </c>
      <c r="B212" s="140" t="str">
        <f t="shared" si="6"/>
        <v>Monday</v>
      </c>
      <c r="C212" s="141" t="s">
        <v>235</v>
      </c>
      <c r="D212" s="141" t="s">
        <v>235</v>
      </c>
      <c r="E212" s="141" t="s">
        <v>235</v>
      </c>
      <c r="F212" s="141" t="s">
        <v>235</v>
      </c>
      <c r="G212" s="141" t="s">
        <v>235</v>
      </c>
      <c r="H212" s="141" t="s">
        <v>235</v>
      </c>
      <c r="I212" s="141" t="s">
        <v>235</v>
      </c>
      <c r="J212" s="141" t="s">
        <v>235</v>
      </c>
      <c r="K212" s="141" t="s">
        <v>235</v>
      </c>
      <c r="L212" s="141" t="s">
        <v>235</v>
      </c>
    </row>
    <row r="213" spans="1:12" ht="18" x14ac:dyDescent="0.3">
      <c r="A213" s="125">
        <f t="shared" si="7"/>
        <v>46434</v>
      </c>
      <c r="B213" s="140" t="str">
        <f t="shared" si="6"/>
        <v>Tuesday</v>
      </c>
      <c r="C213" s="141" t="s">
        <v>235</v>
      </c>
      <c r="D213" s="141" t="s">
        <v>235</v>
      </c>
      <c r="E213" s="141" t="s">
        <v>235</v>
      </c>
      <c r="F213" s="141" t="s">
        <v>235</v>
      </c>
      <c r="G213" s="141" t="s">
        <v>235</v>
      </c>
      <c r="H213" s="141" t="s">
        <v>235</v>
      </c>
      <c r="I213" s="141" t="s">
        <v>235</v>
      </c>
      <c r="J213" s="141" t="s">
        <v>235</v>
      </c>
      <c r="K213" s="141" t="s">
        <v>235</v>
      </c>
      <c r="L213" s="141" t="s">
        <v>235</v>
      </c>
    </row>
    <row r="214" spans="1:12" ht="18" x14ac:dyDescent="0.3">
      <c r="A214" s="125">
        <f t="shared" si="7"/>
        <v>46435</v>
      </c>
      <c r="B214" s="140" t="str">
        <f t="shared" si="6"/>
        <v>Wednesday</v>
      </c>
      <c r="C214" s="141" t="s">
        <v>235</v>
      </c>
      <c r="D214" s="141" t="s">
        <v>235</v>
      </c>
      <c r="E214" s="141" t="s">
        <v>235</v>
      </c>
      <c r="F214" s="141" t="s">
        <v>235</v>
      </c>
      <c r="G214" s="141" t="s">
        <v>235</v>
      </c>
      <c r="H214" s="141" t="s">
        <v>235</v>
      </c>
      <c r="I214" s="141" t="s">
        <v>235</v>
      </c>
      <c r="J214" s="141" t="s">
        <v>235</v>
      </c>
      <c r="K214" s="141" t="s">
        <v>235</v>
      </c>
      <c r="L214" s="141" t="s">
        <v>235</v>
      </c>
    </row>
    <row r="215" spans="1:12" ht="18" x14ac:dyDescent="0.3">
      <c r="A215" s="125">
        <f t="shared" si="7"/>
        <v>46436</v>
      </c>
      <c r="B215" s="140" t="str">
        <f t="shared" si="6"/>
        <v>Thursday</v>
      </c>
      <c r="C215" s="141" t="s">
        <v>235</v>
      </c>
      <c r="D215" s="141" t="s">
        <v>235</v>
      </c>
      <c r="E215" s="141" t="s">
        <v>235</v>
      </c>
      <c r="F215" s="141" t="s">
        <v>235</v>
      </c>
      <c r="G215" s="141" t="s">
        <v>235</v>
      </c>
      <c r="H215" s="141" t="s">
        <v>235</v>
      </c>
      <c r="I215" s="141" t="s">
        <v>235</v>
      </c>
      <c r="J215" s="141" t="s">
        <v>235</v>
      </c>
      <c r="K215" s="141" t="s">
        <v>235</v>
      </c>
      <c r="L215" s="141" t="s">
        <v>235</v>
      </c>
    </row>
    <row r="216" spans="1:12" ht="18" x14ac:dyDescent="0.3">
      <c r="A216" s="125">
        <f t="shared" si="7"/>
        <v>46437</v>
      </c>
      <c r="B216" s="140" t="str">
        <f t="shared" si="6"/>
        <v>Friday</v>
      </c>
      <c r="C216" s="141" t="s">
        <v>235</v>
      </c>
      <c r="D216" s="141" t="s">
        <v>235</v>
      </c>
      <c r="E216" s="141" t="s">
        <v>235</v>
      </c>
      <c r="F216" s="141" t="s">
        <v>235</v>
      </c>
      <c r="G216" s="141" t="s">
        <v>235</v>
      </c>
      <c r="H216" s="141" t="s">
        <v>235</v>
      </c>
      <c r="I216" s="141" t="s">
        <v>235</v>
      </c>
      <c r="J216" s="141" t="s">
        <v>235</v>
      </c>
      <c r="K216" s="141" t="s">
        <v>235</v>
      </c>
      <c r="L216" s="141" t="s">
        <v>235</v>
      </c>
    </row>
    <row r="217" spans="1:12" ht="18" x14ac:dyDescent="0.3">
      <c r="A217" s="125">
        <f t="shared" si="7"/>
        <v>46438</v>
      </c>
      <c r="B217" s="140" t="str">
        <f t="shared" si="6"/>
        <v>Saturday</v>
      </c>
      <c r="C217" s="141" t="s">
        <v>235</v>
      </c>
      <c r="D217" s="141" t="s">
        <v>235</v>
      </c>
      <c r="E217" s="141" t="s">
        <v>235</v>
      </c>
      <c r="F217" s="141" t="s">
        <v>235</v>
      </c>
      <c r="G217" s="141" t="s">
        <v>235</v>
      </c>
      <c r="H217" s="141" t="s">
        <v>235</v>
      </c>
      <c r="I217" s="141" t="s">
        <v>235</v>
      </c>
      <c r="J217" s="141" t="s">
        <v>235</v>
      </c>
      <c r="K217" s="141" t="s">
        <v>235</v>
      </c>
      <c r="L217" s="141" t="s">
        <v>235</v>
      </c>
    </row>
    <row r="218" spans="1:12" ht="18" x14ac:dyDescent="0.3">
      <c r="A218" s="125">
        <f t="shared" si="7"/>
        <v>46439</v>
      </c>
      <c r="B218" s="140" t="str">
        <f t="shared" si="6"/>
        <v>Sunday</v>
      </c>
      <c r="C218" s="141" t="s">
        <v>235</v>
      </c>
      <c r="D218" s="141" t="s">
        <v>235</v>
      </c>
      <c r="E218" s="141" t="s">
        <v>235</v>
      </c>
      <c r="F218" s="141" t="s">
        <v>235</v>
      </c>
      <c r="G218" s="141" t="s">
        <v>235</v>
      </c>
      <c r="H218" s="141" t="s">
        <v>235</v>
      </c>
      <c r="I218" s="141" t="s">
        <v>235</v>
      </c>
      <c r="J218" s="141" t="s">
        <v>235</v>
      </c>
      <c r="K218" s="141" t="s">
        <v>235</v>
      </c>
      <c r="L218" s="141" t="s">
        <v>235</v>
      </c>
    </row>
    <row r="219" spans="1:12" ht="18" x14ac:dyDescent="0.3">
      <c r="A219" s="125">
        <f t="shared" si="7"/>
        <v>46440</v>
      </c>
      <c r="B219" s="140" t="str">
        <f t="shared" si="6"/>
        <v>Monday</v>
      </c>
      <c r="C219" s="141" t="s">
        <v>235</v>
      </c>
      <c r="D219" s="141" t="s">
        <v>235</v>
      </c>
      <c r="E219" s="141" t="s">
        <v>235</v>
      </c>
      <c r="F219" s="141" t="s">
        <v>235</v>
      </c>
      <c r="G219" s="141" t="s">
        <v>235</v>
      </c>
      <c r="H219" s="141" t="s">
        <v>235</v>
      </c>
      <c r="I219" s="141" t="s">
        <v>235</v>
      </c>
      <c r="J219" s="141" t="s">
        <v>235</v>
      </c>
      <c r="K219" s="141" t="s">
        <v>235</v>
      </c>
      <c r="L219" s="141" t="s">
        <v>235</v>
      </c>
    </row>
    <row r="220" spans="1:12" ht="18" x14ac:dyDescent="0.3">
      <c r="A220" s="125">
        <f t="shared" si="7"/>
        <v>46441</v>
      </c>
      <c r="B220" s="140" t="str">
        <f t="shared" si="6"/>
        <v>Tuesday</v>
      </c>
      <c r="C220" s="141" t="s">
        <v>235</v>
      </c>
      <c r="D220" s="141" t="s">
        <v>235</v>
      </c>
      <c r="E220" s="141" t="s">
        <v>235</v>
      </c>
      <c r="F220" s="141" t="s">
        <v>235</v>
      </c>
      <c r="G220" s="141" t="s">
        <v>235</v>
      </c>
      <c r="H220" s="141" t="s">
        <v>235</v>
      </c>
      <c r="I220" s="141" t="s">
        <v>235</v>
      </c>
      <c r="J220" s="141" t="s">
        <v>235</v>
      </c>
      <c r="K220" s="141" t="s">
        <v>235</v>
      </c>
      <c r="L220" s="141" t="s">
        <v>235</v>
      </c>
    </row>
    <row r="221" spans="1:12" ht="18" x14ac:dyDescent="0.3">
      <c r="A221" s="125">
        <f t="shared" si="7"/>
        <v>46442</v>
      </c>
      <c r="B221" s="140" t="str">
        <f t="shared" si="6"/>
        <v>Wednesday</v>
      </c>
      <c r="C221" s="141" t="s">
        <v>235</v>
      </c>
      <c r="D221" s="141" t="s">
        <v>235</v>
      </c>
      <c r="E221" s="141" t="s">
        <v>235</v>
      </c>
      <c r="F221" s="141" t="s">
        <v>235</v>
      </c>
      <c r="G221" s="141" t="s">
        <v>235</v>
      </c>
      <c r="H221" s="141" t="s">
        <v>235</v>
      </c>
      <c r="I221" s="141" t="s">
        <v>235</v>
      </c>
      <c r="J221" s="141" t="s">
        <v>235</v>
      </c>
      <c r="K221" s="141" t="s">
        <v>235</v>
      </c>
      <c r="L221" s="141" t="s">
        <v>235</v>
      </c>
    </row>
    <row r="222" spans="1:12" ht="18" x14ac:dyDescent="0.3">
      <c r="A222" s="125">
        <f t="shared" si="7"/>
        <v>46443</v>
      </c>
      <c r="B222" s="140" t="str">
        <f t="shared" si="6"/>
        <v>Thursday</v>
      </c>
      <c r="C222" s="141" t="s">
        <v>235</v>
      </c>
      <c r="D222" s="141" t="s">
        <v>235</v>
      </c>
      <c r="E222" s="141" t="s">
        <v>235</v>
      </c>
      <c r="F222" s="141" t="s">
        <v>235</v>
      </c>
      <c r="G222" s="141" t="s">
        <v>235</v>
      </c>
      <c r="H222" s="141" t="s">
        <v>235</v>
      </c>
      <c r="I222" s="141" t="s">
        <v>235</v>
      </c>
      <c r="J222" s="141" t="s">
        <v>235</v>
      </c>
      <c r="K222" s="141" t="s">
        <v>235</v>
      </c>
      <c r="L222" s="141" t="s">
        <v>235</v>
      </c>
    </row>
    <row r="223" spans="1:12" ht="18" x14ac:dyDescent="0.3">
      <c r="A223" s="125">
        <f t="shared" si="7"/>
        <v>46444</v>
      </c>
      <c r="B223" s="140" t="str">
        <f t="shared" si="6"/>
        <v>Friday</v>
      </c>
      <c r="C223" s="141" t="s">
        <v>235</v>
      </c>
      <c r="D223" s="141" t="s">
        <v>235</v>
      </c>
      <c r="E223" s="141" t="s">
        <v>235</v>
      </c>
      <c r="F223" s="141" t="s">
        <v>235</v>
      </c>
      <c r="G223" s="141" t="s">
        <v>235</v>
      </c>
      <c r="H223" s="141" t="s">
        <v>235</v>
      </c>
      <c r="I223" s="141" t="s">
        <v>235</v>
      </c>
      <c r="J223" s="141" t="s">
        <v>235</v>
      </c>
      <c r="K223" s="141" t="s">
        <v>235</v>
      </c>
      <c r="L223" s="141" t="s">
        <v>235</v>
      </c>
    </row>
    <row r="224" spans="1:12" ht="18" x14ac:dyDescent="0.3">
      <c r="A224" s="125">
        <f t="shared" si="7"/>
        <v>46445</v>
      </c>
      <c r="B224" s="140" t="str">
        <f t="shared" si="6"/>
        <v>Saturday</v>
      </c>
      <c r="C224" s="141" t="s">
        <v>235</v>
      </c>
      <c r="D224" s="141" t="s">
        <v>235</v>
      </c>
      <c r="E224" s="141" t="s">
        <v>235</v>
      </c>
      <c r="F224" s="141" t="s">
        <v>235</v>
      </c>
      <c r="G224" s="141" t="s">
        <v>235</v>
      </c>
      <c r="H224" s="141" t="s">
        <v>235</v>
      </c>
      <c r="I224" s="141" t="s">
        <v>235</v>
      </c>
      <c r="J224" s="141" t="s">
        <v>235</v>
      </c>
      <c r="K224" s="141" t="s">
        <v>235</v>
      </c>
      <c r="L224" s="141" t="s">
        <v>235</v>
      </c>
    </row>
    <row r="225" spans="1:12" ht="18" x14ac:dyDescent="0.3">
      <c r="A225" s="125">
        <f t="shared" si="7"/>
        <v>46446</v>
      </c>
      <c r="B225" s="140" t="str">
        <f t="shared" si="6"/>
        <v>Sunday</v>
      </c>
      <c r="C225" s="141" t="s">
        <v>235</v>
      </c>
      <c r="D225" s="141" t="s">
        <v>235</v>
      </c>
      <c r="E225" s="141" t="s">
        <v>235</v>
      </c>
      <c r="F225" s="141" t="s">
        <v>235</v>
      </c>
      <c r="G225" s="141" t="s">
        <v>235</v>
      </c>
      <c r="H225" s="141" t="s">
        <v>235</v>
      </c>
      <c r="I225" s="141" t="s">
        <v>235</v>
      </c>
      <c r="J225" s="141" t="s">
        <v>235</v>
      </c>
      <c r="K225" s="141" t="s">
        <v>235</v>
      </c>
      <c r="L225" s="141" t="s">
        <v>235</v>
      </c>
    </row>
    <row r="226" spans="1:12" ht="18" x14ac:dyDescent="0.3">
      <c r="A226" s="125">
        <f t="shared" si="7"/>
        <v>46447</v>
      </c>
      <c r="B226" s="140" t="str">
        <f t="shared" si="6"/>
        <v>Monday</v>
      </c>
      <c r="C226" s="141" t="s">
        <v>235</v>
      </c>
      <c r="D226" s="141" t="s">
        <v>235</v>
      </c>
      <c r="E226" s="141" t="s">
        <v>235</v>
      </c>
      <c r="F226" s="141" t="s">
        <v>235</v>
      </c>
      <c r="G226" s="141" t="s">
        <v>235</v>
      </c>
      <c r="H226" s="141" t="s">
        <v>235</v>
      </c>
      <c r="I226" s="141" t="s">
        <v>235</v>
      </c>
      <c r="J226" s="141" t="s">
        <v>235</v>
      </c>
      <c r="K226" s="141" t="s">
        <v>235</v>
      </c>
      <c r="L226" s="141" t="s">
        <v>235</v>
      </c>
    </row>
    <row r="227" spans="1:12" ht="18" x14ac:dyDescent="0.3">
      <c r="A227" s="125">
        <f t="shared" si="7"/>
        <v>46448</v>
      </c>
      <c r="B227" s="140" t="str">
        <f t="shared" si="6"/>
        <v>Tuesday</v>
      </c>
      <c r="C227" s="141" t="s">
        <v>235</v>
      </c>
      <c r="D227" s="141" t="s">
        <v>235</v>
      </c>
      <c r="E227" s="141" t="s">
        <v>235</v>
      </c>
      <c r="F227" s="141" t="s">
        <v>235</v>
      </c>
      <c r="G227" s="141" t="s">
        <v>235</v>
      </c>
      <c r="H227" s="141" t="s">
        <v>235</v>
      </c>
      <c r="I227" s="141" t="s">
        <v>235</v>
      </c>
      <c r="J227" s="141" t="s">
        <v>235</v>
      </c>
      <c r="K227" s="141" t="s">
        <v>235</v>
      </c>
      <c r="L227" s="141" t="s">
        <v>235</v>
      </c>
    </row>
    <row r="228" spans="1:12" ht="18" x14ac:dyDescent="0.3">
      <c r="A228" s="125">
        <f t="shared" si="7"/>
        <v>46449</v>
      </c>
      <c r="B228" s="140" t="str">
        <f t="shared" si="6"/>
        <v>Wednesday</v>
      </c>
      <c r="C228" s="141" t="s">
        <v>235</v>
      </c>
      <c r="D228" s="141" t="s">
        <v>235</v>
      </c>
      <c r="E228" s="141" t="s">
        <v>235</v>
      </c>
      <c r="F228" s="141" t="s">
        <v>235</v>
      </c>
      <c r="G228" s="141" t="s">
        <v>235</v>
      </c>
      <c r="H228" s="141" t="s">
        <v>235</v>
      </c>
      <c r="I228" s="141" t="s">
        <v>235</v>
      </c>
      <c r="J228" s="141" t="s">
        <v>235</v>
      </c>
      <c r="K228" s="141" t="s">
        <v>235</v>
      </c>
      <c r="L228" s="141" t="s">
        <v>235</v>
      </c>
    </row>
    <row r="229" spans="1:12" ht="18" x14ac:dyDescent="0.3">
      <c r="A229" s="125">
        <f t="shared" si="7"/>
        <v>46450</v>
      </c>
      <c r="B229" s="140" t="str">
        <f t="shared" si="6"/>
        <v>Thursday</v>
      </c>
      <c r="C229" s="141" t="s">
        <v>235</v>
      </c>
      <c r="D229" s="141" t="s">
        <v>235</v>
      </c>
      <c r="E229" s="141" t="s">
        <v>235</v>
      </c>
      <c r="F229" s="141" t="s">
        <v>235</v>
      </c>
      <c r="G229" s="141" t="s">
        <v>235</v>
      </c>
      <c r="H229" s="141" t="s">
        <v>235</v>
      </c>
      <c r="I229" s="141" t="s">
        <v>235</v>
      </c>
      <c r="J229" s="141" t="s">
        <v>235</v>
      </c>
      <c r="K229" s="141" t="s">
        <v>235</v>
      </c>
      <c r="L229" s="141" t="s">
        <v>235</v>
      </c>
    </row>
    <row r="230" spans="1:12" ht="18" x14ac:dyDescent="0.3">
      <c r="A230" s="125">
        <f t="shared" si="7"/>
        <v>46451</v>
      </c>
      <c r="B230" s="140" t="str">
        <f t="shared" si="6"/>
        <v>Friday</v>
      </c>
      <c r="C230" s="141" t="s">
        <v>235</v>
      </c>
      <c r="D230" s="141" t="s">
        <v>235</v>
      </c>
      <c r="E230" s="141" t="s">
        <v>235</v>
      </c>
      <c r="F230" s="141" t="s">
        <v>235</v>
      </c>
      <c r="G230" s="141" t="s">
        <v>235</v>
      </c>
      <c r="H230" s="141" t="s">
        <v>235</v>
      </c>
      <c r="I230" s="141" t="s">
        <v>235</v>
      </c>
      <c r="J230" s="141" t="s">
        <v>235</v>
      </c>
      <c r="K230" s="141" t="s">
        <v>235</v>
      </c>
      <c r="L230" s="141" t="s">
        <v>235</v>
      </c>
    </row>
    <row r="231" spans="1:12" ht="18" x14ac:dyDescent="0.3">
      <c r="A231" s="125">
        <f t="shared" si="7"/>
        <v>46452</v>
      </c>
      <c r="B231" s="140" t="str">
        <f t="shared" si="6"/>
        <v>Saturday</v>
      </c>
      <c r="C231" s="141" t="s">
        <v>235</v>
      </c>
      <c r="D231" s="141" t="s">
        <v>235</v>
      </c>
      <c r="E231" s="141" t="s">
        <v>235</v>
      </c>
      <c r="F231" s="141" t="s">
        <v>235</v>
      </c>
      <c r="G231" s="141" t="s">
        <v>235</v>
      </c>
      <c r="H231" s="141" t="s">
        <v>235</v>
      </c>
      <c r="I231" s="141" t="s">
        <v>235</v>
      </c>
      <c r="J231" s="141" t="s">
        <v>235</v>
      </c>
      <c r="K231" s="141" t="s">
        <v>235</v>
      </c>
      <c r="L231" s="141" t="s">
        <v>235</v>
      </c>
    </row>
    <row r="232" spans="1:12" ht="18" x14ac:dyDescent="0.3">
      <c r="A232" s="125">
        <f t="shared" si="7"/>
        <v>46453</v>
      </c>
      <c r="B232" s="140" t="str">
        <f t="shared" si="6"/>
        <v>Sunday</v>
      </c>
      <c r="C232" s="141" t="s">
        <v>235</v>
      </c>
      <c r="D232" s="141" t="s">
        <v>235</v>
      </c>
      <c r="E232" s="141" t="s">
        <v>235</v>
      </c>
      <c r="F232" s="141" t="s">
        <v>235</v>
      </c>
      <c r="G232" s="141" t="s">
        <v>235</v>
      </c>
      <c r="H232" s="141" t="s">
        <v>235</v>
      </c>
      <c r="I232" s="141" t="s">
        <v>235</v>
      </c>
      <c r="J232" s="141" t="s">
        <v>235</v>
      </c>
      <c r="K232" s="141" t="s">
        <v>235</v>
      </c>
      <c r="L232" s="141" t="s">
        <v>235</v>
      </c>
    </row>
    <row r="233" spans="1:12" ht="18" x14ac:dyDescent="0.3">
      <c r="A233" s="125">
        <f t="shared" si="7"/>
        <v>46454</v>
      </c>
      <c r="B233" s="140" t="str">
        <f t="shared" si="6"/>
        <v>Monday</v>
      </c>
      <c r="C233" s="141" t="s">
        <v>235</v>
      </c>
      <c r="D233" s="141" t="s">
        <v>235</v>
      </c>
      <c r="E233" s="141" t="s">
        <v>235</v>
      </c>
      <c r="F233" s="141" t="s">
        <v>235</v>
      </c>
      <c r="G233" s="141" t="s">
        <v>235</v>
      </c>
      <c r="H233" s="141" t="s">
        <v>235</v>
      </c>
      <c r="I233" s="141" t="s">
        <v>235</v>
      </c>
      <c r="J233" s="141" t="s">
        <v>235</v>
      </c>
      <c r="K233" s="141" t="s">
        <v>235</v>
      </c>
      <c r="L233" s="141" t="s">
        <v>235</v>
      </c>
    </row>
    <row r="234" spans="1:12" ht="18" x14ac:dyDescent="0.3">
      <c r="A234" s="125">
        <f t="shared" si="7"/>
        <v>46455</v>
      </c>
      <c r="B234" s="140" t="str">
        <f t="shared" si="6"/>
        <v>Tuesday</v>
      </c>
      <c r="C234" s="141" t="s">
        <v>235</v>
      </c>
      <c r="D234" s="141" t="s">
        <v>235</v>
      </c>
      <c r="E234" s="141" t="s">
        <v>235</v>
      </c>
      <c r="F234" s="141" t="s">
        <v>235</v>
      </c>
      <c r="G234" s="141" t="s">
        <v>235</v>
      </c>
      <c r="H234" s="141" t="s">
        <v>235</v>
      </c>
      <c r="I234" s="141" t="s">
        <v>235</v>
      </c>
      <c r="J234" s="141" t="s">
        <v>235</v>
      </c>
      <c r="K234" s="141" t="s">
        <v>235</v>
      </c>
      <c r="L234" s="141" t="s">
        <v>235</v>
      </c>
    </row>
    <row r="235" spans="1:12" ht="18" x14ac:dyDescent="0.3">
      <c r="A235" s="125">
        <f t="shared" si="7"/>
        <v>46456</v>
      </c>
      <c r="B235" s="140" t="str">
        <f t="shared" si="6"/>
        <v>Wednesday</v>
      </c>
      <c r="C235" s="141" t="s">
        <v>235</v>
      </c>
      <c r="D235" s="141" t="s">
        <v>235</v>
      </c>
      <c r="E235" s="141" t="s">
        <v>235</v>
      </c>
      <c r="F235" s="141" t="s">
        <v>235</v>
      </c>
      <c r="G235" s="141" t="s">
        <v>235</v>
      </c>
      <c r="H235" s="141" t="s">
        <v>235</v>
      </c>
      <c r="I235" s="141" t="s">
        <v>235</v>
      </c>
      <c r="J235" s="141" t="s">
        <v>235</v>
      </c>
      <c r="K235" s="141" t="s">
        <v>235</v>
      </c>
      <c r="L235" s="141" t="s">
        <v>235</v>
      </c>
    </row>
    <row r="236" spans="1:12" ht="18" x14ac:dyDescent="0.3">
      <c r="A236" s="125">
        <f t="shared" si="7"/>
        <v>46457</v>
      </c>
      <c r="B236" s="140" t="str">
        <f t="shared" si="6"/>
        <v>Thursday</v>
      </c>
      <c r="C236" s="141" t="s">
        <v>235</v>
      </c>
      <c r="D236" s="141" t="s">
        <v>235</v>
      </c>
      <c r="E236" s="141" t="s">
        <v>235</v>
      </c>
      <c r="F236" s="141" t="s">
        <v>235</v>
      </c>
      <c r="G236" s="141" t="s">
        <v>235</v>
      </c>
      <c r="H236" s="141" t="s">
        <v>235</v>
      </c>
      <c r="I236" s="141" t="s">
        <v>235</v>
      </c>
      <c r="J236" s="141" t="s">
        <v>235</v>
      </c>
      <c r="K236" s="141" t="s">
        <v>235</v>
      </c>
      <c r="L236" s="141" t="s">
        <v>235</v>
      </c>
    </row>
    <row r="237" spans="1:12" ht="18" x14ac:dyDescent="0.3">
      <c r="A237" s="125">
        <f t="shared" si="7"/>
        <v>46458</v>
      </c>
      <c r="B237" s="140" t="str">
        <f t="shared" si="6"/>
        <v>Friday</v>
      </c>
      <c r="C237" s="141" t="s">
        <v>235</v>
      </c>
      <c r="D237" s="141" t="s">
        <v>235</v>
      </c>
      <c r="E237" s="141" t="s">
        <v>235</v>
      </c>
      <c r="F237" s="141" t="s">
        <v>235</v>
      </c>
      <c r="G237" s="141" t="s">
        <v>235</v>
      </c>
      <c r="H237" s="141" t="s">
        <v>235</v>
      </c>
      <c r="I237" s="141" t="s">
        <v>235</v>
      </c>
      <c r="J237" s="141" t="s">
        <v>235</v>
      </c>
      <c r="K237" s="141" t="s">
        <v>235</v>
      </c>
      <c r="L237" s="141" t="s">
        <v>235</v>
      </c>
    </row>
    <row r="238" spans="1:12" ht="18" x14ac:dyDescent="0.3">
      <c r="A238" s="125">
        <f t="shared" si="7"/>
        <v>46459</v>
      </c>
      <c r="B238" s="140" t="str">
        <f t="shared" si="6"/>
        <v>Saturday</v>
      </c>
      <c r="C238" s="141" t="s">
        <v>235</v>
      </c>
      <c r="D238" s="141" t="s">
        <v>235</v>
      </c>
      <c r="E238" s="141" t="s">
        <v>235</v>
      </c>
      <c r="F238" s="141" t="s">
        <v>235</v>
      </c>
      <c r="G238" s="141" t="s">
        <v>235</v>
      </c>
      <c r="H238" s="141" t="s">
        <v>235</v>
      </c>
      <c r="I238" s="141" t="s">
        <v>235</v>
      </c>
      <c r="J238" s="141" t="s">
        <v>235</v>
      </c>
      <c r="K238" s="141" t="s">
        <v>235</v>
      </c>
      <c r="L238" s="141" t="s">
        <v>235</v>
      </c>
    </row>
    <row r="239" spans="1:12" ht="18" x14ac:dyDescent="0.3">
      <c r="A239" s="125">
        <f t="shared" si="7"/>
        <v>46460</v>
      </c>
      <c r="B239" s="140" t="str">
        <f t="shared" si="6"/>
        <v>Sunday</v>
      </c>
      <c r="C239" s="141" t="s">
        <v>235</v>
      </c>
      <c r="D239" s="141" t="s">
        <v>235</v>
      </c>
      <c r="E239" s="141" t="s">
        <v>235</v>
      </c>
      <c r="F239" s="141" t="s">
        <v>235</v>
      </c>
      <c r="G239" s="141" t="s">
        <v>235</v>
      </c>
      <c r="H239" s="141" t="s">
        <v>235</v>
      </c>
      <c r="I239" s="141" t="s">
        <v>235</v>
      </c>
      <c r="J239" s="141" t="s">
        <v>235</v>
      </c>
      <c r="K239" s="141" t="s">
        <v>235</v>
      </c>
      <c r="L239" s="141" t="s">
        <v>235</v>
      </c>
    </row>
    <row r="240" spans="1:12" ht="18" x14ac:dyDescent="0.3">
      <c r="A240" s="125">
        <f t="shared" si="7"/>
        <v>46461</v>
      </c>
      <c r="B240" s="140" t="str">
        <f t="shared" si="6"/>
        <v>Monday</v>
      </c>
      <c r="C240" s="141" t="s">
        <v>235</v>
      </c>
      <c r="D240" s="141" t="s">
        <v>235</v>
      </c>
      <c r="E240" s="141" t="s">
        <v>235</v>
      </c>
      <c r="F240" s="141" t="s">
        <v>235</v>
      </c>
      <c r="G240" s="141" t="s">
        <v>235</v>
      </c>
      <c r="H240" s="141" t="s">
        <v>235</v>
      </c>
      <c r="I240" s="141" t="s">
        <v>235</v>
      </c>
      <c r="J240" s="141" t="s">
        <v>235</v>
      </c>
      <c r="K240" s="141" t="s">
        <v>235</v>
      </c>
      <c r="L240" s="141" t="s">
        <v>235</v>
      </c>
    </row>
    <row r="241" spans="1:12" ht="18" x14ac:dyDescent="0.3">
      <c r="A241" s="125">
        <f t="shared" si="7"/>
        <v>46462</v>
      </c>
      <c r="B241" s="140" t="str">
        <f t="shared" si="6"/>
        <v>Tuesday</v>
      </c>
      <c r="C241" s="141" t="s">
        <v>235</v>
      </c>
      <c r="D241" s="141" t="s">
        <v>235</v>
      </c>
      <c r="E241" s="141" t="s">
        <v>235</v>
      </c>
      <c r="F241" s="141" t="s">
        <v>235</v>
      </c>
      <c r="G241" s="141" t="s">
        <v>235</v>
      </c>
      <c r="H241" s="141" t="s">
        <v>235</v>
      </c>
      <c r="I241" s="141" t="s">
        <v>235</v>
      </c>
      <c r="J241" s="141" t="s">
        <v>235</v>
      </c>
      <c r="K241" s="141" t="s">
        <v>235</v>
      </c>
      <c r="L241" s="141" t="s">
        <v>235</v>
      </c>
    </row>
    <row r="242" spans="1:12" ht="18" x14ac:dyDescent="0.3">
      <c r="A242" s="125">
        <f t="shared" si="7"/>
        <v>46463</v>
      </c>
      <c r="B242" s="140" t="str">
        <f t="shared" si="6"/>
        <v>Wednesday</v>
      </c>
      <c r="C242" s="141" t="s">
        <v>235</v>
      </c>
      <c r="D242" s="141" t="s">
        <v>235</v>
      </c>
      <c r="E242" s="141" t="s">
        <v>235</v>
      </c>
      <c r="F242" s="141" t="s">
        <v>235</v>
      </c>
      <c r="G242" s="141" t="s">
        <v>235</v>
      </c>
      <c r="H242" s="141" t="s">
        <v>235</v>
      </c>
      <c r="I242" s="141" t="s">
        <v>235</v>
      </c>
      <c r="J242" s="141" t="s">
        <v>235</v>
      </c>
      <c r="K242" s="141" t="s">
        <v>235</v>
      </c>
      <c r="L242" s="141" t="s">
        <v>235</v>
      </c>
    </row>
    <row r="243" spans="1:12" ht="18" x14ac:dyDescent="0.3">
      <c r="A243" s="125">
        <f t="shared" si="7"/>
        <v>46464</v>
      </c>
      <c r="B243" s="140" t="str">
        <f t="shared" si="6"/>
        <v>Thursday</v>
      </c>
      <c r="C243" s="141" t="s">
        <v>235</v>
      </c>
      <c r="D243" s="141" t="s">
        <v>235</v>
      </c>
      <c r="E243" s="141" t="s">
        <v>235</v>
      </c>
      <c r="F243" s="141" t="s">
        <v>235</v>
      </c>
      <c r="G243" s="141" t="s">
        <v>235</v>
      </c>
      <c r="H243" s="141" t="s">
        <v>235</v>
      </c>
      <c r="I243" s="141" t="s">
        <v>235</v>
      </c>
      <c r="J243" s="141" t="s">
        <v>235</v>
      </c>
      <c r="K243" s="141" t="s">
        <v>235</v>
      </c>
      <c r="L243" s="141" t="s">
        <v>235</v>
      </c>
    </row>
    <row r="244" spans="1:12" ht="18" x14ac:dyDescent="0.3">
      <c r="A244" s="125">
        <f t="shared" si="7"/>
        <v>46465</v>
      </c>
      <c r="B244" s="140" t="str">
        <f t="shared" si="6"/>
        <v>Friday</v>
      </c>
      <c r="C244" s="141" t="s">
        <v>235</v>
      </c>
      <c r="D244" s="141" t="s">
        <v>235</v>
      </c>
      <c r="E244" s="141" t="s">
        <v>235</v>
      </c>
      <c r="F244" s="141" t="s">
        <v>235</v>
      </c>
      <c r="G244" s="141" t="s">
        <v>235</v>
      </c>
      <c r="H244" s="141" t="s">
        <v>235</v>
      </c>
      <c r="I244" s="141" t="s">
        <v>235</v>
      </c>
      <c r="J244" s="141" t="s">
        <v>235</v>
      </c>
      <c r="K244" s="141" t="s">
        <v>235</v>
      </c>
      <c r="L244" s="141" t="s">
        <v>235</v>
      </c>
    </row>
    <row r="245" spans="1:12" ht="18" x14ac:dyDescent="0.3">
      <c r="A245" s="125">
        <f t="shared" si="7"/>
        <v>46466</v>
      </c>
      <c r="B245" s="140" t="str">
        <f t="shared" si="6"/>
        <v>Saturday</v>
      </c>
      <c r="C245" s="141" t="s">
        <v>235</v>
      </c>
      <c r="D245" s="141" t="s">
        <v>235</v>
      </c>
      <c r="E245" s="141" t="s">
        <v>235</v>
      </c>
      <c r="F245" s="141" t="s">
        <v>235</v>
      </c>
      <c r="G245" s="141" t="s">
        <v>235</v>
      </c>
      <c r="H245" s="141" t="s">
        <v>235</v>
      </c>
      <c r="I245" s="141" t="s">
        <v>235</v>
      </c>
      <c r="J245" s="141" t="s">
        <v>235</v>
      </c>
      <c r="K245" s="141" t="s">
        <v>235</v>
      </c>
      <c r="L245" s="141" t="s">
        <v>235</v>
      </c>
    </row>
    <row r="246" spans="1:12" ht="18" x14ac:dyDescent="0.3">
      <c r="A246" s="125">
        <f t="shared" si="7"/>
        <v>46467</v>
      </c>
      <c r="B246" s="140" t="str">
        <f t="shared" si="6"/>
        <v>Sunday</v>
      </c>
      <c r="C246" s="141" t="s">
        <v>235</v>
      </c>
      <c r="D246" s="141" t="s">
        <v>235</v>
      </c>
      <c r="E246" s="141" t="s">
        <v>235</v>
      </c>
      <c r="F246" s="141" t="s">
        <v>235</v>
      </c>
      <c r="G246" s="141" t="s">
        <v>235</v>
      </c>
      <c r="H246" s="141" t="s">
        <v>235</v>
      </c>
      <c r="I246" s="141" t="s">
        <v>235</v>
      </c>
      <c r="J246" s="141" t="s">
        <v>235</v>
      </c>
      <c r="K246" s="141" t="s">
        <v>235</v>
      </c>
      <c r="L246" s="141" t="s">
        <v>235</v>
      </c>
    </row>
    <row r="247" spans="1:12" ht="18" x14ac:dyDescent="0.3">
      <c r="A247" s="125">
        <f t="shared" si="7"/>
        <v>46468</v>
      </c>
      <c r="B247" s="140" t="str">
        <f t="shared" si="6"/>
        <v>Monday</v>
      </c>
      <c r="C247" s="141" t="s">
        <v>235</v>
      </c>
      <c r="D247" s="141" t="s">
        <v>235</v>
      </c>
      <c r="E247" s="141" t="s">
        <v>235</v>
      </c>
      <c r="F247" s="141" t="s">
        <v>235</v>
      </c>
      <c r="G247" s="141" t="s">
        <v>235</v>
      </c>
      <c r="H247" s="141" t="s">
        <v>235</v>
      </c>
      <c r="I247" s="141" t="s">
        <v>235</v>
      </c>
      <c r="J247" s="141" t="s">
        <v>235</v>
      </c>
      <c r="K247" s="141" t="s">
        <v>235</v>
      </c>
      <c r="L247" s="141" t="s">
        <v>235</v>
      </c>
    </row>
    <row r="248" spans="1:12" ht="18" x14ac:dyDescent="0.3">
      <c r="A248" s="125">
        <f t="shared" si="7"/>
        <v>46469</v>
      </c>
      <c r="B248" s="140" t="str">
        <f t="shared" si="6"/>
        <v>Tuesday</v>
      </c>
      <c r="C248" s="141" t="s">
        <v>235</v>
      </c>
      <c r="D248" s="141" t="s">
        <v>235</v>
      </c>
      <c r="E248" s="141" t="s">
        <v>235</v>
      </c>
      <c r="F248" s="141" t="s">
        <v>235</v>
      </c>
      <c r="G248" s="141" t="s">
        <v>235</v>
      </c>
      <c r="H248" s="141" t="s">
        <v>235</v>
      </c>
      <c r="I248" s="141" t="s">
        <v>235</v>
      </c>
      <c r="J248" s="141" t="s">
        <v>235</v>
      </c>
      <c r="K248" s="141" t="s">
        <v>235</v>
      </c>
      <c r="L248" s="141" t="s">
        <v>235</v>
      </c>
    </row>
    <row r="249" spans="1:12" ht="18" x14ac:dyDescent="0.3">
      <c r="A249" s="125">
        <f t="shared" si="7"/>
        <v>46470</v>
      </c>
      <c r="B249" s="140" t="str">
        <f t="shared" si="6"/>
        <v>Wednesday</v>
      </c>
      <c r="C249" s="141" t="s">
        <v>235</v>
      </c>
      <c r="D249" s="141" t="s">
        <v>235</v>
      </c>
      <c r="E249" s="141" t="s">
        <v>235</v>
      </c>
      <c r="F249" s="141" t="s">
        <v>235</v>
      </c>
      <c r="G249" s="141" t="s">
        <v>235</v>
      </c>
      <c r="H249" s="141" t="s">
        <v>235</v>
      </c>
      <c r="I249" s="141" t="s">
        <v>235</v>
      </c>
      <c r="J249" s="141" t="s">
        <v>235</v>
      </c>
      <c r="K249" s="141" t="s">
        <v>235</v>
      </c>
      <c r="L249" s="141" t="s">
        <v>235</v>
      </c>
    </row>
    <row r="250" spans="1:12" ht="18" x14ac:dyDescent="0.3">
      <c r="A250" s="125">
        <f t="shared" si="7"/>
        <v>46471</v>
      </c>
      <c r="B250" s="140" t="str">
        <f t="shared" si="6"/>
        <v>Thursday</v>
      </c>
      <c r="C250" s="141" t="s">
        <v>235</v>
      </c>
      <c r="D250" s="141" t="s">
        <v>235</v>
      </c>
      <c r="E250" s="141" t="s">
        <v>235</v>
      </c>
      <c r="F250" s="141" t="s">
        <v>235</v>
      </c>
      <c r="G250" s="141" t="s">
        <v>235</v>
      </c>
      <c r="H250" s="141" t="s">
        <v>235</v>
      </c>
      <c r="I250" s="141" t="s">
        <v>235</v>
      </c>
      <c r="J250" s="141" t="s">
        <v>235</v>
      </c>
      <c r="K250" s="141" t="s">
        <v>235</v>
      </c>
      <c r="L250" s="141" t="s">
        <v>235</v>
      </c>
    </row>
    <row r="251" spans="1:12" ht="18" x14ac:dyDescent="0.3">
      <c r="A251" s="125">
        <f t="shared" si="7"/>
        <v>46472</v>
      </c>
      <c r="B251" s="140" t="str">
        <f t="shared" si="6"/>
        <v>Friday</v>
      </c>
      <c r="C251" s="141" t="s">
        <v>235</v>
      </c>
      <c r="D251" s="141" t="s">
        <v>235</v>
      </c>
      <c r="E251" s="141" t="s">
        <v>235</v>
      </c>
      <c r="F251" s="141" t="s">
        <v>235</v>
      </c>
      <c r="G251" s="141" t="s">
        <v>235</v>
      </c>
      <c r="H251" s="141" t="s">
        <v>235</v>
      </c>
      <c r="I251" s="141" t="s">
        <v>235</v>
      </c>
      <c r="J251" s="141" t="s">
        <v>235</v>
      </c>
      <c r="K251" s="141" t="s">
        <v>235</v>
      </c>
      <c r="L251" s="141" t="s">
        <v>235</v>
      </c>
    </row>
    <row r="252" spans="1:12" ht="18" x14ac:dyDescent="0.3">
      <c r="A252" s="125">
        <f t="shared" si="7"/>
        <v>46473</v>
      </c>
      <c r="B252" s="140" t="str">
        <f t="shared" si="6"/>
        <v>Saturday</v>
      </c>
      <c r="C252" s="141" t="s">
        <v>235</v>
      </c>
      <c r="D252" s="141" t="s">
        <v>235</v>
      </c>
      <c r="E252" s="141" t="s">
        <v>235</v>
      </c>
      <c r="F252" s="141" t="s">
        <v>235</v>
      </c>
      <c r="G252" s="141" t="s">
        <v>235</v>
      </c>
      <c r="H252" s="141" t="s">
        <v>235</v>
      </c>
      <c r="I252" s="141" t="s">
        <v>235</v>
      </c>
      <c r="J252" s="141" t="s">
        <v>235</v>
      </c>
      <c r="K252" s="141" t="s">
        <v>235</v>
      </c>
      <c r="L252" s="141" t="s">
        <v>235</v>
      </c>
    </row>
    <row r="253" spans="1:12" ht="18" x14ac:dyDescent="0.3">
      <c r="A253" s="125">
        <f t="shared" si="7"/>
        <v>46474</v>
      </c>
      <c r="B253" s="140" t="str">
        <f t="shared" si="6"/>
        <v>Sunday</v>
      </c>
      <c r="C253" s="141" t="s">
        <v>235</v>
      </c>
      <c r="D253" s="141" t="s">
        <v>235</v>
      </c>
      <c r="E253" s="141" t="s">
        <v>235</v>
      </c>
      <c r="F253" s="141" t="s">
        <v>235</v>
      </c>
      <c r="G253" s="141" t="s">
        <v>235</v>
      </c>
      <c r="H253" s="141" t="s">
        <v>235</v>
      </c>
      <c r="I253" s="141" t="s">
        <v>235</v>
      </c>
      <c r="J253" s="141" t="s">
        <v>235</v>
      </c>
      <c r="K253" s="141" t="s">
        <v>235</v>
      </c>
      <c r="L253" s="141" t="s">
        <v>235</v>
      </c>
    </row>
    <row r="254" spans="1:12" ht="18" x14ac:dyDescent="0.3">
      <c r="A254" s="125">
        <f t="shared" si="7"/>
        <v>46475</v>
      </c>
      <c r="B254" s="140" t="str">
        <f t="shared" si="6"/>
        <v>Monday</v>
      </c>
      <c r="C254" s="141" t="s">
        <v>235</v>
      </c>
      <c r="D254" s="141" t="s">
        <v>235</v>
      </c>
      <c r="E254" s="141" t="s">
        <v>235</v>
      </c>
      <c r="F254" s="141" t="s">
        <v>235</v>
      </c>
      <c r="G254" s="141" t="s">
        <v>235</v>
      </c>
      <c r="H254" s="141" t="s">
        <v>235</v>
      </c>
      <c r="I254" s="141" t="s">
        <v>235</v>
      </c>
      <c r="J254" s="141" t="s">
        <v>235</v>
      </c>
      <c r="K254" s="141" t="s">
        <v>235</v>
      </c>
      <c r="L254" s="141" t="s">
        <v>235</v>
      </c>
    </row>
    <row r="255" spans="1:12" ht="18" x14ac:dyDescent="0.3">
      <c r="A255" s="125">
        <f t="shared" si="7"/>
        <v>46476</v>
      </c>
      <c r="B255" s="140" t="str">
        <f t="shared" si="6"/>
        <v>Tuesday</v>
      </c>
      <c r="C255" s="141" t="s">
        <v>235</v>
      </c>
      <c r="D255" s="141" t="s">
        <v>235</v>
      </c>
      <c r="E255" s="141" t="s">
        <v>235</v>
      </c>
      <c r="F255" s="141" t="s">
        <v>235</v>
      </c>
      <c r="G255" s="141" t="s">
        <v>235</v>
      </c>
      <c r="H255" s="141" t="s">
        <v>235</v>
      </c>
      <c r="I255" s="141" t="s">
        <v>235</v>
      </c>
      <c r="J255" s="141" t="s">
        <v>235</v>
      </c>
      <c r="K255" s="141" t="s">
        <v>235</v>
      </c>
      <c r="L255" s="141" t="s">
        <v>235</v>
      </c>
    </row>
    <row r="256" spans="1:12" ht="18" x14ac:dyDescent="0.3">
      <c r="A256" s="125">
        <f t="shared" si="7"/>
        <v>46477</v>
      </c>
      <c r="B256" s="140" t="str">
        <f t="shared" si="6"/>
        <v>Wednesday</v>
      </c>
      <c r="C256" s="141" t="s">
        <v>235</v>
      </c>
      <c r="D256" s="141" t="s">
        <v>235</v>
      </c>
      <c r="E256" s="141" t="s">
        <v>235</v>
      </c>
      <c r="F256" s="141" t="s">
        <v>235</v>
      </c>
      <c r="G256" s="141" t="s">
        <v>235</v>
      </c>
      <c r="H256" s="141" t="s">
        <v>235</v>
      </c>
      <c r="I256" s="141" t="s">
        <v>235</v>
      </c>
      <c r="J256" s="141" t="s">
        <v>235</v>
      </c>
      <c r="K256" s="141" t="s">
        <v>235</v>
      </c>
      <c r="L256" s="141" t="s">
        <v>235</v>
      </c>
    </row>
    <row r="257" spans="1:12" ht="18" x14ac:dyDescent="0.3">
      <c r="A257" s="125">
        <f t="shared" si="7"/>
        <v>46478</v>
      </c>
      <c r="B257" s="140" t="str">
        <f t="shared" si="6"/>
        <v>Thursday</v>
      </c>
      <c r="C257" s="141" t="s">
        <v>235</v>
      </c>
      <c r="D257" s="141" t="s">
        <v>235</v>
      </c>
      <c r="E257" s="141" t="s">
        <v>235</v>
      </c>
      <c r="F257" s="141" t="s">
        <v>235</v>
      </c>
      <c r="G257" s="141" t="s">
        <v>235</v>
      </c>
      <c r="H257" s="141" t="s">
        <v>235</v>
      </c>
      <c r="I257" s="141" t="s">
        <v>235</v>
      </c>
      <c r="J257" s="141" t="s">
        <v>235</v>
      </c>
      <c r="K257" s="141" t="s">
        <v>235</v>
      </c>
      <c r="L257" s="141" t="s">
        <v>235</v>
      </c>
    </row>
    <row r="258" spans="1:12" ht="18" x14ac:dyDescent="0.3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235</v>
      </c>
      <c r="D258" s="141" t="s">
        <v>235</v>
      </c>
      <c r="E258" s="141" t="s">
        <v>235</v>
      </c>
      <c r="F258" s="141" t="s">
        <v>235</v>
      </c>
      <c r="G258" s="141" t="s">
        <v>235</v>
      </c>
      <c r="H258" s="141" t="s">
        <v>235</v>
      </c>
      <c r="I258" s="141" t="s">
        <v>235</v>
      </c>
      <c r="J258" s="141" t="s">
        <v>235</v>
      </c>
      <c r="K258" s="141" t="s">
        <v>235</v>
      </c>
      <c r="L258" s="141" t="s">
        <v>235</v>
      </c>
    </row>
    <row r="259" spans="1:12" ht="18" x14ac:dyDescent="0.3">
      <c r="A259" s="125">
        <f t="shared" si="7"/>
        <v>46480</v>
      </c>
      <c r="B259" s="140" t="str">
        <f t="shared" si="8"/>
        <v>Saturday</v>
      </c>
      <c r="C259" s="141" t="s">
        <v>235</v>
      </c>
      <c r="D259" s="141" t="s">
        <v>235</v>
      </c>
      <c r="E259" s="141" t="s">
        <v>235</v>
      </c>
      <c r="F259" s="141" t="s">
        <v>235</v>
      </c>
      <c r="G259" s="141" t="s">
        <v>235</v>
      </c>
      <c r="H259" s="141" t="s">
        <v>235</v>
      </c>
      <c r="I259" s="141" t="s">
        <v>235</v>
      </c>
      <c r="J259" s="141" t="s">
        <v>235</v>
      </c>
      <c r="K259" s="141" t="s">
        <v>235</v>
      </c>
      <c r="L259" s="141" t="s">
        <v>235</v>
      </c>
    </row>
    <row r="260" spans="1:12" ht="18" x14ac:dyDescent="0.3">
      <c r="A260" s="125">
        <f t="shared" ref="A260:A323" si="9">A259+1</f>
        <v>46481</v>
      </c>
      <c r="B260" s="140" t="str">
        <f t="shared" si="8"/>
        <v>Sunday</v>
      </c>
      <c r="C260" s="141" t="s">
        <v>235</v>
      </c>
      <c r="D260" s="141" t="s">
        <v>235</v>
      </c>
      <c r="E260" s="141" t="s">
        <v>235</v>
      </c>
      <c r="F260" s="141" t="s">
        <v>235</v>
      </c>
      <c r="G260" s="141" t="s">
        <v>235</v>
      </c>
      <c r="H260" s="141" t="s">
        <v>235</v>
      </c>
      <c r="I260" s="141" t="s">
        <v>235</v>
      </c>
      <c r="J260" s="141" t="s">
        <v>235</v>
      </c>
      <c r="K260" s="141" t="s">
        <v>235</v>
      </c>
      <c r="L260" s="141" t="s">
        <v>235</v>
      </c>
    </row>
    <row r="261" spans="1:12" ht="18" x14ac:dyDescent="0.3">
      <c r="A261" s="125">
        <f t="shared" si="9"/>
        <v>46482</v>
      </c>
      <c r="B261" s="140" t="str">
        <f t="shared" si="8"/>
        <v>Monday</v>
      </c>
      <c r="C261" s="141" t="s">
        <v>235</v>
      </c>
      <c r="D261" s="141" t="s">
        <v>235</v>
      </c>
      <c r="E261" s="141" t="s">
        <v>235</v>
      </c>
      <c r="F261" s="141" t="s">
        <v>235</v>
      </c>
      <c r="G261" s="141" t="s">
        <v>235</v>
      </c>
      <c r="H261" s="141" t="s">
        <v>235</v>
      </c>
      <c r="I261" s="141" t="s">
        <v>235</v>
      </c>
      <c r="J261" s="141" t="s">
        <v>235</v>
      </c>
      <c r="K261" s="141" t="s">
        <v>235</v>
      </c>
      <c r="L261" s="141" t="s">
        <v>235</v>
      </c>
    </row>
    <row r="262" spans="1:12" ht="18" x14ac:dyDescent="0.3">
      <c r="A262" s="125">
        <f t="shared" si="9"/>
        <v>46483</v>
      </c>
      <c r="B262" s="140" t="str">
        <f t="shared" si="8"/>
        <v>Tuesday</v>
      </c>
      <c r="C262" s="141" t="s">
        <v>235</v>
      </c>
      <c r="D262" s="141" t="s">
        <v>235</v>
      </c>
      <c r="E262" s="141" t="s">
        <v>235</v>
      </c>
      <c r="F262" s="141" t="s">
        <v>235</v>
      </c>
      <c r="G262" s="141" t="s">
        <v>235</v>
      </c>
      <c r="H262" s="141" t="s">
        <v>235</v>
      </c>
      <c r="I262" s="141" t="s">
        <v>235</v>
      </c>
      <c r="J262" s="141" t="s">
        <v>235</v>
      </c>
      <c r="K262" s="141" t="s">
        <v>235</v>
      </c>
      <c r="L262" s="141" t="s">
        <v>235</v>
      </c>
    </row>
    <row r="263" spans="1:12" ht="18" x14ac:dyDescent="0.3">
      <c r="A263" s="125">
        <f t="shared" si="9"/>
        <v>46484</v>
      </c>
      <c r="B263" s="140" t="str">
        <f t="shared" si="8"/>
        <v>Wednesday</v>
      </c>
      <c r="C263" s="141" t="s">
        <v>235</v>
      </c>
      <c r="D263" s="141" t="s">
        <v>235</v>
      </c>
      <c r="E263" s="141" t="s">
        <v>235</v>
      </c>
      <c r="F263" s="141" t="s">
        <v>235</v>
      </c>
      <c r="G263" s="141" t="s">
        <v>235</v>
      </c>
      <c r="H263" s="141" t="s">
        <v>235</v>
      </c>
      <c r="I263" s="141" t="s">
        <v>235</v>
      </c>
      <c r="J263" s="141" t="s">
        <v>235</v>
      </c>
      <c r="K263" s="141" t="s">
        <v>235</v>
      </c>
      <c r="L263" s="141" t="s">
        <v>235</v>
      </c>
    </row>
    <row r="264" spans="1:12" ht="18" x14ac:dyDescent="0.3">
      <c r="A264" s="125">
        <f t="shared" si="9"/>
        <v>46485</v>
      </c>
      <c r="B264" s="140" t="str">
        <f t="shared" si="8"/>
        <v>Thursday</v>
      </c>
      <c r="C264" s="141" t="s">
        <v>235</v>
      </c>
      <c r="D264" s="141" t="s">
        <v>235</v>
      </c>
      <c r="E264" s="141" t="s">
        <v>235</v>
      </c>
      <c r="F264" s="141" t="s">
        <v>235</v>
      </c>
      <c r="G264" s="141" t="s">
        <v>235</v>
      </c>
      <c r="H264" s="141" t="s">
        <v>235</v>
      </c>
      <c r="I264" s="141" t="s">
        <v>235</v>
      </c>
      <c r="J264" s="141" t="s">
        <v>235</v>
      </c>
      <c r="K264" s="141" t="s">
        <v>235</v>
      </c>
      <c r="L264" s="141" t="s">
        <v>235</v>
      </c>
    </row>
    <row r="265" spans="1:12" ht="18" x14ac:dyDescent="0.3">
      <c r="A265" s="125">
        <f t="shared" si="9"/>
        <v>46486</v>
      </c>
      <c r="B265" s="140" t="str">
        <f t="shared" si="8"/>
        <v>Friday</v>
      </c>
      <c r="C265" s="141" t="s">
        <v>235</v>
      </c>
      <c r="D265" s="141" t="s">
        <v>235</v>
      </c>
      <c r="E265" s="141" t="s">
        <v>235</v>
      </c>
      <c r="F265" s="141" t="s">
        <v>235</v>
      </c>
      <c r="G265" s="141" t="s">
        <v>235</v>
      </c>
      <c r="H265" s="141" t="s">
        <v>235</v>
      </c>
      <c r="I265" s="141" t="s">
        <v>235</v>
      </c>
      <c r="J265" s="141" t="s">
        <v>235</v>
      </c>
      <c r="K265" s="141" t="s">
        <v>235</v>
      </c>
      <c r="L265" s="141" t="s">
        <v>235</v>
      </c>
    </row>
    <row r="266" spans="1:12" ht="18" x14ac:dyDescent="0.3">
      <c r="A266" s="125">
        <f t="shared" si="9"/>
        <v>46487</v>
      </c>
      <c r="B266" s="140" t="str">
        <f t="shared" si="8"/>
        <v>Saturday</v>
      </c>
      <c r="C266" s="141" t="s">
        <v>235</v>
      </c>
      <c r="D266" s="141" t="s">
        <v>235</v>
      </c>
      <c r="E266" s="141" t="s">
        <v>235</v>
      </c>
      <c r="F266" s="141" t="s">
        <v>235</v>
      </c>
      <c r="G266" s="141" t="s">
        <v>235</v>
      </c>
      <c r="H266" s="141" t="s">
        <v>235</v>
      </c>
      <c r="I266" s="141" t="s">
        <v>235</v>
      </c>
      <c r="J266" s="141" t="s">
        <v>235</v>
      </c>
      <c r="K266" s="141" t="s">
        <v>235</v>
      </c>
      <c r="L266" s="141" t="s">
        <v>235</v>
      </c>
    </row>
    <row r="267" spans="1:12" ht="18" x14ac:dyDescent="0.3">
      <c r="A267" s="125">
        <f t="shared" si="9"/>
        <v>46488</v>
      </c>
      <c r="B267" s="140" t="str">
        <f t="shared" si="8"/>
        <v>Sunday</v>
      </c>
      <c r="C267" s="141" t="s">
        <v>235</v>
      </c>
      <c r="D267" s="141" t="s">
        <v>235</v>
      </c>
      <c r="E267" s="141" t="s">
        <v>235</v>
      </c>
      <c r="F267" s="141" t="s">
        <v>235</v>
      </c>
      <c r="G267" s="141" t="s">
        <v>235</v>
      </c>
      <c r="H267" s="141" t="s">
        <v>235</v>
      </c>
      <c r="I267" s="141" t="s">
        <v>235</v>
      </c>
      <c r="J267" s="141" t="s">
        <v>235</v>
      </c>
      <c r="K267" s="141" t="s">
        <v>235</v>
      </c>
      <c r="L267" s="141" t="s">
        <v>235</v>
      </c>
    </row>
    <row r="268" spans="1:12" ht="18" x14ac:dyDescent="0.3">
      <c r="A268" s="125">
        <f t="shared" si="9"/>
        <v>46489</v>
      </c>
      <c r="B268" s="140" t="str">
        <f t="shared" si="8"/>
        <v>Monday</v>
      </c>
      <c r="C268" s="141" t="s">
        <v>235</v>
      </c>
      <c r="D268" s="141" t="s">
        <v>235</v>
      </c>
      <c r="E268" s="141" t="s">
        <v>235</v>
      </c>
      <c r="F268" s="141" t="s">
        <v>235</v>
      </c>
      <c r="G268" s="141" t="s">
        <v>235</v>
      </c>
      <c r="H268" s="141" t="s">
        <v>235</v>
      </c>
      <c r="I268" s="141" t="s">
        <v>235</v>
      </c>
      <c r="J268" s="141" t="s">
        <v>235</v>
      </c>
      <c r="K268" s="141" t="s">
        <v>235</v>
      </c>
      <c r="L268" s="141" t="s">
        <v>235</v>
      </c>
    </row>
    <row r="269" spans="1:12" ht="18" x14ac:dyDescent="0.3">
      <c r="A269" s="125">
        <f t="shared" si="9"/>
        <v>46490</v>
      </c>
      <c r="B269" s="140" t="str">
        <f t="shared" si="8"/>
        <v>Tuesday</v>
      </c>
      <c r="C269" s="141" t="s">
        <v>235</v>
      </c>
      <c r="D269" s="141" t="s">
        <v>235</v>
      </c>
      <c r="E269" s="141" t="s">
        <v>235</v>
      </c>
      <c r="F269" s="141" t="s">
        <v>235</v>
      </c>
      <c r="G269" s="141" t="s">
        <v>235</v>
      </c>
      <c r="H269" s="141" t="s">
        <v>235</v>
      </c>
      <c r="I269" s="141" t="s">
        <v>235</v>
      </c>
      <c r="J269" s="141" t="s">
        <v>235</v>
      </c>
      <c r="K269" s="141" t="s">
        <v>235</v>
      </c>
      <c r="L269" s="141" t="s">
        <v>235</v>
      </c>
    </row>
    <row r="270" spans="1:12" ht="18" x14ac:dyDescent="0.3">
      <c r="A270" s="125">
        <f t="shared" si="9"/>
        <v>46491</v>
      </c>
      <c r="B270" s="140" t="str">
        <f t="shared" si="8"/>
        <v>Wednesday</v>
      </c>
      <c r="C270" s="141" t="s">
        <v>235</v>
      </c>
      <c r="D270" s="141" t="s">
        <v>235</v>
      </c>
      <c r="E270" s="141" t="s">
        <v>235</v>
      </c>
      <c r="F270" s="141" t="s">
        <v>235</v>
      </c>
      <c r="G270" s="141" t="s">
        <v>235</v>
      </c>
      <c r="H270" s="141" t="s">
        <v>235</v>
      </c>
      <c r="I270" s="141" t="s">
        <v>235</v>
      </c>
      <c r="J270" s="141" t="s">
        <v>235</v>
      </c>
      <c r="K270" s="141" t="s">
        <v>235</v>
      </c>
      <c r="L270" s="141" t="s">
        <v>235</v>
      </c>
    </row>
    <row r="271" spans="1:12" ht="18" x14ac:dyDescent="0.3">
      <c r="A271" s="125">
        <f t="shared" si="9"/>
        <v>46492</v>
      </c>
      <c r="B271" s="140" t="str">
        <f t="shared" si="8"/>
        <v>Thursday</v>
      </c>
      <c r="C271" s="141" t="s">
        <v>235</v>
      </c>
      <c r="D271" s="141" t="s">
        <v>235</v>
      </c>
      <c r="E271" s="141" t="s">
        <v>235</v>
      </c>
      <c r="F271" s="141" t="s">
        <v>235</v>
      </c>
      <c r="G271" s="141" t="s">
        <v>235</v>
      </c>
      <c r="H271" s="141" t="s">
        <v>235</v>
      </c>
      <c r="I271" s="141" t="s">
        <v>235</v>
      </c>
      <c r="J271" s="141" t="s">
        <v>235</v>
      </c>
      <c r="K271" s="141" t="s">
        <v>235</v>
      </c>
      <c r="L271" s="141" t="s">
        <v>235</v>
      </c>
    </row>
    <row r="272" spans="1:12" ht="18" x14ac:dyDescent="0.3">
      <c r="A272" s="125">
        <f t="shared" si="9"/>
        <v>46493</v>
      </c>
      <c r="B272" s="140" t="str">
        <f t="shared" si="8"/>
        <v>Friday</v>
      </c>
      <c r="C272" s="141" t="s">
        <v>235</v>
      </c>
      <c r="D272" s="141" t="s">
        <v>235</v>
      </c>
      <c r="E272" s="141" t="s">
        <v>235</v>
      </c>
      <c r="F272" s="141" t="s">
        <v>235</v>
      </c>
      <c r="G272" s="141" t="s">
        <v>235</v>
      </c>
      <c r="H272" s="141" t="s">
        <v>235</v>
      </c>
      <c r="I272" s="141" t="s">
        <v>235</v>
      </c>
      <c r="J272" s="141" t="s">
        <v>235</v>
      </c>
      <c r="K272" s="141" t="s">
        <v>235</v>
      </c>
      <c r="L272" s="141" t="s">
        <v>235</v>
      </c>
    </row>
    <row r="273" spans="1:12" ht="18" x14ac:dyDescent="0.3">
      <c r="A273" s="125">
        <f t="shared" si="9"/>
        <v>46494</v>
      </c>
      <c r="B273" s="140" t="str">
        <f t="shared" si="8"/>
        <v>Saturday</v>
      </c>
      <c r="C273" s="141" t="s">
        <v>235</v>
      </c>
      <c r="D273" s="141" t="s">
        <v>235</v>
      </c>
      <c r="E273" s="141" t="s">
        <v>235</v>
      </c>
      <c r="F273" s="141" t="s">
        <v>235</v>
      </c>
      <c r="G273" s="141" t="s">
        <v>235</v>
      </c>
      <c r="H273" s="141" t="s">
        <v>235</v>
      </c>
      <c r="I273" s="141" t="s">
        <v>235</v>
      </c>
      <c r="J273" s="141" t="s">
        <v>235</v>
      </c>
      <c r="K273" s="141" t="s">
        <v>235</v>
      </c>
      <c r="L273" s="141" t="s">
        <v>235</v>
      </c>
    </row>
    <row r="274" spans="1:12" ht="18" x14ac:dyDescent="0.3">
      <c r="A274" s="125">
        <f t="shared" si="9"/>
        <v>46495</v>
      </c>
      <c r="B274" s="140" t="str">
        <f t="shared" si="8"/>
        <v>Sunday</v>
      </c>
      <c r="C274" s="141" t="s">
        <v>235</v>
      </c>
      <c r="D274" s="141" t="s">
        <v>235</v>
      </c>
      <c r="E274" s="141" t="s">
        <v>235</v>
      </c>
      <c r="F274" s="141" t="s">
        <v>235</v>
      </c>
      <c r="G274" s="141" t="s">
        <v>235</v>
      </c>
      <c r="H274" s="141" t="s">
        <v>235</v>
      </c>
      <c r="I274" s="141" t="s">
        <v>235</v>
      </c>
      <c r="J274" s="141" t="s">
        <v>235</v>
      </c>
      <c r="K274" s="141" t="s">
        <v>235</v>
      </c>
      <c r="L274" s="141" t="s">
        <v>235</v>
      </c>
    </row>
    <row r="275" spans="1:12" ht="18" x14ac:dyDescent="0.3">
      <c r="A275" s="125">
        <f t="shared" si="9"/>
        <v>46496</v>
      </c>
      <c r="B275" s="140" t="str">
        <f t="shared" si="8"/>
        <v>Monday</v>
      </c>
      <c r="C275" s="141" t="s">
        <v>235</v>
      </c>
      <c r="D275" s="141" t="s">
        <v>235</v>
      </c>
      <c r="E275" s="141" t="s">
        <v>235</v>
      </c>
      <c r="F275" s="141" t="s">
        <v>235</v>
      </c>
      <c r="G275" s="141" t="s">
        <v>235</v>
      </c>
      <c r="H275" s="141" t="s">
        <v>235</v>
      </c>
      <c r="I275" s="141" t="s">
        <v>235</v>
      </c>
      <c r="J275" s="141" t="s">
        <v>235</v>
      </c>
      <c r="K275" s="141" t="s">
        <v>235</v>
      </c>
      <c r="L275" s="141" t="s">
        <v>235</v>
      </c>
    </row>
    <row r="276" spans="1:12" ht="18" x14ac:dyDescent="0.3">
      <c r="A276" s="125">
        <f t="shared" si="9"/>
        <v>46497</v>
      </c>
      <c r="B276" s="140" t="str">
        <f t="shared" si="8"/>
        <v>Tuesday</v>
      </c>
      <c r="C276" s="141" t="s">
        <v>235</v>
      </c>
      <c r="D276" s="141" t="s">
        <v>235</v>
      </c>
      <c r="E276" s="141" t="s">
        <v>235</v>
      </c>
      <c r="F276" s="141" t="s">
        <v>235</v>
      </c>
      <c r="G276" s="141" t="s">
        <v>235</v>
      </c>
      <c r="H276" s="141" t="s">
        <v>235</v>
      </c>
      <c r="I276" s="141" t="s">
        <v>235</v>
      </c>
      <c r="J276" s="141" t="s">
        <v>235</v>
      </c>
      <c r="K276" s="141" t="s">
        <v>235</v>
      </c>
      <c r="L276" s="141" t="s">
        <v>235</v>
      </c>
    </row>
    <row r="277" spans="1:12" ht="18" x14ac:dyDescent="0.3">
      <c r="A277" s="125">
        <f t="shared" si="9"/>
        <v>46498</v>
      </c>
      <c r="B277" s="140" t="str">
        <f t="shared" si="8"/>
        <v>Wednesday</v>
      </c>
      <c r="C277" s="141" t="s">
        <v>235</v>
      </c>
      <c r="D277" s="141" t="s">
        <v>235</v>
      </c>
      <c r="E277" s="141" t="s">
        <v>235</v>
      </c>
      <c r="F277" s="141" t="s">
        <v>235</v>
      </c>
      <c r="G277" s="141" t="s">
        <v>235</v>
      </c>
      <c r="H277" s="141" t="s">
        <v>235</v>
      </c>
      <c r="I277" s="141" t="s">
        <v>235</v>
      </c>
      <c r="J277" s="141" t="s">
        <v>235</v>
      </c>
      <c r="K277" s="141" t="s">
        <v>235</v>
      </c>
      <c r="L277" s="141" t="s">
        <v>235</v>
      </c>
    </row>
    <row r="278" spans="1:12" ht="18" x14ac:dyDescent="0.3">
      <c r="A278" s="125">
        <f t="shared" si="9"/>
        <v>46499</v>
      </c>
      <c r="B278" s="140" t="str">
        <f t="shared" si="8"/>
        <v>Thursday</v>
      </c>
      <c r="C278" s="141" t="s">
        <v>235</v>
      </c>
      <c r="D278" s="141" t="s">
        <v>235</v>
      </c>
      <c r="E278" s="141" t="s">
        <v>235</v>
      </c>
      <c r="F278" s="141" t="s">
        <v>235</v>
      </c>
      <c r="G278" s="141" t="s">
        <v>235</v>
      </c>
      <c r="H278" s="141" t="s">
        <v>235</v>
      </c>
      <c r="I278" s="141" t="s">
        <v>235</v>
      </c>
      <c r="J278" s="141" t="s">
        <v>235</v>
      </c>
      <c r="K278" s="141" t="s">
        <v>235</v>
      </c>
      <c r="L278" s="141" t="s">
        <v>235</v>
      </c>
    </row>
    <row r="279" spans="1:12" ht="18" x14ac:dyDescent="0.3">
      <c r="A279" s="125">
        <f t="shared" si="9"/>
        <v>46500</v>
      </c>
      <c r="B279" s="140" t="str">
        <f t="shared" si="8"/>
        <v>Friday</v>
      </c>
      <c r="C279" s="141" t="s">
        <v>235</v>
      </c>
      <c r="D279" s="141" t="s">
        <v>235</v>
      </c>
      <c r="E279" s="141" t="s">
        <v>235</v>
      </c>
      <c r="F279" s="141" t="s">
        <v>235</v>
      </c>
      <c r="G279" s="141" t="s">
        <v>235</v>
      </c>
      <c r="H279" s="141" t="s">
        <v>235</v>
      </c>
      <c r="I279" s="141" t="s">
        <v>235</v>
      </c>
      <c r="J279" s="141" t="s">
        <v>235</v>
      </c>
      <c r="K279" s="141" t="s">
        <v>235</v>
      </c>
      <c r="L279" s="141" t="s">
        <v>235</v>
      </c>
    </row>
    <row r="280" spans="1:12" ht="18" x14ac:dyDescent="0.3">
      <c r="A280" s="125">
        <f t="shared" si="9"/>
        <v>46501</v>
      </c>
      <c r="B280" s="140" t="str">
        <f t="shared" si="8"/>
        <v>Saturday</v>
      </c>
      <c r="C280" s="141" t="s">
        <v>235</v>
      </c>
      <c r="D280" s="141" t="s">
        <v>235</v>
      </c>
      <c r="E280" s="141" t="s">
        <v>235</v>
      </c>
      <c r="F280" s="141" t="s">
        <v>235</v>
      </c>
      <c r="G280" s="141" t="s">
        <v>235</v>
      </c>
      <c r="H280" s="141" t="s">
        <v>235</v>
      </c>
      <c r="I280" s="141" t="s">
        <v>235</v>
      </c>
      <c r="J280" s="141" t="s">
        <v>235</v>
      </c>
      <c r="K280" s="141" t="s">
        <v>235</v>
      </c>
      <c r="L280" s="141" t="s">
        <v>235</v>
      </c>
    </row>
    <row r="281" spans="1:12" ht="18" x14ac:dyDescent="0.3">
      <c r="A281" s="125">
        <f t="shared" si="9"/>
        <v>46502</v>
      </c>
      <c r="B281" s="140" t="str">
        <f t="shared" si="8"/>
        <v>Sunday</v>
      </c>
      <c r="C281" s="141" t="s">
        <v>235</v>
      </c>
      <c r="D281" s="141" t="s">
        <v>235</v>
      </c>
      <c r="E281" s="141" t="s">
        <v>235</v>
      </c>
      <c r="F281" s="141" t="s">
        <v>235</v>
      </c>
      <c r="G281" s="141" t="s">
        <v>235</v>
      </c>
      <c r="H281" s="141" t="s">
        <v>235</v>
      </c>
      <c r="I281" s="141" t="s">
        <v>235</v>
      </c>
      <c r="J281" s="141" t="s">
        <v>235</v>
      </c>
      <c r="K281" s="141" t="s">
        <v>235</v>
      </c>
      <c r="L281" s="141" t="s">
        <v>235</v>
      </c>
    </row>
    <row r="282" spans="1:12" ht="18" x14ac:dyDescent="0.3">
      <c r="A282" s="125">
        <f t="shared" si="9"/>
        <v>46503</v>
      </c>
      <c r="B282" s="140" t="str">
        <f t="shared" si="8"/>
        <v>Monday</v>
      </c>
      <c r="C282" s="141" t="s">
        <v>235</v>
      </c>
      <c r="D282" s="141" t="s">
        <v>235</v>
      </c>
      <c r="E282" s="141" t="s">
        <v>235</v>
      </c>
      <c r="F282" s="141" t="s">
        <v>235</v>
      </c>
      <c r="G282" s="141" t="s">
        <v>235</v>
      </c>
      <c r="H282" s="141" t="s">
        <v>235</v>
      </c>
      <c r="I282" s="141" t="s">
        <v>235</v>
      </c>
      <c r="J282" s="141" t="s">
        <v>235</v>
      </c>
      <c r="K282" s="141" t="s">
        <v>235</v>
      </c>
      <c r="L282" s="141" t="s">
        <v>235</v>
      </c>
    </row>
    <row r="283" spans="1:12" ht="18" x14ac:dyDescent="0.3">
      <c r="A283" s="125">
        <f t="shared" si="9"/>
        <v>46504</v>
      </c>
      <c r="B283" s="140" t="str">
        <f t="shared" si="8"/>
        <v>Tuesday</v>
      </c>
      <c r="C283" s="141" t="s">
        <v>235</v>
      </c>
      <c r="D283" s="141" t="s">
        <v>235</v>
      </c>
      <c r="E283" s="141" t="s">
        <v>235</v>
      </c>
      <c r="F283" s="141" t="s">
        <v>235</v>
      </c>
      <c r="G283" s="141" t="s">
        <v>235</v>
      </c>
      <c r="H283" s="141" t="s">
        <v>235</v>
      </c>
      <c r="I283" s="141" t="s">
        <v>235</v>
      </c>
      <c r="J283" s="141" t="s">
        <v>235</v>
      </c>
      <c r="K283" s="141" t="s">
        <v>235</v>
      </c>
      <c r="L283" s="141" t="s">
        <v>235</v>
      </c>
    </row>
    <row r="284" spans="1:12" ht="18" x14ac:dyDescent="0.3">
      <c r="A284" s="125">
        <f t="shared" si="9"/>
        <v>46505</v>
      </c>
      <c r="B284" s="140" t="str">
        <f t="shared" si="8"/>
        <v>Wednesday</v>
      </c>
      <c r="C284" s="141" t="s">
        <v>235</v>
      </c>
      <c r="D284" s="141" t="s">
        <v>235</v>
      </c>
      <c r="E284" s="141" t="s">
        <v>235</v>
      </c>
      <c r="F284" s="141" t="s">
        <v>235</v>
      </c>
      <c r="G284" s="141" t="s">
        <v>235</v>
      </c>
      <c r="H284" s="141" t="s">
        <v>235</v>
      </c>
      <c r="I284" s="141" t="s">
        <v>235</v>
      </c>
      <c r="J284" s="141" t="s">
        <v>235</v>
      </c>
      <c r="K284" s="141" t="s">
        <v>235</v>
      </c>
      <c r="L284" s="141" t="s">
        <v>235</v>
      </c>
    </row>
    <row r="285" spans="1:12" ht="18" x14ac:dyDescent="0.3">
      <c r="A285" s="125">
        <f t="shared" si="9"/>
        <v>46506</v>
      </c>
      <c r="B285" s="140" t="str">
        <f t="shared" si="8"/>
        <v>Thursday</v>
      </c>
      <c r="C285" s="141" t="s">
        <v>235</v>
      </c>
      <c r="D285" s="141" t="s">
        <v>235</v>
      </c>
      <c r="E285" s="141" t="s">
        <v>235</v>
      </c>
      <c r="F285" s="141" t="s">
        <v>235</v>
      </c>
      <c r="G285" s="141" t="s">
        <v>235</v>
      </c>
      <c r="H285" s="141" t="s">
        <v>235</v>
      </c>
      <c r="I285" s="141" t="s">
        <v>235</v>
      </c>
      <c r="J285" s="141" t="s">
        <v>235</v>
      </c>
      <c r="K285" s="141" t="s">
        <v>235</v>
      </c>
      <c r="L285" s="141" t="s">
        <v>235</v>
      </c>
    </row>
    <row r="286" spans="1:12" ht="18" x14ac:dyDescent="0.3">
      <c r="A286" s="125">
        <f t="shared" si="9"/>
        <v>46507</v>
      </c>
      <c r="B286" s="140" t="str">
        <f t="shared" si="8"/>
        <v>Friday</v>
      </c>
      <c r="C286" s="141" t="s">
        <v>235</v>
      </c>
      <c r="D286" s="141" t="s">
        <v>235</v>
      </c>
      <c r="E286" s="141" t="s">
        <v>235</v>
      </c>
      <c r="F286" s="141" t="s">
        <v>235</v>
      </c>
      <c r="G286" s="141" t="s">
        <v>235</v>
      </c>
      <c r="H286" s="141" t="s">
        <v>235</v>
      </c>
      <c r="I286" s="141" t="s">
        <v>235</v>
      </c>
      <c r="J286" s="141" t="s">
        <v>235</v>
      </c>
      <c r="K286" s="141" t="s">
        <v>235</v>
      </c>
      <c r="L286" s="141" t="s">
        <v>235</v>
      </c>
    </row>
    <row r="287" spans="1:12" ht="18" x14ac:dyDescent="0.3">
      <c r="A287" s="125">
        <f t="shared" si="9"/>
        <v>46508</v>
      </c>
      <c r="B287" s="140" t="str">
        <f t="shared" si="8"/>
        <v>Saturday</v>
      </c>
      <c r="C287" s="141" t="s">
        <v>235</v>
      </c>
      <c r="D287" s="141" t="s">
        <v>235</v>
      </c>
      <c r="E287" s="141" t="s">
        <v>235</v>
      </c>
      <c r="F287" s="141" t="s">
        <v>235</v>
      </c>
      <c r="G287" s="141" t="s">
        <v>235</v>
      </c>
      <c r="H287" s="141" t="s">
        <v>235</v>
      </c>
      <c r="I287" s="141" t="s">
        <v>235</v>
      </c>
      <c r="J287" s="141" t="s">
        <v>235</v>
      </c>
      <c r="K287" s="141" t="s">
        <v>235</v>
      </c>
      <c r="L287" s="141" t="s">
        <v>235</v>
      </c>
    </row>
    <row r="288" spans="1:12" ht="18" x14ac:dyDescent="0.3">
      <c r="A288" s="125">
        <f t="shared" si="9"/>
        <v>46509</v>
      </c>
      <c r="B288" s="140" t="str">
        <f t="shared" si="8"/>
        <v>Sunday</v>
      </c>
      <c r="C288" s="141" t="s">
        <v>235</v>
      </c>
      <c r="D288" s="141" t="s">
        <v>235</v>
      </c>
      <c r="E288" s="141" t="s">
        <v>235</v>
      </c>
      <c r="F288" s="141" t="s">
        <v>235</v>
      </c>
      <c r="G288" s="141" t="s">
        <v>235</v>
      </c>
      <c r="H288" s="141" t="s">
        <v>235</v>
      </c>
      <c r="I288" s="141" t="s">
        <v>235</v>
      </c>
      <c r="J288" s="141" t="s">
        <v>235</v>
      </c>
      <c r="K288" s="141" t="s">
        <v>235</v>
      </c>
      <c r="L288" s="141" t="s">
        <v>235</v>
      </c>
    </row>
    <row r="289" spans="1:12" ht="18" x14ac:dyDescent="0.3">
      <c r="A289" s="125">
        <f t="shared" si="9"/>
        <v>46510</v>
      </c>
      <c r="B289" s="140" t="str">
        <f t="shared" si="8"/>
        <v>Monday</v>
      </c>
      <c r="C289" s="141" t="s">
        <v>235</v>
      </c>
      <c r="D289" s="141" t="s">
        <v>235</v>
      </c>
      <c r="E289" s="141" t="s">
        <v>235</v>
      </c>
      <c r="F289" s="141" t="s">
        <v>235</v>
      </c>
      <c r="G289" s="141" t="s">
        <v>235</v>
      </c>
      <c r="H289" s="141" t="s">
        <v>235</v>
      </c>
      <c r="I289" s="141" t="s">
        <v>235</v>
      </c>
      <c r="J289" s="141" t="s">
        <v>235</v>
      </c>
      <c r="K289" s="141" t="s">
        <v>235</v>
      </c>
      <c r="L289" s="141" t="s">
        <v>235</v>
      </c>
    </row>
    <row r="290" spans="1:12" ht="18" x14ac:dyDescent="0.3">
      <c r="A290" s="125">
        <f t="shared" si="9"/>
        <v>46511</v>
      </c>
      <c r="B290" s="140" t="str">
        <f t="shared" si="8"/>
        <v>Tuesday</v>
      </c>
      <c r="C290" s="141" t="s">
        <v>235</v>
      </c>
      <c r="D290" s="141" t="s">
        <v>235</v>
      </c>
      <c r="E290" s="141" t="s">
        <v>235</v>
      </c>
      <c r="F290" s="141" t="s">
        <v>235</v>
      </c>
      <c r="G290" s="141" t="s">
        <v>235</v>
      </c>
      <c r="H290" s="141" t="s">
        <v>235</v>
      </c>
      <c r="I290" s="141" t="s">
        <v>235</v>
      </c>
      <c r="J290" s="141" t="s">
        <v>235</v>
      </c>
      <c r="K290" s="141" t="s">
        <v>235</v>
      </c>
      <c r="L290" s="141" t="s">
        <v>235</v>
      </c>
    </row>
    <row r="291" spans="1:12" ht="18" x14ac:dyDescent="0.3">
      <c r="A291" s="125">
        <f t="shared" si="9"/>
        <v>46512</v>
      </c>
      <c r="B291" s="140" t="str">
        <f t="shared" si="8"/>
        <v>Wednesday</v>
      </c>
      <c r="C291" s="141" t="s">
        <v>235</v>
      </c>
      <c r="D291" s="141" t="s">
        <v>235</v>
      </c>
      <c r="E291" s="141" t="s">
        <v>235</v>
      </c>
      <c r="F291" s="141" t="s">
        <v>235</v>
      </c>
      <c r="G291" s="141" t="s">
        <v>235</v>
      </c>
      <c r="H291" s="141" t="s">
        <v>235</v>
      </c>
      <c r="I291" s="141" t="s">
        <v>235</v>
      </c>
      <c r="J291" s="141" t="s">
        <v>235</v>
      </c>
      <c r="K291" s="141" t="s">
        <v>235</v>
      </c>
      <c r="L291" s="141" t="s">
        <v>235</v>
      </c>
    </row>
    <row r="292" spans="1:12" ht="18" x14ac:dyDescent="0.3">
      <c r="A292" s="125">
        <f t="shared" si="9"/>
        <v>46513</v>
      </c>
      <c r="B292" s="140" t="str">
        <f t="shared" si="8"/>
        <v>Thursday</v>
      </c>
      <c r="C292" s="141" t="s">
        <v>235</v>
      </c>
      <c r="D292" s="141" t="s">
        <v>235</v>
      </c>
      <c r="E292" s="141" t="s">
        <v>235</v>
      </c>
      <c r="F292" s="141" t="s">
        <v>235</v>
      </c>
      <c r="G292" s="141" t="s">
        <v>235</v>
      </c>
      <c r="H292" s="141" t="s">
        <v>235</v>
      </c>
      <c r="I292" s="141" t="s">
        <v>235</v>
      </c>
      <c r="J292" s="141" t="s">
        <v>235</v>
      </c>
      <c r="K292" s="141" t="s">
        <v>235</v>
      </c>
      <c r="L292" s="141" t="s">
        <v>235</v>
      </c>
    </row>
    <row r="293" spans="1:12" ht="18" x14ac:dyDescent="0.3">
      <c r="A293" s="125">
        <f t="shared" si="9"/>
        <v>46514</v>
      </c>
      <c r="B293" s="140" t="str">
        <f t="shared" si="8"/>
        <v>Friday</v>
      </c>
      <c r="C293" s="141" t="s">
        <v>235</v>
      </c>
      <c r="D293" s="141" t="s">
        <v>235</v>
      </c>
      <c r="E293" s="141" t="s">
        <v>235</v>
      </c>
      <c r="F293" s="141" t="s">
        <v>235</v>
      </c>
      <c r="G293" s="141" t="s">
        <v>235</v>
      </c>
      <c r="H293" s="141" t="s">
        <v>235</v>
      </c>
      <c r="I293" s="141" t="s">
        <v>235</v>
      </c>
      <c r="J293" s="141" t="s">
        <v>235</v>
      </c>
      <c r="K293" s="141" t="s">
        <v>235</v>
      </c>
      <c r="L293" s="141" t="s">
        <v>235</v>
      </c>
    </row>
    <row r="294" spans="1:12" ht="18" x14ac:dyDescent="0.3">
      <c r="A294" s="125">
        <f t="shared" si="9"/>
        <v>46515</v>
      </c>
      <c r="B294" s="140" t="str">
        <f t="shared" si="8"/>
        <v>Saturday</v>
      </c>
      <c r="C294" s="141" t="s">
        <v>235</v>
      </c>
      <c r="D294" s="141" t="s">
        <v>235</v>
      </c>
      <c r="E294" s="141" t="s">
        <v>235</v>
      </c>
      <c r="F294" s="141" t="s">
        <v>235</v>
      </c>
      <c r="G294" s="141" t="s">
        <v>235</v>
      </c>
      <c r="H294" s="141" t="s">
        <v>235</v>
      </c>
      <c r="I294" s="141" t="s">
        <v>235</v>
      </c>
      <c r="J294" s="141" t="s">
        <v>235</v>
      </c>
      <c r="K294" s="141" t="s">
        <v>235</v>
      </c>
      <c r="L294" s="141" t="s">
        <v>235</v>
      </c>
    </row>
    <row r="295" spans="1:12" ht="18" x14ac:dyDescent="0.3">
      <c r="A295" s="125">
        <f t="shared" si="9"/>
        <v>46516</v>
      </c>
      <c r="B295" s="140" t="str">
        <f t="shared" si="8"/>
        <v>Sunday</v>
      </c>
      <c r="C295" s="141" t="s">
        <v>235</v>
      </c>
      <c r="D295" s="141" t="s">
        <v>235</v>
      </c>
      <c r="E295" s="141" t="s">
        <v>235</v>
      </c>
      <c r="F295" s="141" t="s">
        <v>235</v>
      </c>
      <c r="G295" s="141" t="s">
        <v>235</v>
      </c>
      <c r="H295" s="141" t="s">
        <v>235</v>
      </c>
      <c r="I295" s="141" t="s">
        <v>235</v>
      </c>
      <c r="J295" s="141" t="s">
        <v>235</v>
      </c>
      <c r="K295" s="141" t="s">
        <v>235</v>
      </c>
      <c r="L295" s="141" t="s">
        <v>235</v>
      </c>
    </row>
    <row r="296" spans="1:12" ht="18" x14ac:dyDescent="0.3">
      <c r="A296" s="125">
        <f t="shared" si="9"/>
        <v>46517</v>
      </c>
      <c r="B296" s="140" t="str">
        <f t="shared" si="8"/>
        <v>Monday</v>
      </c>
      <c r="C296" s="141" t="s">
        <v>235</v>
      </c>
      <c r="D296" s="141" t="s">
        <v>235</v>
      </c>
      <c r="E296" s="141" t="s">
        <v>235</v>
      </c>
      <c r="F296" s="141" t="s">
        <v>235</v>
      </c>
      <c r="G296" s="141" t="s">
        <v>235</v>
      </c>
      <c r="H296" s="141" t="s">
        <v>235</v>
      </c>
      <c r="I296" s="141" t="s">
        <v>235</v>
      </c>
      <c r="J296" s="141" t="s">
        <v>235</v>
      </c>
      <c r="K296" s="141" t="s">
        <v>235</v>
      </c>
      <c r="L296" s="141" t="s">
        <v>235</v>
      </c>
    </row>
    <row r="297" spans="1:12" ht="18" x14ac:dyDescent="0.3">
      <c r="A297" s="125">
        <f t="shared" si="9"/>
        <v>46518</v>
      </c>
      <c r="B297" s="140" t="str">
        <f t="shared" si="8"/>
        <v>Tuesday</v>
      </c>
      <c r="C297" s="141" t="s">
        <v>235</v>
      </c>
      <c r="D297" s="141" t="s">
        <v>235</v>
      </c>
      <c r="E297" s="141" t="s">
        <v>235</v>
      </c>
      <c r="F297" s="141" t="s">
        <v>235</v>
      </c>
      <c r="G297" s="141" t="s">
        <v>235</v>
      </c>
      <c r="H297" s="141" t="s">
        <v>235</v>
      </c>
      <c r="I297" s="141" t="s">
        <v>235</v>
      </c>
      <c r="J297" s="141" t="s">
        <v>235</v>
      </c>
      <c r="K297" s="141" t="s">
        <v>235</v>
      </c>
      <c r="L297" s="141" t="s">
        <v>235</v>
      </c>
    </row>
    <row r="298" spans="1:12" ht="18" x14ac:dyDescent="0.3">
      <c r="A298" s="125">
        <f t="shared" si="9"/>
        <v>46519</v>
      </c>
      <c r="B298" s="140" t="str">
        <f t="shared" si="8"/>
        <v>Wednesday</v>
      </c>
      <c r="C298" s="141" t="s">
        <v>235</v>
      </c>
      <c r="D298" s="141" t="s">
        <v>235</v>
      </c>
      <c r="E298" s="141" t="s">
        <v>235</v>
      </c>
      <c r="F298" s="141" t="s">
        <v>235</v>
      </c>
      <c r="G298" s="141" t="s">
        <v>235</v>
      </c>
      <c r="H298" s="141" t="s">
        <v>235</v>
      </c>
      <c r="I298" s="141" t="s">
        <v>235</v>
      </c>
      <c r="J298" s="141" t="s">
        <v>235</v>
      </c>
      <c r="K298" s="141" t="s">
        <v>235</v>
      </c>
      <c r="L298" s="141" t="s">
        <v>235</v>
      </c>
    </row>
    <row r="299" spans="1:12" ht="18" x14ac:dyDescent="0.3">
      <c r="A299" s="125">
        <f t="shared" si="9"/>
        <v>46520</v>
      </c>
      <c r="B299" s="140" t="str">
        <f t="shared" si="8"/>
        <v>Thursday</v>
      </c>
      <c r="C299" s="141" t="s">
        <v>235</v>
      </c>
      <c r="D299" s="141" t="s">
        <v>235</v>
      </c>
      <c r="E299" s="141" t="s">
        <v>235</v>
      </c>
      <c r="F299" s="141" t="s">
        <v>235</v>
      </c>
      <c r="G299" s="141" t="s">
        <v>235</v>
      </c>
      <c r="H299" s="141" t="s">
        <v>235</v>
      </c>
      <c r="I299" s="141" t="s">
        <v>235</v>
      </c>
      <c r="J299" s="141" t="s">
        <v>235</v>
      </c>
      <c r="K299" s="141" t="s">
        <v>235</v>
      </c>
      <c r="L299" s="141" t="s">
        <v>235</v>
      </c>
    </row>
    <row r="300" spans="1:12" ht="18" x14ac:dyDescent="0.3">
      <c r="A300" s="125">
        <f t="shared" si="9"/>
        <v>46521</v>
      </c>
      <c r="B300" s="140" t="str">
        <f t="shared" si="8"/>
        <v>Friday</v>
      </c>
      <c r="C300" s="141" t="s">
        <v>235</v>
      </c>
      <c r="D300" s="141" t="s">
        <v>235</v>
      </c>
      <c r="E300" s="141" t="s">
        <v>235</v>
      </c>
      <c r="F300" s="141" t="s">
        <v>235</v>
      </c>
      <c r="G300" s="141" t="s">
        <v>235</v>
      </c>
      <c r="H300" s="141" t="s">
        <v>235</v>
      </c>
      <c r="I300" s="141" t="s">
        <v>235</v>
      </c>
      <c r="J300" s="141" t="s">
        <v>235</v>
      </c>
      <c r="K300" s="141" t="s">
        <v>235</v>
      </c>
      <c r="L300" s="141" t="s">
        <v>235</v>
      </c>
    </row>
    <row r="301" spans="1:12" ht="18" x14ac:dyDescent="0.3">
      <c r="A301" s="125">
        <f t="shared" si="9"/>
        <v>46522</v>
      </c>
      <c r="B301" s="140" t="str">
        <f t="shared" si="8"/>
        <v>Saturday</v>
      </c>
      <c r="C301" s="141" t="s">
        <v>235</v>
      </c>
      <c r="D301" s="141" t="s">
        <v>235</v>
      </c>
      <c r="E301" s="141" t="s">
        <v>235</v>
      </c>
      <c r="F301" s="141" t="s">
        <v>235</v>
      </c>
      <c r="G301" s="141" t="s">
        <v>235</v>
      </c>
      <c r="H301" s="141" t="s">
        <v>235</v>
      </c>
      <c r="I301" s="141" t="s">
        <v>235</v>
      </c>
      <c r="J301" s="141" t="s">
        <v>235</v>
      </c>
      <c r="K301" s="141" t="s">
        <v>235</v>
      </c>
      <c r="L301" s="141" t="s">
        <v>235</v>
      </c>
    </row>
    <row r="302" spans="1:12" ht="18" x14ac:dyDescent="0.3">
      <c r="A302" s="125">
        <f t="shared" si="9"/>
        <v>46523</v>
      </c>
      <c r="B302" s="140" t="str">
        <f t="shared" si="8"/>
        <v>Sunday</v>
      </c>
      <c r="C302" s="141" t="s">
        <v>235</v>
      </c>
      <c r="D302" s="141" t="s">
        <v>235</v>
      </c>
      <c r="E302" s="141" t="s">
        <v>235</v>
      </c>
      <c r="F302" s="141" t="s">
        <v>235</v>
      </c>
      <c r="G302" s="141" t="s">
        <v>235</v>
      </c>
      <c r="H302" s="141" t="s">
        <v>235</v>
      </c>
      <c r="I302" s="141" t="s">
        <v>235</v>
      </c>
      <c r="J302" s="141" t="s">
        <v>235</v>
      </c>
      <c r="K302" s="141" t="s">
        <v>235</v>
      </c>
      <c r="L302" s="141" t="s">
        <v>235</v>
      </c>
    </row>
    <row r="303" spans="1:12" ht="18" x14ac:dyDescent="0.3">
      <c r="A303" s="125">
        <f t="shared" si="9"/>
        <v>46524</v>
      </c>
      <c r="B303" s="140" t="str">
        <f t="shared" si="8"/>
        <v>Monday</v>
      </c>
      <c r="C303" s="141" t="s">
        <v>235</v>
      </c>
      <c r="D303" s="141" t="s">
        <v>235</v>
      </c>
      <c r="E303" s="141" t="s">
        <v>235</v>
      </c>
      <c r="F303" s="141" t="s">
        <v>235</v>
      </c>
      <c r="G303" s="141" t="s">
        <v>235</v>
      </c>
      <c r="H303" s="141" t="s">
        <v>235</v>
      </c>
      <c r="I303" s="141" t="s">
        <v>235</v>
      </c>
      <c r="J303" s="141" t="s">
        <v>235</v>
      </c>
      <c r="K303" s="141" t="s">
        <v>235</v>
      </c>
      <c r="L303" s="141" t="s">
        <v>235</v>
      </c>
    </row>
    <row r="304" spans="1:12" ht="18" x14ac:dyDescent="0.3">
      <c r="A304" s="125">
        <f t="shared" si="9"/>
        <v>46525</v>
      </c>
      <c r="B304" s="140" t="str">
        <f t="shared" si="8"/>
        <v>Tuesday</v>
      </c>
      <c r="C304" s="141" t="s">
        <v>235</v>
      </c>
      <c r="D304" s="141" t="s">
        <v>235</v>
      </c>
      <c r="E304" s="141" t="s">
        <v>235</v>
      </c>
      <c r="F304" s="141" t="s">
        <v>235</v>
      </c>
      <c r="G304" s="141" t="s">
        <v>235</v>
      </c>
      <c r="H304" s="141" t="s">
        <v>235</v>
      </c>
      <c r="I304" s="141" t="s">
        <v>235</v>
      </c>
      <c r="J304" s="141" t="s">
        <v>235</v>
      </c>
      <c r="K304" s="141" t="s">
        <v>235</v>
      </c>
      <c r="L304" s="141" t="s">
        <v>235</v>
      </c>
    </row>
    <row r="305" spans="1:12" ht="18" x14ac:dyDescent="0.3">
      <c r="A305" s="125">
        <f t="shared" si="9"/>
        <v>46526</v>
      </c>
      <c r="B305" s="140" t="str">
        <f t="shared" si="8"/>
        <v>Wednesday</v>
      </c>
      <c r="C305" s="141" t="s">
        <v>235</v>
      </c>
      <c r="D305" s="141" t="s">
        <v>235</v>
      </c>
      <c r="E305" s="141" t="s">
        <v>235</v>
      </c>
      <c r="F305" s="141" t="s">
        <v>235</v>
      </c>
      <c r="G305" s="141" t="s">
        <v>235</v>
      </c>
      <c r="H305" s="141" t="s">
        <v>235</v>
      </c>
      <c r="I305" s="141" t="s">
        <v>235</v>
      </c>
      <c r="J305" s="141" t="s">
        <v>235</v>
      </c>
      <c r="K305" s="141" t="s">
        <v>235</v>
      </c>
      <c r="L305" s="141" t="s">
        <v>235</v>
      </c>
    </row>
    <row r="306" spans="1:12" ht="18" x14ac:dyDescent="0.3">
      <c r="A306" s="125">
        <f t="shared" si="9"/>
        <v>46527</v>
      </c>
      <c r="B306" s="140" t="str">
        <f t="shared" si="8"/>
        <v>Thursday</v>
      </c>
      <c r="C306" s="141" t="s">
        <v>235</v>
      </c>
      <c r="D306" s="141" t="s">
        <v>235</v>
      </c>
      <c r="E306" s="141" t="s">
        <v>235</v>
      </c>
      <c r="F306" s="141" t="s">
        <v>235</v>
      </c>
      <c r="G306" s="141" t="s">
        <v>235</v>
      </c>
      <c r="H306" s="141" t="s">
        <v>235</v>
      </c>
      <c r="I306" s="141" t="s">
        <v>235</v>
      </c>
      <c r="J306" s="141" t="s">
        <v>235</v>
      </c>
      <c r="K306" s="141" t="s">
        <v>235</v>
      </c>
      <c r="L306" s="141" t="s">
        <v>235</v>
      </c>
    </row>
    <row r="307" spans="1:12" ht="18" x14ac:dyDescent="0.3">
      <c r="A307" s="125">
        <f t="shared" si="9"/>
        <v>46528</v>
      </c>
      <c r="B307" s="140" t="str">
        <f t="shared" si="8"/>
        <v>Friday</v>
      </c>
      <c r="C307" s="141" t="s">
        <v>235</v>
      </c>
      <c r="D307" s="141" t="s">
        <v>235</v>
      </c>
      <c r="E307" s="141" t="s">
        <v>235</v>
      </c>
      <c r="F307" s="141" t="s">
        <v>235</v>
      </c>
      <c r="G307" s="141" t="s">
        <v>235</v>
      </c>
      <c r="H307" s="141" t="s">
        <v>235</v>
      </c>
      <c r="I307" s="141" t="s">
        <v>235</v>
      </c>
      <c r="J307" s="141" t="s">
        <v>235</v>
      </c>
      <c r="K307" s="141" t="s">
        <v>235</v>
      </c>
      <c r="L307" s="141" t="s">
        <v>235</v>
      </c>
    </row>
    <row r="308" spans="1:12" ht="18" x14ac:dyDescent="0.3">
      <c r="A308" s="125">
        <f t="shared" si="9"/>
        <v>46529</v>
      </c>
      <c r="B308" s="140" t="str">
        <f t="shared" si="8"/>
        <v>Saturday</v>
      </c>
      <c r="C308" s="141" t="s">
        <v>235</v>
      </c>
      <c r="D308" s="141" t="s">
        <v>235</v>
      </c>
      <c r="E308" s="141" t="s">
        <v>235</v>
      </c>
      <c r="F308" s="141" t="s">
        <v>235</v>
      </c>
      <c r="G308" s="141" t="s">
        <v>235</v>
      </c>
      <c r="H308" s="141" t="s">
        <v>235</v>
      </c>
      <c r="I308" s="141" t="s">
        <v>235</v>
      </c>
      <c r="J308" s="141" t="s">
        <v>235</v>
      </c>
      <c r="K308" s="141" t="s">
        <v>235</v>
      </c>
      <c r="L308" s="141" t="s">
        <v>235</v>
      </c>
    </row>
    <row r="309" spans="1:12" ht="18" x14ac:dyDescent="0.3">
      <c r="A309" s="125">
        <f t="shared" si="9"/>
        <v>46530</v>
      </c>
      <c r="B309" s="140" t="str">
        <f t="shared" si="8"/>
        <v>Sunday</v>
      </c>
      <c r="C309" s="141" t="s">
        <v>235</v>
      </c>
      <c r="D309" s="141" t="s">
        <v>235</v>
      </c>
      <c r="E309" s="141" t="s">
        <v>235</v>
      </c>
      <c r="F309" s="141" t="s">
        <v>235</v>
      </c>
      <c r="G309" s="141" t="s">
        <v>235</v>
      </c>
      <c r="H309" s="141" t="s">
        <v>235</v>
      </c>
      <c r="I309" s="141" t="s">
        <v>235</v>
      </c>
      <c r="J309" s="141" t="s">
        <v>235</v>
      </c>
      <c r="K309" s="141" t="s">
        <v>235</v>
      </c>
      <c r="L309" s="141" t="s">
        <v>235</v>
      </c>
    </row>
    <row r="310" spans="1:12" ht="18" x14ac:dyDescent="0.3">
      <c r="A310" s="125">
        <f t="shared" si="9"/>
        <v>46531</v>
      </c>
      <c r="B310" s="140" t="str">
        <f t="shared" si="8"/>
        <v>Monday</v>
      </c>
      <c r="C310" s="141" t="s">
        <v>235</v>
      </c>
      <c r="D310" s="141" t="s">
        <v>235</v>
      </c>
      <c r="E310" s="141" t="s">
        <v>235</v>
      </c>
      <c r="F310" s="141" t="s">
        <v>235</v>
      </c>
      <c r="G310" s="141" t="s">
        <v>235</v>
      </c>
      <c r="H310" s="141" t="s">
        <v>235</v>
      </c>
      <c r="I310" s="141" t="s">
        <v>235</v>
      </c>
      <c r="J310" s="141" t="s">
        <v>235</v>
      </c>
      <c r="K310" s="141" t="s">
        <v>235</v>
      </c>
      <c r="L310" s="141" t="s">
        <v>235</v>
      </c>
    </row>
    <row r="311" spans="1:12" ht="18" x14ac:dyDescent="0.3">
      <c r="A311" s="125">
        <f t="shared" si="9"/>
        <v>46532</v>
      </c>
      <c r="B311" s="140" t="str">
        <f t="shared" si="8"/>
        <v>Tuesday</v>
      </c>
      <c r="C311" s="141" t="s">
        <v>235</v>
      </c>
      <c r="D311" s="141" t="s">
        <v>235</v>
      </c>
      <c r="E311" s="141" t="s">
        <v>235</v>
      </c>
      <c r="F311" s="141" t="s">
        <v>235</v>
      </c>
      <c r="G311" s="141" t="s">
        <v>235</v>
      </c>
      <c r="H311" s="141" t="s">
        <v>235</v>
      </c>
      <c r="I311" s="141" t="s">
        <v>235</v>
      </c>
      <c r="J311" s="141" t="s">
        <v>235</v>
      </c>
      <c r="K311" s="141" t="s">
        <v>235</v>
      </c>
      <c r="L311" s="141" t="s">
        <v>235</v>
      </c>
    </row>
    <row r="312" spans="1:12" ht="18" x14ac:dyDescent="0.3">
      <c r="A312" s="125">
        <f t="shared" si="9"/>
        <v>46533</v>
      </c>
      <c r="B312" s="140" t="str">
        <f t="shared" si="8"/>
        <v>Wednesday</v>
      </c>
      <c r="C312" s="141" t="s">
        <v>235</v>
      </c>
      <c r="D312" s="141" t="s">
        <v>235</v>
      </c>
      <c r="E312" s="141" t="s">
        <v>235</v>
      </c>
      <c r="F312" s="141" t="s">
        <v>235</v>
      </c>
      <c r="G312" s="141" t="s">
        <v>235</v>
      </c>
      <c r="H312" s="141" t="s">
        <v>235</v>
      </c>
      <c r="I312" s="141" t="s">
        <v>235</v>
      </c>
      <c r="J312" s="141" t="s">
        <v>235</v>
      </c>
      <c r="K312" s="141" t="s">
        <v>235</v>
      </c>
      <c r="L312" s="141" t="s">
        <v>235</v>
      </c>
    </row>
    <row r="313" spans="1:12" ht="18" x14ac:dyDescent="0.3">
      <c r="A313" s="125">
        <f t="shared" si="9"/>
        <v>46534</v>
      </c>
      <c r="B313" s="140" t="str">
        <f t="shared" si="8"/>
        <v>Thursday</v>
      </c>
      <c r="C313" s="141" t="s">
        <v>235</v>
      </c>
      <c r="D313" s="141" t="s">
        <v>235</v>
      </c>
      <c r="E313" s="141" t="s">
        <v>235</v>
      </c>
      <c r="F313" s="141" t="s">
        <v>235</v>
      </c>
      <c r="G313" s="141" t="s">
        <v>235</v>
      </c>
      <c r="H313" s="141" t="s">
        <v>235</v>
      </c>
      <c r="I313" s="141" t="s">
        <v>235</v>
      </c>
      <c r="J313" s="141" t="s">
        <v>235</v>
      </c>
      <c r="K313" s="141" t="s">
        <v>235</v>
      </c>
      <c r="L313" s="141" t="s">
        <v>235</v>
      </c>
    </row>
    <row r="314" spans="1:12" ht="18" x14ac:dyDescent="0.3">
      <c r="A314" s="125">
        <f t="shared" si="9"/>
        <v>46535</v>
      </c>
      <c r="B314" s="140" t="str">
        <f t="shared" si="8"/>
        <v>Friday</v>
      </c>
      <c r="C314" s="141" t="s">
        <v>235</v>
      </c>
      <c r="D314" s="141" t="s">
        <v>235</v>
      </c>
      <c r="E314" s="141" t="s">
        <v>235</v>
      </c>
      <c r="F314" s="141" t="s">
        <v>235</v>
      </c>
      <c r="G314" s="141" t="s">
        <v>235</v>
      </c>
      <c r="H314" s="141" t="s">
        <v>235</v>
      </c>
      <c r="I314" s="141" t="s">
        <v>235</v>
      </c>
      <c r="J314" s="141" t="s">
        <v>235</v>
      </c>
      <c r="K314" s="141" t="s">
        <v>235</v>
      </c>
      <c r="L314" s="141" t="s">
        <v>235</v>
      </c>
    </row>
    <row r="315" spans="1:12" ht="18" x14ac:dyDescent="0.3">
      <c r="A315" s="125">
        <f t="shared" si="9"/>
        <v>46536</v>
      </c>
      <c r="B315" s="140" t="str">
        <f t="shared" si="8"/>
        <v>Saturday</v>
      </c>
      <c r="C315" s="141" t="s">
        <v>235</v>
      </c>
      <c r="D315" s="141" t="s">
        <v>235</v>
      </c>
      <c r="E315" s="141" t="s">
        <v>235</v>
      </c>
      <c r="F315" s="141" t="s">
        <v>235</v>
      </c>
      <c r="G315" s="141" t="s">
        <v>235</v>
      </c>
      <c r="H315" s="141" t="s">
        <v>235</v>
      </c>
      <c r="I315" s="141" t="s">
        <v>235</v>
      </c>
      <c r="J315" s="141" t="s">
        <v>235</v>
      </c>
      <c r="K315" s="141" t="s">
        <v>235</v>
      </c>
      <c r="L315" s="141" t="s">
        <v>235</v>
      </c>
    </row>
    <row r="316" spans="1:12" ht="18" x14ac:dyDescent="0.3">
      <c r="A316" s="125">
        <f t="shared" si="9"/>
        <v>46537</v>
      </c>
      <c r="B316" s="140" t="str">
        <f t="shared" si="8"/>
        <v>Sunday</v>
      </c>
      <c r="C316" s="141" t="s">
        <v>235</v>
      </c>
      <c r="D316" s="141" t="s">
        <v>235</v>
      </c>
      <c r="E316" s="141" t="s">
        <v>235</v>
      </c>
      <c r="F316" s="141" t="s">
        <v>235</v>
      </c>
      <c r="G316" s="141" t="s">
        <v>235</v>
      </c>
      <c r="H316" s="141" t="s">
        <v>235</v>
      </c>
      <c r="I316" s="141" t="s">
        <v>235</v>
      </c>
      <c r="J316" s="141" t="s">
        <v>235</v>
      </c>
      <c r="K316" s="141" t="s">
        <v>235</v>
      </c>
      <c r="L316" s="141" t="s">
        <v>235</v>
      </c>
    </row>
    <row r="317" spans="1:12" ht="18" x14ac:dyDescent="0.3">
      <c r="A317" s="125">
        <f t="shared" si="9"/>
        <v>46538</v>
      </c>
      <c r="B317" s="140" t="str">
        <f t="shared" si="8"/>
        <v>Monday</v>
      </c>
      <c r="C317" s="141" t="s">
        <v>235</v>
      </c>
      <c r="D317" s="141" t="s">
        <v>235</v>
      </c>
      <c r="E317" s="141" t="s">
        <v>235</v>
      </c>
      <c r="F317" s="141" t="s">
        <v>235</v>
      </c>
      <c r="G317" s="141" t="s">
        <v>235</v>
      </c>
      <c r="H317" s="141" t="s">
        <v>235</v>
      </c>
      <c r="I317" s="141" t="s">
        <v>235</v>
      </c>
      <c r="J317" s="141" t="s">
        <v>235</v>
      </c>
      <c r="K317" s="141" t="s">
        <v>235</v>
      </c>
      <c r="L317" s="141" t="s">
        <v>235</v>
      </c>
    </row>
    <row r="318" spans="1:12" ht="18" x14ac:dyDescent="0.3">
      <c r="A318" s="125">
        <f t="shared" si="9"/>
        <v>46539</v>
      </c>
      <c r="B318" s="140" t="str">
        <f t="shared" si="8"/>
        <v>Tuesday</v>
      </c>
      <c r="C318" s="141" t="s">
        <v>235</v>
      </c>
      <c r="D318" s="141" t="s">
        <v>235</v>
      </c>
      <c r="E318" s="141" t="s">
        <v>235</v>
      </c>
      <c r="F318" s="141" t="s">
        <v>235</v>
      </c>
      <c r="G318" s="141" t="s">
        <v>235</v>
      </c>
      <c r="H318" s="141" t="s">
        <v>235</v>
      </c>
      <c r="I318" s="141" t="s">
        <v>235</v>
      </c>
      <c r="J318" s="141" t="s">
        <v>235</v>
      </c>
      <c r="K318" s="141" t="s">
        <v>235</v>
      </c>
      <c r="L318" s="141" t="s">
        <v>235</v>
      </c>
    </row>
    <row r="319" spans="1:12" ht="18" x14ac:dyDescent="0.3">
      <c r="A319" s="125">
        <f t="shared" si="9"/>
        <v>46540</v>
      </c>
      <c r="B319" s="140" t="str">
        <f t="shared" si="8"/>
        <v>Wednesday</v>
      </c>
      <c r="C319" s="141" t="s">
        <v>235</v>
      </c>
      <c r="D319" s="141" t="s">
        <v>235</v>
      </c>
      <c r="E319" s="141" t="s">
        <v>235</v>
      </c>
      <c r="F319" s="141" t="s">
        <v>235</v>
      </c>
      <c r="G319" s="141" t="s">
        <v>235</v>
      </c>
      <c r="H319" s="141" t="s">
        <v>235</v>
      </c>
      <c r="I319" s="141" t="s">
        <v>235</v>
      </c>
      <c r="J319" s="141" t="s">
        <v>235</v>
      </c>
      <c r="K319" s="141" t="s">
        <v>235</v>
      </c>
      <c r="L319" s="141" t="s">
        <v>235</v>
      </c>
    </row>
    <row r="320" spans="1:12" ht="18" x14ac:dyDescent="0.3">
      <c r="A320" s="125">
        <f t="shared" si="9"/>
        <v>46541</v>
      </c>
      <c r="B320" s="140" t="str">
        <f t="shared" si="8"/>
        <v>Thursday</v>
      </c>
      <c r="C320" s="141" t="s">
        <v>235</v>
      </c>
      <c r="D320" s="141" t="s">
        <v>235</v>
      </c>
      <c r="E320" s="141" t="s">
        <v>235</v>
      </c>
      <c r="F320" s="141" t="s">
        <v>235</v>
      </c>
      <c r="G320" s="141" t="s">
        <v>235</v>
      </c>
      <c r="H320" s="141" t="s">
        <v>235</v>
      </c>
      <c r="I320" s="141" t="s">
        <v>235</v>
      </c>
      <c r="J320" s="141" t="s">
        <v>235</v>
      </c>
      <c r="K320" s="141" t="s">
        <v>235</v>
      </c>
      <c r="L320" s="141" t="s">
        <v>235</v>
      </c>
    </row>
    <row r="321" spans="1:12" ht="18" x14ac:dyDescent="0.3">
      <c r="A321" s="125">
        <f t="shared" si="9"/>
        <v>46542</v>
      </c>
      <c r="B321" s="140" t="str">
        <f t="shared" si="8"/>
        <v>Friday</v>
      </c>
      <c r="C321" s="141" t="s">
        <v>235</v>
      </c>
      <c r="D321" s="141" t="s">
        <v>235</v>
      </c>
      <c r="E321" s="141" t="s">
        <v>235</v>
      </c>
      <c r="F321" s="141" t="s">
        <v>235</v>
      </c>
      <c r="G321" s="141" t="s">
        <v>235</v>
      </c>
      <c r="H321" s="141" t="s">
        <v>235</v>
      </c>
      <c r="I321" s="141" t="s">
        <v>235</v>
      </c>
      <c r="J321" s="141" t="s">
        <v>235</v>
      </c>
      <c r="K321" s="141" t="s">
        <v>235</v>
      </c>
      <c r="L321" s="141" t="s">
        <v>235</v>
      </c>
    </row>
    <row r="322" spans="1:12" ht="18" x14ac:dyDescent="0.3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235</v>
      </c>
      <c r="D322" s="141" t="s">
        <v>235</v>
      </c>
      <c r="E322" s="141" t="s">
        <v>235</v>
      </c>
      <c r="F322" s="141" t="s">
        <v>235</v>
      </c>
      <c r="G322" s="141" t="s">
        <v>235</v>
      </c>
      <c r="H322" s="141" t="s">
        <v>235</v>
      </c>
      <c r="I322" s="141" t="s">
        <v>235</v>
      </c>
      <c r="J322" s="141" t="s">
        <v>235</v>
      </c>
      <c r="K322" s="141" t="s">
        <v>235</v>
      </c>
      <c r="L322" s="141" t="s">
        <v>235</v>
      </c>
    </row>
    <row r="323" spans="1:12" ht="18" x14ac:dyDescent="0.3">
      <c r="A323" s="125">
        <f t="shared" si="9"/>
        <v>46544</v>
      </c>
      <c r="B323" s="140" t="str">
        <f t="shared" si="10"/>
        <v>Sunday</v>
      </c>
      <c r="C323" s="141" t="s">
        <v>235</v>
      </c>
      <c r="D323" s="141" t="s">
        <v>235</v>
      </c>
      <c r="E323" s="141" t="s">
        <v>235</v>
      </c>
      <c r="F323" s="141" t="s">
        <v>235</v>
      </c>
      <c r="G323" s="141" t="s">
        <v>235</v>
      </c>
      <c r="H323" s="141" t="s">
        <v>235</v>
      </c>
      <c r="I323" s="141" t="s">
        <v>235</v>
      </c>
      <c r="J323" s="141" t="s">
        <v>235</v>
      </c>
      <c r="K323" s="141" t="s">
        <v>235</v>
      </c>
      <c r="L323" s="141" t="s">
        <v>235</v>
      </c>
    </row>
    <row r="324" spans="1:12" ht="18" x14ac:dyDescent="0.3">
      <c r="A324" s="125">
        <f t="shared" ref="A324:A368" si="11">A323+1</f>
        <v>46545</v>
      </c>
      <c r="B324" s="140" t="str">
        <f t="shared" si="10"/>
        <v>Monday</v>
      </c>
      <c r="C324" s="141" t="s">
        <v>235</v>
      </c>
      <c r="D324" s="141" t="s">
        <v>235</v>
      </c>
      <c r="E324" s="141" t="s">
        <v>235</v>
      </c>
      <c r="F324" s="141" t="s">
        <v>235</v>
      </c>
      <c r="G324" s="141" t="s">
        <v>235</v>
      </c>
      <c r="H324" s="141" t="s">
        <v>235</v>
      </c>
      <c r="I324" s="141" t="s">
        <v>235</v>
      </c>
      <c r="J324" s="141" t="s">
        <v>235</v>
      </c>
      <c r="K324" s="141" t="s">
        <v>235</v>
      </c>
      <c r="L324" s="141" t="s">
        <v>235</v>
      </c>
    </row>
    <row r="325" spans="1:12" ht="18" x14ac:dyDescent="0.3">
      <c r="A325" s="125">
        <f t="shared" si="11"/>
        <v>46546</v>
      </c>
      <c r="B325" s="140" t="str">
        <f t="shared" si="10"/>
        <v>Tuesday</v>
      </c>
      <c r="C325" s="141" t="s">
        <v>235</v>
      </c>
      <c r="D325" s="141" t="s">
        <v>235</v>
      </c>
      <c r="E325" s="141" t="s">
        <v>235</v>
      </c>
      <c r="F325" s="141" t="s">
        <v>235</v>
      </c>
      <c r="G325" s="141" t="s">
        <v>235</v>
      </c>
      <c r="H325" s="141" t="s">
        <v>235</v>
      </c>
      <c r="I325" s="141" t="s">
        <v>235</v>
      </c>
      <c r="J325" s="141" t="s">
        <v>235</v>
      </c>
      <c r="K325" s="141" t="s">
        <v>235</v>
      </c>
      <c r="L325" s="141" t="s">
        <v>235</v>
      </c>
    </row>
    <row r="326" spans="1:12" ht="18" x14ac:dyDescent="0.3">
      <c r="A326" s="125">
        <f t="shared" si="11"/>
        <v>46547</v>
      </c>
      <c r="B326" s="140" t="str">
        <f t="shared" si="10"/>
        <v>Wednesday</v>
      </c>
      <c r="C326" s="141" t="s">
        <v>235</v>
      </c>
      <c r="D326" s="141" t="s">
        <v>235</v>
      </c>
      <c r="E326" s="141" t="s">
        <v>235</v>
      </c>
      <c r="F326" s="141" t="s">
        <v>235</v>
      </c>
      <c r="G326" s="141" t="s">
        <v>235</v>
      </c>
      <c r="H326" s="141" t="s">
        <v>235</v>
      </c>
      <c r="I326" s="141" t="s">
        <v>235</v>
      </c>
      <c r="J326" s="141" t="s">
        <v>235</v>
      </c>
      <c r="K326" s="141" t="s">
        <v>235</v>
      </c>
      <c r="L326" s="141" t="s">
        <v>235</v>
      </c>
    </row>
    <row r="327" spans="1:12" ht="18" x14ac:dyDescent="0.3">
      <c r="A327" s="125">
        <f t="shared" si="11"/>
        <v>46548</v>
      </c>
      <c r="B327" s="140" t="str">
        <f t="shared" si="10"/>
        <v>Thursday</v>
      </c>
      <c r="C327" s="141" t="s">
        <v>235</v>
      </c>
      <c r="D327" s="141" t="s">
        <v>235</v>
      </c>
      <c r="E327" s="141" t="s">
        <v>235</v>
      </c>
      <c r="F327" s="141" t="s">
        <v>235</v>
      </c>
      <c r="G327" s="141" t="s">
        <v>235</v>
      </c>
      <c r="H327" s="141" t="s">
        <v>235</v>
      </c>
      <c r="I327" s="141" t="s">
        <v>235</v>
      </c>
      <c r="J327" s="141" t="s">
        <v>235</v>
      </c>
      <c r="K327" s="141" t="s">
        <v>235</v>
      </c>
      <c r="L327" s="141" t="s">
        <v>235</v>
      </c>
    </row>
    <row r="328" spans="1:12" ht="18" x14ac:dyDescent="0.3">
      <c r="A328" s="125">
        <f t="shared" si="11"/>
        <v>46549</v>
      </c>
      <c r="B328" s="140" t="str">
        <f t="shared" si="10"/>
        <v>Friday</v>
      </c>
      <c r="C328" s="141" t="s">
        <v>235</v>
      </c>
      <c r="D328" s="141" t="s">
        <v>235</v>
      </c>
      <c r="E328" s="141" t="s">
        <v>235</v>
      </c>
      <c r="F328" s="141" t="s">
        <v>235</v>
      </c>
      <c r="G328" s="141" t="s">
        <v>235</v>
      </c>
      <c r="H328" s="141" t="s">
        <v>235</v>
      </c>
      <c r="I328" s="141" t="s">
        <v>235</v>
      </c>
      <c r="J328" s="141" t="s">
        <v>235</v>
      </c>
      <c r="K328" s="141" t="s">
        <v>235</v>
      </c>
      <c r="L328" s="141" t="s">
        <v>235</v>
      </c>
    </row>
    <row r="329" spans="1:12" ht="18" x14ac:dyDescent="0.3">
      <c r="A329" s="125">
        <f t="shared" si="11"/>
        <v>46550</v>
      </c>
      <c r="B329" s="140" t="str">
        <f t="shared" si="10"/>
        <v>Saturday</v>
      </c>
      <c r="C329" s="141" t="s">
        <v>235</v>
      </c>
      <c r="D329" s="141" t="s">
        <v>235</v>
      </c>
      <c r="E329" s="141" t="s">
        <v>235</v>
      </c>
      <c r="F329" s="141" t="s">
        <v>235</v>
      </c>
      <c r="G329" s="141" t="s">
        <v>235</v>
      </c>
      <c r="H329" s="141" t="s">
        <v>235</v>
      </c>
      <c r="I329" s="141" t="s">
        <v>235</v>
      </c>
      <c r="J329" s="141" t="s">
        <v>235</v>
      </c>
      <c r="K329" s="141" t="s">
        <v>235</v>
      </c>
      <c r="L329" s="141" t="s">
        <v>235</v>
      </c>
    </row>
    <row r="330" spans="1:12" ht="18" x14ac:dyDescent="0.3">
      <c r="A330" s="125">
        <f t="shared" si="11"/>
        <v>46551</v>
      </c>
      <c r="B330" s="140" t="str">
        <f t="shared" si="10"/>
        <v>Sunday</v>
      </c>
      <c r="C330" s="141" t="s">
        <v>235</v>
      </c>
      <c r="D330" s="141" t="s">
        <v>235</v>
      </c>
      <c r="E330" s="141" t="s">
        <v>235</v>
      </c>
      <c r="F330" s="141" t="s">
        <v>235</v>
      </c>
      <c r="G330" s="141" t="s">
        <v>235</v>
      </c>
      <c r="H330" s="141" t="s">
        <v>235</v>
      </c>
      <c r="I330" s="141" t="s">
        <v>235</v>
      </c>
      <c r="J330" s="141" t="s">
        <v>235</v>
      </c>
      <c r="K330" s="141" t="s">
        <v>235</v>
      </c>
      <c r="L330" s="141" t="s">
        <v>235</v>
      </c>
    </row>
    <row r="331" spans="1:12" ht="18" x14ac:dyDescent="0.3">
      <c r="A331" s="125">
        <f t="shared" si="11"/>
        <v>46552</v>
      </c>
      <c r="B331" s="140" t="str">
        <f t="shared" si="10"/>
        <v>Monday</v>
      </c>
      <c r="C331" s="141" t="s">
        <v>235</v>
      </c>
      <c r="D331" s="141" t="s">
        <v>235</v>
      </c>
      <c r="E331" s="141" t="s">
        <v>235</v>
      </c>
      <c r="F331" s="141" t="s">
        <v>235</v>
      </c>
      <c r="G331" s="141" t="s">
        <v>235</v>
      </c>
      <c r="H331" s="141" t="s">
        <v>235</v>
      </c>
      <c r="I331" s="141" t="s">
        <v>235</v>
      </c>
      <c r="J331" s="141" t="s">
        <v>235</v>
      </c>
      <c r="K331" s="141" t="s">
        <v>235</v>
      </c>
      <c r="L331" s="141" t="s">
        <v>235</v>
      </c>
    </row>
    <row r="332" spans="1:12" ht="18" x14ac:dyDescent="0.3">
      <c r="A332" s="125">
        <f t="shared" si="11"/>
        <v>46553</v>
      </c>
      <c r="B332" s="140" t="str">
        <f t="shared" si="10"/>
        <v>Tuesday</v>
      </c>
      <c r="C332" s="141" t="s">
        <v>235</v>
      </c>
      <c r="D332" s="141" t="s">
        <v>235</v>
      </c>
      <c r="E332" s="141" t="s">
        <v>235</v>
      </c>
      <c r="F332" s="141" t="s">
        <v>235</v>
      </c>
      <c r="G332" s="141" t="s">
        <v>235</v>
      </c>
      <c r="H332" s="141" t="s">
        <v>235</v>
      </c>
      <c r="I332" s="141" t="s">
        <v>235</v>
      </c>
      <c r="J332" s="141" t="s">
        <v>235</v>
      </c>
      <c r="K332" s="141" t="s">
        <v>235</v>
      </c>
      <c r="L332" s="141" t="s">
        <v>235</v>
      </c>
    </row>
    <row r="333" spans="1:12" ht="18" x14ac:dyDescent="0.3">
      <c r="A333" s="125">
        <f t="shared" si="11"/>
        <v>46554</v>
      </c>
      <c r="B333" s="140" t="str">
        <f t="shared" si="10"/>
        <v>Wednesday</v>
      </c>
      <c r="C333" s="141" t="s">
        <v>235</v>
      </c>
      <c r="D333" s="141" t="s">
        <v>235</v>
      </c>
      <c r="E333" s="141" t="s">
        <v>235</v>
      </c>
      <c r="F333" s="141" t="s">
        <v>235</v>
      </c>
      <c r="G333" s="141" t="s">
        <v>235</v>
      </c>
      <c r="H333" s="141" t="s">
        <v>235</v>
      </c>
      <c r="I333" s="141" t="s">
        <v>235</v>
      </c>
      <c r="J333" s="141" t="s">
        <v>235</v>
      </c>
      <c r="K333" s="141" t="s">
        <v>235</v>
      </c>
      <c r="L333" s="141" t="s">
        <v>235</v>
      </c>
    </row>
    <row r="334" spans="1:12" ht="18" x14ac:dyDescent="0.3">
      <c r="A334" s="125">
        <f t="shared" si="11"/>
        <v>46555</v>
      </c>
      <c r="B334" s="140" t="str">
        <f t="shared" si="10"/>
        <v>Thursday</v>
      </c>
      <c r="C334" s="141" t="s">
        <v>235</v>
      </c>
      <c r="D334" s="141" t="s">
        <v>235</v>
      </c>
      <c r="E334" s="141" t="s">
        <v>235</v>
      </c>
      <c r="F334" s="141" t="s">
        <v>235</v>
      </c>
      <c r="G334" s="141" t="s">
        <v>235</v>
      </c>
      <c r="H334" s="141" t="s">
        <v>235</v>
      </c>
      <c r="I334" s="141" t="s">
        <v>235</v>
      </c>
      <c r="J334" s="141" t="s">
        <v>235</v>
      </c>
      <c r="K334" s="141" t="s">
        <v>235</v>
      </c>
      <c r="L334" s="141" t="s">
        <v>235</v>
      </c>
    </row>
    <row r="335" spans="1:12" ht="18" x14ac:dyDescent="0.3">
      <c r="A335" s="125">
        <f t="shared" si="11"/>
        <v>46556</v>
      </c>
      <c r="B335" s="140" t="str">
        <f t="shared" si="10"/>
        <v>Friday</v>
      </c>
      <c r="C335" s="141" t="s">
        <v>235</v>
      </c>
      <c r="D335" s="141" t="s">
        <v>235</v>
      </c>
      <c r="E335" s="141" t="s">
        <v>235</v>
      </c>
      <c r="F335" s="141" t="s">
        <v>235</v>
      </c>
      <c r="G335" s="141" t="s">
        <v>235</v>
      </c>
      <c r="H335" s="141" t="s">
        <v>235</v>
      </c>
      <c r="I335" s="141" t="s">
        <v>235</v>
      </c>
      <c r="J335" s="141" t="s">
        <v>235</v>
      </c>
      <c r="K335" s="141" t="s">
        <v>235</v>
      </c>
      <c r="L335" s="141" t="s">
        <v>235</v>
      </c>
    </row>
    <row r="336" spans="1:12" ht="18" x14ac:dyDescent="0.3">
      <c r="A336" s="125">
        <f t="shared" si="11"/>
        <v>46557</v>
      </c>
      <c r="B336" s="140" t="str">
        <f t="shared" si="10"/>
        <v>Saturday</v>
      </c>
      <c r="C336" s="141" t="s">
        <v>235</v>
      </c>
      <c r="D336" s="141" t="s">
        <v>235</v>
      </c>
      <c r="E336" s="141" t="s">
        <v>235</v>
      </c>
      <c r="F336" s="141" t="s">
        <v>235</v>
      </c>
      <c r="G336" s="141" t="s">
        <v>235</v>
      </c>
      <c r="H336" s="141" t="s">
        <v>235</v>
      </c>
      <c r="I336" s="141" t="s">
        <v>235</v>
      </c>
      <c r="J336" s="141" t="s">
        <v>235</v>
      </c>
      <c r="K336" s="141" t="s">
        <v>235</v>
      </c>
      <c r="L336" s="141" t="s">
        <v>235</v>
      </c>
    </row>
    <row r="337" spans="1:12" ht="18" x14ac:dyDescent="0.3">
      <c r="A337" s="125">
        <f t="shared" si="11"/>
        <v>46558</v>
      </c>
      <c r="B337" s="140" t="str">
        <f t="shared" si="10"/>
        <v>Sunday</v>
      </c>
      <c r="C337" s="141" t="s">
        <v>235</v>
      </c>
      <c r="D337" s="141" t="s">
        <v>235</v>
      </c>
      <c r="E337" s="141" t="s">
        <v>235</v>
      </c>
      <c r="F337" s="141" t="s">
        <v>235</v>
      </c>
      <c r="G337" s="141" t="s">
        <v>235</v>
      </c>
      <c r="H337" s="141" t="s">
        <v>235</v>
      </c>
      <c r="I337" s="141" t="s">
        <v>235</v>
      </c>
      <c r="J337" s="141" t="s">
        <v>235</v>
      </c>
      <c r="K337" s="141" t="s">
        <v>235</v>
      </c>
      <c r="L337" s="141" t="s">
        <v>235</v>
      </c>
    </row>
    <row r="338" spans="1:12" ht="18" x14ac:dyDescent="0.3">
      <c r="A338" s="125">
        <f t="shared" si="11"/>
        <v>46559</v>
      </c>
      <c r="B338" s="140" t="str">
        <f t="shared" si="10"/>
        <v>Monday</v>
      </c>
      <c r="C338" s="141" t="s">
        <v>235</v>
      </c>
      <c r="D338" s="141" t="s">
        <v>235</v>
      </c>
      <c r="E338" s="141" t="s">
        <v>235</v>
      </c>
      <c r="F338" s="141" t="s">
        <v>235</v>
      </c>
      <c r="G338" s="141" t="s">
        <v>235</v>
      </c>
      <c r="H338" s="141" t="s">
        <v>235</v>
      </c>
      <c r="I338" s="141" t="s">
        <v>235</v>
      </c>
      <c r="J338" s="141" t="s">
        <v>235</v>
      </c>
      <c r="K338" s="141" t="s">
        <v>235</v>
      </c>
      <c r="L338" s="141" t="s">
        <v>235</v>
      </c>
    </row>
    <row r="339" spans="1:12" ht="18" x14ac:dyDescent="0.3">
      <c r="A339" s="125">
        <f t="shared" si="11"/>
        <v>46560</v>
      </c>
      <c r="B339" s="140" t="str">
        <f t="shared" si="10"/>
        <v>Tuesday</v>
      </c>
      <c r="C339" s="141" t="s">
        <v>235</v>
      </c>
      <c r="D339" s="141" t="s">
        <v>235</v>
      </c>
      <c r="E339" s="141" t="s">
        <v>235</v>
      </c>
      <c r="F339" s="141" t="s">
        <v>235</v>
      </c>
      <c r="G339" s="141" t="s">
        <v>235</v>
      </c>
      <c r="H339" s="141" t="s">
        <v>235</v>
      </c>
      <c r="I339" s="141" t="s">
        <v>235</v>
      </c>
      <c r="J339" s="141" t="s">
        <v>235</v>
      </c>
      <c r="K339" s="141" t="s">
        <v>235</v>
      </c>
      <c r="L339" s="141" t="s">
        <v>235</v>
      </c>
    </row>
    <row r="340" spans="1:12" ht="18" x14ac:dyDescent="0.3">
      <c r="A340" s="125">
        <f t="shared" si="11"/>
        <v>46561</v>
      </c>
      <c r="B340" s="140" t="str">
        <f t="shared" si="10"/>
        <v>Wednesday</v>
      </c>
      <c r="C340" s="141" t="s">
        <v>235</v>
      </c>
      <c r="D340" s="141" t="s">
        <v>235</v>
      </c>
      <c r="E340" s="141" t="s">
        <v>235</v>
      </c>
      <c r="F340" s="141" t="s">
        <v>235</v>
      </c>
      <c r="G340" s="141" t="s">
        <v>235</v>
      </c>
      <c r="H340" s="141" t="s">
        <v>235</v>
      </c>
      <c r="I340" s="141" t="s">
        <v>235</v>
      </c>
      <c r="J340" s="141" t="s">
        <v>235</v>
      </c>
      <c r="K340" s="141" t="s">
        <v>235</v>
      </c>
      <c r="L340" s="141" t="s">
        <v>235</v>
      </c>
    </row>
    <row r="341" spans="1:12" ht="18" x14ac:dyDescent="0.3">
      <c r="A341" s="125">
        <f t="shared" si="11"/>
        <v>46562</v>
      </c>
      <c r="B341" s="140" t="str">
        <f t="shared" si="10"/>
        <v>Thursday</v>
      </c>
      <c r="C341" s="141" t="s">
        <v>235</v>
      </c>
      <c r="D341" s="141" t="s">
        <v>235</v>
      </c>
      <c r="E341" s="141" t="s">
        <v>235</v>
      </c>
      <c r="F341" s="141" t="s">
        <v>235</v>
      </c>
      <c r="G341" s="141" t="s">
        <v>235</v>
      </c>
      <c r="H341" s="141" t="s">
        <v>235</v>
      </c>
      <c r="I341" s="141" t="s">
        <v>235</v>
      </c>
      <c r="J341" s="141" t="s">
        <v>235</v>
      </c>
      <c r="K341" s="141" t="s">
        <v>235</v>
      </c>
      <c r="L341" s="141" t="s">
        <v>235</v>
      </c>
    </row>
    <row r="342" spans="1:12" ht="18" x14ac:dyDescent="0.3">
      <c r="A342" s="125">
        <f t="shared" si="11"/>
        <v>46563</v>
      </c>
      <c r="B342" s="140" t="str">
        <f t="shared" si="10"/>
        <v>Friday</v>
      </c>
      <c r="C342" s="141" t="s">
        <v>235</v>
      </c>
      <c r="D342" s="141" t="s">
        <v>235</v>
      </c>
      <c r="E342" s="141" t="s">
        <v>235</v>
      </c>
      <c r="F342" s="141" t="s">
        <v>235</v>
      </c>
      <c r="G342" s="141" t="s">
        <v>235</v>
      </c>
      <c r="H342" s="141" t="s">
        <v>235</v>
      </c>
      <c r="I342" s="141" t="s">
        <v>235</v>
      </c>
      <c r="J342" s="141" t="s">
        <v>235</v>
      </c>
      <c r="K342" s="141" t="s">
        <v>235</v>
      </c>
      <c r="L342" s="141" t="s">
        <v>235</v>
      </c>
    </row>
    <row r="343" spans="1:12" ht="18" x14ac:dyDescent="0.3">
      <c r="A343" s="125">
        <f t="shared" si="11"/>
        <v>46564</v>
      </c>
      <c r="B343" s="140" t="str">
        <f t="shared" si="10"/>
        <v>Saturday</v>
      </c>
      <c r="C343" s="141" t="s">
        <v>235</v>
      </c>
      <c r="D343" s="141" t="s">
        <v>235</v>
      </c>
      <c r="E343" s="141" t="s">
        <v>235</v>
      </c>
      <c r="F343" s="141" t="s">
        <v>235</v>
      </c>
      <c r="G343" s="141" t="s">
        <v>235</v>
      </c>
      <c r="H343" s="141" t="s">
        <v>235</v>
      </c>
      <c r="I343" s="141" t="s">
        <v>235</v>
      </c>
      <c r="J343" s="141" t="s">
        <v>235</v>
      </c>
      <c r="K343" s="141" t="s">
        <v>235</v>
      </c>
      <c r="L343" s="141" t="s">
        <v>235</v>
      </c>
    </row>
    <row r="344" spans="1:12" ht="18" x14ac:dyDescent="0.3">
      <c r="A344" s="125">
        <f t="shared" si="11"/>
        <v>46565</v>
      </c>
      <c r="B344" s="140" t="str">
        <f t="shared" si="10"/>
        <v>Sunday</v>
      </c>
      <c r="C344" s="141" t="s">
        <v>235</v>
      </c>
      <c r="D344" s="141" t="s">
        <v>235</v>
      </c>
      <c r="E344" s="141" t="s">
        <v>235</v>
      </c>
      <c r="F344" s="141" t="s">
        <v>235</v>
      </c>
      <c r="G344" s="141" t="s">
        <v>235</v>
      </c>
      <c r="H344" s="141" t="s">
        <v>235</v>
      </c>
      <c r="I344" s="141" t="s">
        <v>235</v>
      </c>
      <c r="J344" s="141" t="s">
        <v>235</v>
      </c>
      <c r="K344" s="141" t="s">
        <v>235</v>
      </c>
      <c r="L344" s="141" t="s">
        <v>235</v>
      </c>
    </row>
    <row r="345" spans="1:12" ht="18" x14ac:dyDescent="0.3">
      <c r="A345" s="125">
        <f t="shared" si="11"/>
        <v>46566</v>
      </c>
      <c r="B345" s="140" t="str">
        <f t="shared" si="10"/>
        <v>Monday</v>
      </c>
      <c r="C345" s="141" t="s">
        <v>235</v>
      </c>
      <c r="D345" s="141" t="s">
        <v>235</v>
      </c>
      <c r="E345" s="141" t="s">
        <v>235</v>
      </c>
      <c r="F345" s="141" t="s">
        <v>235</v>
      </c>
      <c r="G345" s="141" t="s">
        <v>235</v>
      </c>
      <c r="H345" s="141" t="s">
        <v>235</v>
      </c>
      <c r="I345" s="141" t="s">
        <v>235</v>
      </c>
      <c r="J345" s="141" t="s">
        <v>235</v>
      </c>
      <c r="K345" s="141" t="s">
        <v>235</v>
      </c>
      <c r="L345" s="141" t="s">
        <v>235</v>
      </c>
    </row>
    <row r="346" spans="1:12" ht="18" x14ac:dyDescent="0.3">
      <c r="A346" s="125">
        <f t="shared" si="11"/>
        <v>46567</v>
      </c>
      <c r="B346" s="140" t="str">
        <f t="shared" si="10"/>
        <v>Tuesday</v>
      </c>
      <c r="C346" s="141" t="s">
        <v>235</v>
      </c>
      <c r="D346" s="141" t="s">
        <v>235</v>
      </c>
      <c r="E346" s="141" t="s">
        <v>235</v>
      </c>
      <c r="F346" s="141" t="s">
        <v>235</v>
      </c>
      <c r="G346" s="141" t="s">
        <v>235</v>
      </c>
      <c r="H346" s="141" t="s">
        <v>235</v>
      </c>
      <c r="I346" s="141" t="s">
        <v>235</v>
      </c>
      <c r="J346" s="141" t="s">
        <v>235</v>
      </c>
      <c r="K346" s="141" t="s">
        <v>235</v>
      </c>
      <c r="L346" s="141" t="s">
        <v>235</v>
      </c>
    </row>
    <row r="347" spans="1:12" ht="18" x14ac:dyDescent="0.3">
      <c r="A347" s="125">
        <f t="shared" si="11"/>
        <v>46568</v>
      </c>
      <c r="B347" s="140" t="str">
        <f t="shared" si="10"/>
        <v>Wednesday</v>
      </c>
      <c r="C347" s="141" t="s">
        <v>235</v>
      </c>
      <c r="D347" s="141" t="s">
        <v>235</v>
      </c>
      <c r="E347" s="141" t="s">
        <v>235</v>
      </c>
      <c r="F347" s="141" t="s">
        <v>235</v>
      </c>
      <c r="G347" s="141" t="s">
        <v>235</v>
      </c>
      <c r="H347" s="141" t="s">
        <v>235</v>
      </c>
      <c r="I347" s="141" t="s">
        <v>235</v>
      </c>
      <c r="J347" s="141" t="s">
        <v>235</v>
      </c>
      <c r="K347" s="141" t="s">
        <v>235</v>
      </c>
      <c r="L347" s="141" t="s">
        <v>235</v>
      </c>
    </row>
    <row r="348" spans="1:12" ht="18" x14ac:dyDescent="0.3">
      <c r="A348" s="125">
        <f t="shared" si="11"/>
        <v>46569</v>
      </c>
      <c r="B348" s="140" t="str">
        <f t="shared" si="10"/>
        <v>Thursday</v>
      </c>
      <c r="C348" s="141" t="s">
        <v>235</v>
      </c>
      <c r="D348" s="141" t="s">
        <v>235</v>
      </c>
      <c r="E348" s="141" t="s">
        <v>235</v>
      </c>
      <c r="F348" s="141" t="s">
        <v>235</v>
      </c>
      <c r="G348" s="141" t="s">
        <v>235</v>
      </c>
      <c r="H348" s="141" t="s">
        <v>235</v>
      </c>
      <c r="I348" s="141" t="s">
        <v>235</v>
      </c>
      <c r="J348" s="141" t="s">
        <v>235</v>
      </c>
      <c r="K348" s="141" t="s">
        <v>235</v>
      </c>
      <c r="L348" s="141" t="s">
        <v>235</v>
      </c>
    </row>
    <row r="349" spans="1:12" ht="18" x14ac:dyDescent="0.3">
      <c r="A349" s="125">
        <f t="shared" si="11"/>
        <v>46570</v>
      </c>
      <c r="B349" s="140" t="str">
        <f t="shared" si="10"/>
        <v>Friday</v>
      </c>
      <c r="C349" s="141" t="s">
        <v>235</v>
      </c>
      <c r="D349" s="141" t="s">
        <v>235</v>
      </c>
      <c r="E349" s="141" t="s">
        <v>235</v>
      </c>
      <c r="F349" s="141" t="s">
        <v>235</v>
      </c>
      <c r="G349" s="141" t="s">
        <v>235</v>
      </c>
      <c r="H349" s="141" t="s">
        <v>235</v>
      </c>
      <c r="I349" s="141" t="s">
        <v>235</v>
      </c>
      <c r="J349" s="141" t="s">
        <v>235</v>
      </c>
      <c r="K349" s="141" t="s">
        <v>235</v>
      </c>
      <c r="L349" s="141" t="s">
        <v>235</v>
      </c>
    </row>
    <row r="350" spans="1:12" ht="18" x14ac:dyDescent="0.3">
      <c r="A350" s="125">
        <f t="shared" si="11"/>
        <v>46571</v>
      </c>
      <c r="B350" s="140" t="str">
        <f t="shared" si="10"/>
        <v>Saturday</v>
      </c>
      <c r="C350" s="141" t="s">
        <v>235</v>
      </c>
      <c r="D350" s="141" t="s">
        <v>235</v>
      </c>
      <c r="E350" s="141" t="s">
        <v>235</v>
      </c>
      <c r="F350" s="141" t="s">
        <v>235</v>
      </c>
      <c r="G350" s="141" t="s">
        <v>235</v>
      </c>
      <c r="H350" s="141" t="s">
        <v>235</v>
      </c>
      <c r="I350" s="141" t="s">
        <v>235</v>
      </c>
      <c r="J350" s="141" t="s">
        <v>235</v>
      </c>
      <c r="K350" s="141" t="s">
        <v>235</v>
      </c>
      <c r="L350" s="141" t="s">
        <v>235</v>
      </c>
    </row>
    <row r="351" spans="1:12" ht="18" x14ac:dyDescent="0.3">
      <c r="A351" s="125">
        <f t="shared" si="11"/>
        <v>46572</v>
      </c>
      <c r="B351" s="140" t="str">
        <f t="shared" si="10"/>
        <v>Sunday</v>
      </c>
      <c r="C351" s="141" t="s">
        <v>235</v>
      </c>
      <c r="D351" s="141" t="s">
        <v>235</v>
      </c>
      <c r="E351" s="141" t="s">
        <v>235</v>
      </c>
      <c r="F351" s="141" t="s">
        <v>235</v>
      </c>
      <c r="G351" s="141" t="s">
        <v>235</v>
      </c>
      <c r="H351" s="141" t="s">
        <v>235</v>
      </c>
      <c r="I351" s="141" t="s">
        <v>235</v>
      </c>
      <c r="J351" s="141" t="s">
        <v>235</v>
      </c>
      <c r="K351" s="141" t="s">
        <v>235</v>
      </c>
      <c r="L351" s="141" t="s">
        <v>235</v>
      </c>
    </row>
    <row r="352" spans="1:12" ht="18" x14ac:dyDescent="0.3">
      <c r="A352" s="125">
        <f t="shared" si="11"/>
        <v>46573</v>
      </c>
      <c r="B352" s="140" t="str">
        <f t="shared" si="10"/>
        <v>Monday</v>
      </c>
      <c r="C352" s="141" t="s">
        <v>235</v>
      </c>
      <c r="D352" s="141" t="s">
        <v>235</v>
      </c>
      <c r="E352" s="141" t="s">
        <v>235</v>
      </c>
      <c r="F352" s="141" t="s">
        <v>235</v>
      </c>
      <c r="G352" s="141" t="s">
        <v>235</v>
      </c>
      <c r="H352" s="141" t="s">
        <v>235</v>
      </c>
      <c r="I352" s="141" t="s">
        <v>235</v>
      </c>
      <c r="J352" s="141" t="s">
        <v>235</v>
      </c>
      <c r="K352" s="141" t="s">
        <v>235</v>
      </c>
      <c r="L352" s="141" t="s">
        <v>235</v>
      </c>
    </row>
    <row r="353" spans="1:12" ht="18" x14ac:dyDescent="0.3">
      <c r="A353" s="125">
        <f t="shared" si="11"/>
        <v>46574</v>
      </c>
      <c r="B353" s="140" t="str">
        <f t="shared" si="10"/>
        <v>Tuesday</v>
      </c>
      <c r="C353" s="141" t="s">
        <v>235</v>
      </c>
      <c r="D353" s="141" t="s">
        <v>235</v>
      </c>
      <c r="E353" s="141" t="s">
        <v>235</v>
      </c>
      <c r="F353" s="141" t="s">
        <v>235</v>
      </c>
      <c r="G353" s="141" t="s">
        <v>235</v>
      </c>
      <c r="H353" s="141" t="s">
        <v>235</v>
      </c>
      <c r="I353" s="141" t="s">
        <v>235</v>
      </c>
      <c r="J353" s="141" t="s">
        <v>235</v>
      </c>
      <c r="K353" s="141" t="s">
        <v>235</v>
      </c>
      <c r="L353" s="141" t="s">
        <v>235</v>
      </c>
    </row>
    <row r="354" spans="1:12" ht="18" x14ac:dyDescent="0.3">
      <c r="A354" s="125">
        <f t="shared" si="11"/>
        <v>46575</v>
      </c>
      <c r="B354" s="140" t="str">
        <f t="shared" si="10"/>
        <v>Wednesday</v>
      </c>
      <c r="C354" s="141" t="s">
        <v>235</v>
      </c>
      <c r="D354" s="141" t="s">
        <v>235</v>
      </c>
      <c r="E354" s="141" t="s">
        <v>235</v>
      </c>
      <c r="F354" s="141" t="s">
        <v>235</v>
      </c>
      <c r="G354" s="141" t="s">
        <v>235</v>
      </c>
      <c r="H354" s="141" t="s">
        <v>235</v>
      </c>
      <c r="I354" s="141" t="s">
        <v>235</v>
      </c>
      <c r="J354" s="141" t="s">
        <v>235</v>
      </c>
      <c r="K354" s="141" t="s">
        <v>235</v>
      </c>
      <c r="L354" s="141" t="s">
        <v>235</v>
      </c>
    </row>
    <row r="355" spans="1:12" ht="18" x14ac:dyDescent="0.3">
      <c r="A355" s="125">
        <f t="shared" si="11"/>
        <v>46576</v>
      </c>
      <c r="B355" s="140" t="str">
        <f t="shared" si="10"/>
        <v>Thursday</v>
      </c>
      <c r="C355" s="141" t="s">
        <v>235</v>
      </c>
      <c r="D355" s="141" t="s">
        <v>235</v>
      </c>
      <c r="E355" s="141" t="s">
        <v>235</v>
      </c>
      <c r="F355" s="141" t="s">
        <v>235</v>
      </c>
      <c r="G355" s="141" t="s">
        <v>235</v>
      </c>
      <c r="H355" s="141" t="s">
        <v>235</v>
      </c>
      <c r="I355" s="141" t="s">
        <v>235</v>
      </c>
      <c r="J355" s="141" t="s">
        <v>235</v>
      </c>
      <c r="K355" s="141" t="s">
        <v>235</v>
      </c>
      <c r="L355" s="141" t="s">
        <v>235</v>
      </c>
    </row>
    <row r="356" spans="1:12" ht="18" x14ac:dyDescent="0.3">
      <c r="A356" s="125">
        <f t="shared" si="11"/>
        <v>46577</v>
      </c>
      <c r="B356" s="140" t="str">
        <f t="shared" si="10"/>
        <v>Friday</v>
      </c>
      <c r="C356" s="141" t="s">
        <v>235</v>
      </c>
      <c r="D356" s="141" t="s">
        <v>235</v>
      </c>
      <c r="E356" s="141" t="s">
        <v>235</v>
      </c>
      <c r="F356" s="141" t="s">
        <v>235</v>
      </c>
      <c r="G356" s="141" t="s">
        <v>235</v>
      </c>
      <c r="H356" s="141" t="s">
        <v>235</v>
      </c>
      <c r="I356" s="141" t="s">
        <v>235</v>
      </c>
      <c r="J356" s="141" t="s">
        <v>235</v>
      </c>
      <c r="K356" s="141" t="s">
        <v>235</v>
      </c>
      <c r="L356" s="141" t="s">
        <v>235</v>
      </c>
    </row>
    <row r="357" spans="1:12" ht="18" x14ac:dyDescent="0.3">
      <c r="A357" s="125">
        <f t="shared" si="11"/>
        <v>46578</v>
      </c>
      <c r="B357" s="140" t="str">
        <f t="shared" si="10"/>
        <v>Saturday</v>
      </c>
      <c r="C357" s="141" t="s">
        <v>235</v>
      </c>
      <c r="D357" s="141" t="s">
        <v>235</v>
      </c>
      <c r="E357" s="141" t="s">
        <v>235</v>
      </c>
      <c r="F357" s="141" t="s">
        <v>235</v>
      </c>
      <c r="G357" s="141" t="s">
        <v>235</v>
      </c>
      <c r="H357" s="141" t="s">
        <v>235</v>
      </c>
      <c r="I357" s="141" t="s">
        <v>235</v>
      </c>
      <c r="J357" s="141" t="s">
        <v>235</v>
      </c>
      <c r="K357" s="141" t="s">
        <v>235</v>
      </c>
      <c r="L357" s="141" t="s">
        <v>235</v>
      </c>
    </row>
    <row r="358" spans="1:12" ht="18" x14ac:dyDescent="0.3">
      <c r="A358" s="125">
        <f t="shared" si="11"/>
        <v>46579</v>
      </c>
      <c r="B358" s="140" t="str">
        <f t="shared" si="10"/>
        <v>Sunday</v>
      </c>
      <c r="C358" s="141" t="s">
        <v>235</v>
      </c>
      <c r="D358" s="141" t="s">
        <v>235</v>
      </c>
      <c r="E358" s="141" t="s">
        <v>235</v>
      </c>
      <c r="F358" s="141" t="s">
        <v>235</v>
      </c>
      <c r="G358" s="141" t="s">
        <v>235</v>
      </c>
      <c r="H358" s="141" t="s">
        <v>235</v>
      </c>
      <c r="I358" s="141" t="s">
        <v>235</v>
      </c>
      <c r="J358" s="141" t="s">
        <v>235</v>
      </c>
      <c r="K358" s="141" t="s">
        <v>235</v>
      </c>
      <c r="L358" s="141" t="s">
        <v>235</v>
      </c>
    </row>
    <row r="359" spans="1:12" ht="18" x14ac:dyDescent="0.3">
      <c r="A359" s="125">
        <f t="shared" si="11"/>
        <v>46580</v>
      </c>
      <c r="B359" s="140" t="str">
        <f t="shared" si="10"/>
        <v>Monday</v>
      </c>
      <c r="C359" s="141" t="s">
        <v>235</v>
      </c>
      <c r="D359" s="141" t="s">
        <v>235</v>
      </c>
      <c r="E359" s="141" t="s">
        <v>235</v>
      </c>
      <c r="F359" s="141" t="s">
        <v>235</v>
      </c>
      <c r="G359" s="141" t="s">
        <v>235</v>
      </c>
      <c r="H359" s="141" t="s">
        <v>235</v>
      </c>
      <c r="I359" s="141" t="s">
        <v>235</v>
      </c>
      <c r="J359" s="141" t="s">
        <v>235</v>
      </c>
      <c r="K359" s="141" t="s">
        <v>235</v>
      </c>
      <c r="L359" s="141" t="s">
        <v>235</v>
      </c>
    </row>
    <row r="360" spans="1:12" ht="18" x14ac:dyDescent="0.3">
      <c r="A360" s="125">
        <f t="shared" si="11"/>
        <v>46581</v>
      </c>
      <c r="B360" s="140" t="str">
        <f t="shared" si="10"/>
        <v>Tuesday</v>
      </c>
      <c r="C360" s="141" t="s">
        <v>235</v>
      </c>
      <c r="D360" s="141" t="s">
        <v>235</v>
      </c>
      <c r="E360" s="141" t="s">
        <v>235</v>
      </c>
      <c r="F360" s="141" t="s">
        <v>235</v>
      </c>
      <c r="G360" s="141" t="s">
        <v>235</v>
      </c>
      <c r="H360" s="141" t="s">
        <v>235</v>
      </c>
      <c r="I360" s="141" t="s">
        <v>235</v>
      </c>
      <c r="J360" s="141" t="s">
        <v>235</v>
      </c>
      <c r="K360" s="141" t="s">
        <v>235</v>
      </c>
      <c r="L360" s="141" t="s">
        <v>235</v>
      </c>
    </row>
    <row r="361" spans="1:12" ht="18" x14ac:dyDescent="0.3">
      <c r="A361" s="125">
        <f t="shared" si="11"/>
        <v>46582</v>
      </c>
      <c r="B361" s="140" t="str">
        <f t="shared" si="10"/>
        <v>Wednesday</v>
      </c>
      <c r="C361" s="141" t="s">
        <v>235</v>
      </c>
      <c r="D361" s="141" t="s">
        <v>235</v>
      </c>
      <c r="E361" s="141" t="s">
        <v>235</v>
      </c>
      <c r="F361" s="141" t="s">
        <v>235</v>
      </c>
      <c r="G361" s="141" t="s">
        <v>235</v>
      </c>
      <c r="H361" s="141" t="s">
        <v>235</v>
      </c>
      <c r="I361" s="141" t="s">
        <v>235</v>
      </c>
      <c r="J361" s="141" t="s">
        <v>235</v>
      </c>
      <c r="K361" s="141" t="s">
        <v>235</v>
      </c>
      <c r="L361" s="141" t="s">
        <v>235</v>
      </c>
    </row>
    <row r="362" spans="1:12" ht="18" x14ac:dyDescent="0.3">
      <c r="A362" s="125">
        <f t="shared" si="11"/>
        <v>46583</v>
      </c>
      <c r="B362" s="140" t="str">
        <f t="shared" si="10"/>
        <v>Thursday</v>
      </c>
      <c r="C362" s="141" t="s">
        <v>235</v>
      </c>
      <c r="D362" s="141" t="s">
        <v>235</v>
      </c>
      <c r="E362" s="141" t="s">
        <v>235</v>
      </c>
      <c r="F362" s="141" t="s">
        <v>235</v>
      </c>
      <c r="G362" s="141" t="s">
        <v>235</v>
      </c>
      <c r="H362" s="141" t="s">
        <v>235</v>
      </c>
      <c r="I362" s="141" t="s">
        <v>235</v>
      </c>
      <c r="J362" s="141" t="s">
        <v>235</v>
      </c>
      <c r="K362" s="141" t="s">
        <v>235</v>
      </c>
      <c r="L362" s="141" t="s">
        <v>235</v>
      </c>
    </row>
    <row r="363" spans="1:12" ht="18" x14ac:dyDescent="0.3">
      <c r="A363" s="125">
        <f t="shared" si="11"/>
        <v>46584</v>
      </c>
      <c r="B363" s="140" t="str">
        <f t="shared" si="10"/>
        <v>Friday</v>
      </c>
      <c r="C363" s="141" t="s">
        <v>235</v>
      </c>
      <c r="D363" s="141" t="s">
        <v>235</v>
      </c>
      <c r="E363" s="141" t="s">
        <v>235</v>
      </c>
      <c r="F363" s="141" t="s">
        <v>235</v>
      </c>
      <c r="G363" s="141" t="s">
        <v>235</v>
      </c>
      <c r="H363" s="141" t="s">
        <v>235</v>
      </c>
      <c r="I363" s="141" t="s">
        <v>235</v>
      </c>
      <c r="J363" s="141" t="s">
        <v>235</v>
      </c>
      <c r="K363" s="141" t="s">
        <v>235</v>
      </c>
      <c r="L363" s="141" t="s">
        <v>235</v>
      </c>
    </row>
    <row r="364" spans="1:12" ht="18" x14ac:dyDescent="0.3">
      <c r="A364" s="125">
        <f t="shared" si="11"/>
        <v>46585</v>
      </c>
      <c r="B364" s="140" t="str">
        <f t="shared" si="10"/>
        <v>Saturday</v>
      </c>
      <c r="C364" s="141" t="s">
        <v>235</v>
      </c>
      <c r="D364" s="141" t="s">
        <v>235</v>
      </c>
      <c r="E364" s="141" t="s">
        <v>235</v>
      </c>
      <c r="F364" s="141" t="s">
        <v>235</v>
      </c>
      <c r="G364" s="141" t="s">
        <v>235</v>
      </c>
      <c r="H364" s="141" t="s">
        <v>235</v>
      </c>
      <c r="I364" s="141" t="s">
        <v>235</v>
      </c>
      <c r="J364" s="141" t="s">
        <v>235</v>
      </c>
      <c r="K364" s="141" t="s">
        <v>235</v>
      </c>
      <c r="L364" s="141" t="s">
        <v>235</v>
      </c>
    </row>
    <row r="365" spans="1:12" ht="18" x14ac:dyDescent="0.3">
      <c r="A365" s="125">
        <f t="shared" si="11"/>
        <v>46586</v>
      </c>
      <c r="B365" s="140" t="str">
        <f t="shared" si="10"/>
        <v>Sunday</v>
      </c>
      <c r="C365" s="141" t="s">
        <v>235</v>
      </c>
      <c r="D365" s="141" t="s">
        <v>235</v>
      </c>
      <c r="E365" s="141" t="s">
        <v>235</v>
      </c>
      <c r="F365" s="141" t="s">
        <v>235</v>
      </c>
      <c r="G365" s="141" t="s">
        <v>235</v>
      </c>
      <c r="H365" s="141" t="s">
        <v>235</v>
      </c>
      <c r="I365" s="141" t="s">
        <v>235</v>
      </c>
      <c r="J365" s="141" t="s">
        <v>235</v>
      </c>
      <c r="K365" s="141" t="s">
        <v>235</v>
      </c>
      <c r="L365" s="141" t="s">
        <v>235</v>
      </c>
    </row>
    <row r="366" spans="1:12" ht="18" x14ac:dyDescent="0.3">
      <c r="A366" s="125">
        <f t="shared" si="11"/>
        <v>46587</v>
      </c>
      <c r="B366" s="140" t="str">
        <f t="shared" si="10"/>
        <v>Monday</v>
      </c>
      <c r="C366" s="141" t="s">
        <v>235</v>
      </c>
      <c r="D366" s="141" t="s">
        <v>235</v>
      </c>
      <c r="E366" s="141" t="s">
        <v>235</v>
      </c>
      <c r="F366" s="141" t="s">
        <v>235</v>
      </c>
      <c r="G366" s="141" t="s">
        <v>235</v>
      </c>
      <c r="H366" s="141" t="s">
        <v>235</v>
      </c>
      <c r="I366" s="141" t="s">
        <v>235</v>
      </c>
      <c r="J366" s="141" t="s">
        <v>235</v>
      </c>
      <c r="K366" s="141" t="s">
        <v>235</v>
      </c>
      <c r="L366" s="141" t="s">
        <v>235</v>
      </c>
    </row>
    <row r="367" spans="1:12" ht="18" x14ac:dyDescent="0.3">
      <c r="A367" s="125">
        <f t="shared" si="11"/>
        <v>46588</v>
      </c>
      <c r="B367" s="140" t="str">
        <f t="shared" si="10"/>
        <v>Tuesday</v>
      </c>
      <c r="C367" s="141" t="s">
        <v>235</v>
      </c>
      <c r="D367" s="141" t="s">
        <v>235</v>
      </c>
      <c r="E367" s="141" t="s">
        <v>235</v>
      </c>
      <c r="F367" s="141" t="s">
        <v>235</v>
      </c>
      <c r="G367" s="141" t="s">
        <v>235</v>
      </c>
      <c r="H367" s="141" t="s">
        <v>235</v>
      </c>
      <c r="I367" s="141" t="s">
        <v>235</v>
      </c>
      <c r="J367" s="141" t="s">
        <v>235</v>
      </c>
      <c r="K367" s="141" t="s">
        <v>235</v>
      </c>
      <c r="L367" s="141" t="s">
        <v>235</v>
      </c>
    </row>
    <row r="368" spans="1:12" ht="18" x14ac:dyDescent="0.3">
      <c r="A368" s="125">
        <f t="shared" si="11"/>
        <v>46589</v>
      </c>
      <c r="B368" s="140" t="str">
        <f t="shared" si="10"/>
        <v>Wednesday</v>
      </c>
      <c r="C368" s="141" t="s">
        <v>235</v>
      </c>
      <c r="D368" s="141" t="s">
        <v>235</v>
      </c>
      <c r="E368" s="141" t="s">
        <v>235</v>
      </c>
      <c r="F368" s="141" t="s">
        <v>235</v>
      </c>
      <c r="G368" s="141" t="s">
        <v>235</v>
      </c>
      <c r="H368" s="141" t="s">
        <v>235</v>
      </c>
      <c r="I368" s="141" t="s">
        <v>235</v>
      </c>
      <c r="J368" s="141" t="s">
        <v>235</v>
      </c>
      <c r="K368" s="141" t="s">
        <v>235</v>
      </c>
      <c r="L368" s="141" t="s">
        <v>235</v>
      </c>
    </row>
    <row r="1048575" spans="1:1" x14ac:dyDescent="0.3">
      <c r="A1048575" t="s">
        <v>235</v>
      </c>
    </row>
    <row r="1048576" spans="1:1" x14ac:dyDescent="0.3">
      <c r="A1048576" t="s">
        <v>236</v>
      </c>
    </row>
  </sheetData>
  <conditionalFormatting sqref="C2:L368">
    <cfRule type="cellIs" dxfId="97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dimension ref="C2:O11"/>
  <sheetViews>
    <sheetView zoomScale="93" zoomScaleNormal="98" workbookViewId="0">
      <selection activeCell="C10" sqref="C10"/>
    </sheetView>
  </sheetViews>
  <sheetFormatPr defaultRowHeight="14.4" x14ac:dyDescent="0.3"/>
  <cols>
    <col min="3" max="3" width="18" bestFit="1" customWidth="1"/>
    <col min="4" max="4" width="10.6640625" bestFit="1" customWidth="1"/>
    <col min="5" max="6" width="12.6640625" bestFit="1" customWidth="1"/>
    <col min="7" max="7" width="15.5546875" bestFit="1" customWidth="1"/>
    <col min="8" max="8" width="13.44140625" bestFit="1" customWidth="1"/>
    <col min="9" max="9" width="10.6640625" bestFit="1" customWidth="1"/>
    <col min="10" max="10" width="13.21875" bestFit="1" customWidth="1"/>
    <col min="11" max="11" width="11.88671875" bestFit="1" customWidth="1"/>
    <col min="12" max="12" width="17.21875" bestFit="1" customWidth="1"/>
    <col min="13" max="13" width="14.88671875" bestFit="1" customWidth="1"/>
    <col min="14" max="14" width="14" bestFit="1" customWidth="1"/>
    <col min="15" max="15" width="42.5546875" bestFit="1" customWidth="1"/>
  </cols>
  <sheetData>
    <row r="2" spans="3:15" ht="15" thickBot="1" x14ac:dyDescent="0.35">
      <c r="C2" s="54" t="s">
        <v>176</v>
      </c>
      <c r="D2" s="144" t="s">
        <v>244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246</v>
      </c>
      <c r="M2" s="144" t="s">
        <v>247</v>
      </c>
      <c r="N2" s="144" t="s">
        <v>248</v>
      </c>
      <c r="O2" s="143" t="s">
        <v>249</v>
      </c>
    </row>
    <row r="3" spans="3:15" ht="15" thickBot="1" x14ac:dyDescent="0.35">
      <c r="C3" s="145" t="s">
        <v>229</v>
      </c>
      <c r="D3" s="146" cm="1">
        <f t="array" aca="1" ref="D3" ca="1">SUMPRODUCT((Table7[Date]&gt;=$M$3)*(Table7[Date]&lt;=$N$3)*(Table7[Gym Training]="☑"))</f>
        <v>2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f>_xlfn.NUMBERVALUE(LEFT(Schedule!F26,FIND(" ",Schedule!F26)-1),",",".")</f>
        <v>0</v>
      </c>
      <c r="I3" s="163">
        <f>_xlfn.NUMBERVALUE(LEFT(Schedule!G26,FIND(" ",Schedule!G26)-1),",",".")</f>
        <v>1.583</v>
      </c>
      <c r="J3" s="163">
        <f>_xlfn.NUMBERVALUE(LEFT(Schedule!H26,FIND(" ",Schedule!H26)-1),",",".")</f>
        <v>0</v>
      </c>
      <c r="K3" s="163">
        <f>_xlfn.NUMBERVALUE(LEFT(Schedule!I26,FIND(" ",Schedule!I26)-1),",",".")</f>
        <v>0</v>
      </c>
      <c r="L3" s="147" cm="1">
        <f t="array" aca="1" ref="L3" ca="1">SUMPRODUCT((Table7[Date]&gt;=$M$3)*(Table7[Date]&lt;=$N$3)*(Table7[Gym Training]="☑")*CHOOSE(WEEKDAY(Table7[Date],2),$E3,$F3,$G3,$H3,$I3,$J3,$K3))</f>
        <v>2.75</v>
      </c>
      <c r="M3" s="148">
        <f ca="1">TODAY()-WEEKDAY(TODAY(),2)+1</f>
        <v>46272</v>
      </c>
      <c r="N3" s="148">
        <f ca="1">TODAY()-WEEKDAY(TODAY(),2)+7</f>
        <v>46278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Sep 7, 2026 to Sep 13, 2026</v>
      </c>
    </row>
    <row r="4" spans="3:15" ht="15" thickBot="1" x14ac:dyDescent="0.35">
      <c r="C4" s="149" t="s">
        <v>230</v>
      </c>
      <c r="D4" s="150" cm="1">
        <f t="array" aca="1" ref="D4" ca="1">SUMPRODUCT((Table7[Date]&gt;=$M$3)*(Table7[Date]&lt;=$N$3)*(Table7[Deutsch Lernen]="☑"))</f>
        <v>2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3.5</v>
      </c>
      <c r="L4" s="151" cm="1">
        <f t="array" aca="1" ref="L4" ca="1">SUMPRODUCT((Table7[Date]&gt;=$M$3)*(Table7[Date]&lt;=$N$3)*(Table7[Deutsch Lernen]="☑")*CHOOSE(WEEKDAY(Table7[Date],2),$E4,$F4,$G4,$H4,$I4,$J4,$K4))</f>
        <v>5</v>
      </c>
      <c r="M4" s="148">
        <f t="shared" ref="M4:M9" ca="1" si="0">TODAY()-WEEKDAY(TODAY(),2)+1</f>
        <v>46272</v>
      </c>
      <c r="N4" s="148">
        <f t="shared" ref="N4:N9" ca="1" si="1">TODAY()-WEEKDAY(TODAY(),2)+7</f>
        <v>46278</v>
      </c>
    </row>
    <row r="5" spans="3:15" ht="15" thickBot="1" x14ac:dyDescent="0.35">
      <c r="C5" s="149" t="s">
        <v>245</v>
      </c>
      <c r="D5" s="150" cm="1">
        <f t="array" aca="1" ref="D5" ca="1">SUMPRODUCT((Table7[Date]&gt;=$M$3)*(Table7[Date]&lt;=$N$3)*(Table7[Deutsch Flashcards (20 min)]="☑"))</f>
        <v>2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SUMPRODUCT((Table7[Date]&gt;=$M$3)*(Table7[Date]&lt;=$N$3)*(Table7[Deutsch Flashcards (20 min)]="☑")*CHOOSE(WEEKDAY(Table7[Date],2),$E5,$F5,$G5,$H5,$I5,$J5,$K5))</f>
        <v>0.66666666666666663</v>
      </c>
      <c r="M5" s="148">
        <f t="shared" ca="1" si="0"/>
        <v>46272</v>
      </c>
      <c r="N5" s="148">
        <f t="shared" ca="1" si="1"/>
        <v>46278</v>
      </c>
    </row>
    <row r="6" spans="3:15" ht="15" thickBot="1" x14ac:dyDescent="0.35">
      <c r="C6" s="149" t="s">
        <v>80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2.5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1</v>
      </c>
      <c r="I6" s="164">
        <f>_xlfn.NUMBERVALUE(LEFT(Schedule!G31,FIND(" ",Schedule!G31)-1),",",".")</f>
        <v>1.5</v>
      </c>
      <c r="J6" s="164">
        <f>_xlfn.NUMBERVALUE(LEFT(Schedule!H31,FIND(" ",Schedule!H31)-1),",",".")</f>
        <v>1.5</v>
      </c>
      <c r="K6" s="164">
        <f>_xlfn.NUMBERVALUE(LEFT(Schedule!I31,FIND(" ",Schedule!I31)-1),",",".")</f>
        <v>0</v>
      </c>
      <c r="L6" s="151" cm="1">
        <f t="array" aca="1" ref="L6" ca="1">SUMPRODUCT((Table7[Date]&gt;=$M$3)*(Table7[Date]&lt;=$N$3)*(Table7[Career Development]="☑")*CHOOSE(WEEKDAY(Table7[Date],2),$E6,$F6,$G6,$H6,$I6,$J6,$K6))</f>
        <v>0</v>
      </c>
      <c r="M6" s="148">
        <f t="shared" ca="1" si="0"/>
        <v>46272</v>
      </c>
      <c r="N6" s="148">
        <f t="shared" ca="1" si="1"/>
        <v>46278</v>
      </c>
    </row>
    <row r="7" spans="3:15" ht="15" thickBot="1" x14ac:dyDescent="0.35">
      <c r="C7" s="149" t="s">
        <v>3</v>
      </c>
      <c r="D7" s="150" cm="1">
        <f t="array" aca="1" ref="D7" ca="1">SUMPRODUCT((Table7[Date]&gt;=$M$3)*(Table7[Date]&lt;=$N$3)*(Table7[Calisthenics]="☑"))</f>
        <v>1</v>
      </c>
      <c r="E7" s="164">
        <f>_xlfn.NUMBERVALUE(LEFT(Schedule!C28,FIND(" ",Schedule!C28)-1),",",".")</f>
        <v>0</v>
      </c>
      <c r="F7" s="164">
        <f>_xlfn.NUMBERVALUE(LEFT(Schedule!D28,FIND(" ",Schedule!D28)-1),",",".")</f>
        <v>0</v>
      </c>
      <c r="G7" s="164">
        <f>_xlfn.NUMBERVALUE(LEFT(Schedule!E28,FIND(" ",Schedule!E28)-1),",",".")</f>
        <v>0</v>
      </c>
      <c r="H7" s="164">
        <f>_xlfn.NUMBERVALUE(LEFT(Schedule!F28,FIND(" ",Schedule!F28)-1),",",".")</f>
        <v>1.583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SUMPRODUCT((Table7[Date]&gt;=$M$3)*(Table7[Date]&lt;=$N$3)*(Table7[Calisthenics]="☑")*CHOOSE(WEEKDAY(Table7[Date],2),$E7,$F7,$G7,$H7,$I7,$J7,$K7))</f>
        <v>0</v>
      </c>
      <c r="M7" s="148">
        <f t="shared" ca="1" si="0"/>
        <v>46272</v>
      </c>
      <c r="N7" s="148">
        <f t="shared" ca="1" si="1"/>
        <v>46278</v>
      </c>
    </row>
    <row r="8" spans="3:15" ht="15" thickBot="1" x14ac:dyDescent="0.35">
      <c r="C8" s="149" t="s">
        <v>233</v>
      </c>
      <c r="D8" s="150" cm="1">
        <f t="array" aca="1" ref="D8" ca="1">SUMPRODUCT((Table7[Date]&gt;=$M$3)*(Table7[Date]&lt;=$N$3)*(Table7[Kung Fu Training]="☑"))</f>
        <v>1</v>
      </c>
      <c r="E8" s="164">
        <f>_xlfn.NUMBERVALUE(LEFT(Schedule!C29,FIND(" ",Schedule!C29)-1),",",".")</f>
        <v>0</v>
      </c>
      <c r="F8" s="164">
        <f>_xlfn.NUMBERVALUE(LEFT(Schedule!D29,FIND(" ",Schedule!D29)-1),",",".")</f>
        <v>2</v>
      </c>
      <c r="G8" s="164">
        <f>_xlfn.NUMBERVALUE(LEFT(Schedule!E29,FIND(" ",Schedule!E29)-1),",",".")</f>
        <v>0</v>
      </c>
      <c r="H8" s="164">
        <f>_xlfn.NUMBERVALUE(LEFT(Schedule!F29,FIND(" ",Schedule!F29)-1),",",".")</f>
        <v>2</v>
      </c>
      <c r="I8" s="164">
        <f>_xlfn.NUMBERVALUE(LEFT(Schedule!G29,FIND(" ",Schedule!G29)-1),",",".")</f>
        <v>0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SUMPRODUCT((Table7[Date]&gt;=$M$3)*(Table7[Date]&lt;=$N$3)*(Table7[Kung Fu Training]="☑")*CHOOSE(WEEKDAY(Table7[Date],2),$E8,$F8,$G8,$H8,$I8,$J8,$K8))</f>
        <v>2</v>
      </c>
      <c r="M8" s="148">
        <f t="shared" ca="1" si="0"/>
        <v>46272</v>
      </c>
      <c r="N8" s="148">
        <f t="shared" ca="1" si="1"/>
        <v>46278</v>
      </c>
    </row>
    <row r="9" spans="3:15" x14ac:dyDescent="0.3">
      <c r="C9" s="149" t="s">
        <v>234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SUMPRODUCT((Table7[Date]&gt;=$M$3)*(Table7[Date]&lt;=$N$3)*(Table7[Guitar Practice]="☑")*CHOOSE(WEEKDAY(Table7[Date],2),$E9,$F9,$G9,$H9,$I9,$J9,$K9))</f>
        <v>0</v>
      </c>
      <c r="M9" s="148">
        <f t="shared" ca="1" si="0"/>
        <v>46272</v>
      </c>
      <c r="N9" s="148">
        <f t="shared" ca="1" si="1"/>
        <v>46278</v>
      </c>
    </row>
    <row r="10" spans="3:15" x14ac:dyDescent="0.3">
      <c r="C10" s="149" t="s">
        <v>299</v>
      </c>
      <c r="D10" s="151" cm="1">
        <f t="array" aca="1" ref="D10" ca="1">SUMPRODUCT((Table7[Date]&gt;=$M10)*(Table7[Date]&lt;=$N10)*(Table7[No Scrolling]="☑"))</f>
        <v>2</v>
      </c>
      <c r="E10" s="151">
        <f>1</f>
        <v>1</v>
      </c>
      <c r="F10" s="151">
        <f>1</f>
        <v>1</v>
      </c>
      <c r="G10" s="151">
        <f>1</f>
        <v>1</v>
      </c>
      <c r="H10" s="151">
        <f>1</f>
        <v>1</v>
      </c>
      <c r="I10" s="151">
        <f>1</f>
        <v>1</v>
      </c>
      <c r="J10" s="151">
        <f>1</f>
        <v>1</v>
      </c>
      <c r="K10" s="151">
        <f>1</f>
        <v>1</v>
      </c>
      <c r="L10" s="151" cm="1">
        <f t="array" aca="1" ref="L10" ca="1">SUMPRODUCT((Table7[Date]&gt;=$M10)*(Table7[Date]&lt;=$N10)*(Table7[No Scrolling]="☐")*CHOOSE(WEEKDAY(Table7[Date],2),$E10,$F10,$G10,$H10,$I10,$J10,$K10))</f>
        <v>5</v>
      </c>
      <c r="M10" s="170">
        <f ca="1">TODAY()-WEEKDAY(TODAY(),2)+1</f>
        <v>46272</v>
      </c>
      <c r="N10" s="170">
        <f ca="1">TODAY()-WEEKDAY(TODAY(),2)+7</f>
        <v>46278</v>
      </c>
    </row>
    <row r="11" spans="3:15" x14ac:dyDescent="0.3">
      <c r="C11" s="55"/>
      <c r="D11" s="55"/>
      <c r="E11" s="55"/>
      <c r="F11" s="55"/>
      <c r="G11" s="55"/>
      <c r="H11" s="55"/>
      <c r="I11" s="55"/>
      <c r="J11" s="55"/>
      <c r="K11" s="55"/>
      <c r="L11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E3" sqref="E3"/>
    </sheetView>
  </sheetViews>
  <sheetFormatPr defaultColWidth="11.44140625" defaultRowHeight="14.4" x14ac:dyDescent="0.3"/>
  <cols>
    <col min="1" max="1" width="22.6640625" bestFit="1" customWidth="1"/>
    <col min="2" max="2" width="29.6640625" bestFit="1" customWidth="1"/>
    <col min="3" max="3" width="18.5546875" bestFit="1" customWidth="1"/>
    <col min="4" max="4" width="31.21875" bestFit="1" customWidth="1"/>
    <col min="5" max="5" width="33.33203125" bestFit="1" customWidth="1"/>
    <col min="6" max="6" width="19.5546875" bestFit="1" customWidth="1"/>
  </cols>
  <sheetData>
    <row r="2" spans="2:5" x14ac:dyDescent="0.3">
      <c r="B2" s="54" t="s">
        <v>133</v>
      </c>
      <c r="C2" s="54" t="s">
        <v>125</v>
      </c>
      <c r="D2" s="54" t="s">
        <v>193</v>
      </c>
      <c r="E2" s="54" t="s">
        <v>150</v>
      </c>
    </row>
    <row r="3" spans="2:5" x14ac:dyDescent="0.3">
      <c r="B3" s="55" t="s">
        <v>241</v>
      </c>
      <c r="C3" s="55" t="s">
        <v>143</v>
      </c>
      <c r="D3" s="56">
        <f ca="1">$B$1048562+_xlfn.CEILING.MATH((TODAY()-$B$1048562)/5, 1)*5-5</f>
        <v>46269</v>
      </c>
      <c r="E3" s="56">
        <f ca="1">$B$1048562+_xlfn.CEILING.MATH((TODAY()-$B$1048562)/5, 1)*5</f>
        <v>46274</v>
      </c>
    </row>
    <row r="4" spans="2:5" x14ac:dyDescent="0.3">
      <c r="B4" s="55" t="s">
        <v>239</v>
      </c>
      <c r="C4" s="55" t="s">
        <v>240</v>
      </c>
      <c r="D4" s="56">
        <f ca="1">IF(DAY(TODAY())&gt;10,
   DATE(YEAR(TODAY()),MONTH(TODAY()),10),
   DATE(YEAR(TODAY()),MONTH(TODAY())-1,10))</f>
        <v>46244</v>
      </c>
      <c r="E4" s="56">
        <f ca="1">IF(DAY(TODAY())&lt;=10,
   DATE(YEAR(TODAY()),MONTH(TODAY()),10),
   DATE(YEAR(TODAY()),MONTH(TODAY())+1,10))</f>
        <v>46275</v>
      </c>
    </row>
    <row r="5" spans="2:5" x14ac:dyDescent="0.3">
      <c r="B5" s="55" t="s">
        <v>128</v>
      </c>
      <c r="C5" s="55" t="s">
        <v>144</v>
      </c>
      <c r="D5" s="56">
        <f ca="1">TODAY()+MOD(6-WEEKDAY(TODAY(),2),7)-7</f>
        <v>46270</v>
      </c>
      <c r="E5" s="56">
        <f ca="1">TODAY()+MOD(6-WEEKDAY(TODAY(),2),7)</f>
        <v>46277</v>
      </c>
    </row>
    <row r="6" spans="2:5" x14ac:dyDescent="0.3">
      <c r="B6" s="55" t="s">
        <v>129</v>
      </c>
      <c r="C6" s="55" t="s">
        <v>144</v>
      </c>
      <c r="D6" s="56">
        <f ca="1">TODAY()+MOD(6-WEEKDAY(TODAY(),2),7)-7</f>
        <v>46270</v>
      </c>
      <c r="E6" s="56">
        <f ca="1">TODAY()+MOD(6-WEEKDAY(TODAY(),2),7)</f>
        <v>46277</v>
      </c>
    </row>
    <row r="7" spans="2:5" x14ac:dyDescent="0.3">
      <c r="B7" s="55" t="s">
        <v>130</v>
      </c>
      <c r="C7" s="55" t="s">
        <v>145</v>
      </c>
      <c r="D7" s="56">
        <f ca="1">$B$1048565+_xlfn.CEILING.MATH((TODAY()-$B$1048565)/14, 1)*14-14</f>
        <v>46263</v>
      </c>
      <c r="E7" s="56">
        <f ca="1">$B$1048565+_xlfn.CEILING.MATH((TODAY()-$B$1048565)/14, 1)*14</f>
        <v>46277</v>
      </c>
    </row>
    <row r="8" spans="2:5" x14ac:dyDescent="0.3">
      <c r="B8" s="55" t="s">
        <v>135</v>
      </c>
      <c r="C8" s="55" t="s">
        <v>145</v>
      </c>
      <c r="D8" s="56">
        <f ca="1">$B$1048569+_xlfn.CEILING.MATH((TODAY()-$B$1048569)/14, 1)*14-14</f>
        <v>46263</v>
      </c>
      <c r="E8" s="56">
        <f ca="1">$B$1048569+_xlfn.CEILING.MATH((TODAY()-$B$1048569)/14, 1)*14</f>
        <v>46277</v>
      </c>
    </row>
    <row r="9" spans="2:5" x14ac:dyDescent="0.3">
      <c r="B9" s="55" t="s">
        <v>147</v>
      </c>
      <c r="C9" s="55" t="s">
        <v>149</v>
      </c>
      <c r="D9" s="56">
        <f ca="1">TODAY()+MOD(7-WEEKDAY(TODAY(),2),7)-7</f>
        <v>46271</v>
      </c>
      <c r="E9" s="56">
        <f ca="1">TODAY()+MOD(7-WEEKDAY(TODAY(),2),7)</f>
        <v>46278</v>
      </c>
    </row>
    <row r="10" spans="2:5" x14ac:dyDescent="0.3">
      <c r="B10" s="55" t="s">
        <v>148</v>
      </c>
      <c r="C10" s="55" t="s">
        <v>149</v>
      </c>
      <c r="D10" s="56">
        <f ca="1">TODAY()+MOD(7-WEEKDAY(TODAY(),2),7)-7</f>
        <v>46271</v>
      </c>
      <c r="E10" s="56">
        <f ca="1">TODAY()+MOD(7-WEEKDAY(TODAY(),2),7)</f>
        <v>46278</v>
      </c>
    </row>
    <row r="11" spans="2:5" x14ac:dyDescent="0.3">
      <c r="B11" s="55" t="s">
        <v>254</v>
      </c>
      <c r="C11" s="55" t="s">
        <v>155</v>
      </c>
      <c r="D11" s="56">
        <f ca="1">$B$1048576+_xlfn.CEILING.MATH((TODAY()-$B$1048576)/21, 1)*21-21</f>
        <v>46258</v>
      </c>
      <c r="E11" s="56">
        <f ca="1">$B$1048576+_xlfn.CEILING.MATH((TODAY()-$B$1048576)/21, 1)*21</f>
        <v>46279</v>
      </c>
    </row>
    <row r="12" spans="2:5" x14ac:dyDescent="0.3">
      <c r="B12" s="55" t="s">
        <v>242</v>
      </c>
      <c r="C12" s="55" t="s">
        <v>146</v>
      </c>
      <c r="D12" s="56">
        <f ca="1">IF(DAY(TODAY())&gt;15,
   DATE(YEAR(TODAY()),MONTH(TODAY()),15),
   DATE(YEAR(TODAY()),MONTH(TODAY())-1,15))</f>
        <v>46249</v>
      </c>
      <c r="E12" s="56">
        <f ca="1">IF(DAY(TODAY())&lt;=15,
   DATE(YEAR(TODAY()),MONTH(TODAY()),15),
   DATE(YEAR(TODAY()),MONTH(TODAY())+1,15))</f>
        <v>46280</v>
      </c>
    </row>
    <row r="13" spans="2:5" x14ac:dyDescent="0.3">
      <c r="B13" s="55" t="s">
        <v>136</v>
      </c>
      <c r="C13" s="55" t="s">
        <v>154</v>
      </c>
      <c r="D13" s="56">
        <f ca="1">$B$1048570+_xlfn.CEILING.MATH((TODAY()-$B$1048570)/40, 1)*40-40</f>
        <v>46247</v>
      </c>
      <c r="E13" s="56">
        <f ca="1">$B$1048570+_xlfn.CEILING.MATH((TODAY()-$B$1048570)/40, 1)*40</f>
        <v>46287</v>
      </c>
    </row>
    <row r="14" spans="2:5" x14ac:dyDescent="0.3">
      <c r="B14" s="55" t="s">
        <v>131</v>
      </c>
      <c r="C14" s="55" t="s">
        <v>194</v>
      </c>
      <c r="D14" s="56">
        <f ca="1">IF(DAY(TODAY())&gt;23,
   DATE(YEAR(TODAY()),MONTH(TODAY()),23),
   DATE(YEAR(TODAY()),MONTH(TODAY())-1,23))</f>
        <v>46257</v>
      </c>
      <c r="E14" s="56">
        <f ca="1">IF(DAY(TODAY())&lt;=23,
   DATE(YEAR(TODAY()),MONTH(TODAY()),23),
   DATE(YEAR(TODAY()),MONTH(TODAY())+1,23))</f>
        <v>46288</v>
      </c>
    </row>
    <row r="15" spans="2:5" x14ac:dyDescent="0.3">
      <c r="B15" s="55" t="s">
        <v>139</v>
      </c>
      <c r="C15" s="55" t="s">
        <v>156</v>
      </c>
      <c r="D15" s="56">
        <f ca="1">$B$1048571+_xlfn.CEILING.MATH((TODAY()-$B$1048571)/28, 1)*28-28</f>
        <v>46265</v>
      </c>
      <c r="E15" s="56">
        <f ca="1">$B$1048571+_xlfn.CEILING.MATH((TODAY()-$B$1048571)/28, 1)*28</f>
        <v>46293</v>
      </c>
    </row>
    <row r="16" spans="2:5" x14ac:dyDescent="0.3">
      <c r="B16" s="55" t="s">
        <v>134</v>
      </c>
      <c r="C16" s="55" t="s">
        <v>192</v>
      </c>
      <c r="D16" s="56">
        <f ca="1">IF(DAY(TODAY())&gt;5,
   DATE(YEAR(TODAY()),MONTH(TODAY()),5),
   DATE(YEAR(TODAY()),MONTH(TODAY())-1,5))</f>
        <v>46270</v>
      </c>
      <c r="E16" s="56">
        <f ca="1">IF(DAY(TODAY())&lt;=5,
   DATE(YEAR(TODAY()),MONTH(TODAY()),5),
   DATE(YEAR(TODAY()),MONTH(TODAY())+1,5))</f>
        <v>46300</v>
      </c>
    </row>
    <row r="17" spans="2:5" x14ac:dyDescent="0.3">
      <c r="B17" s="55" t="s">
        <v>151</v>
      </c>
      <c r="C17" s="55" t="s">
        <v>192</v>
      </c>
      <c r="D17" s="56">
        <f ca="1">IF(DAY(TODAY())&gt;5,
   DATE(YEAR(TODAY()),MONTH(TODAY()),5),
   DATE(YEAR(TODAY()),MONTH(TODAY())-1,5))</f>
        <v>46270</v>
      </c>
      <c r="E17" s="56">
        <f ca="1">IF(DAY(TODAY())&lt;=5,
   DATE(YEAR(TODAY()),MONTH(TODAY()),5),
   DATE(YEAR(TODAY()),MONTH(TODAY())+1,5))</f>
        <v>46300</v>
      </c>
    </row>
    <row r="18" spans="2:5" x14ac:dyDescent="0.3">
      <c r="B18" s="55" t="s">
        <v>132</v>
      </c>
      <c r="C18" s="55" t="s">
        <v>153</v>
      </c>
      <c r="D18" s="56">
        <f ca="1">$B$1048568+_xlfn.CEILING.MATH((TODAY()-$B$1048568)/90, 1)*90-90</f>
        <v>46247</v>
      </c>
      <c r="E18" s="56">
        <f ca="1">$B$1048568+_xlfn.CEILING.MATH((TODAY()-$B$1048568)/90, 1)*90</f>
        <v>46337</v>
      </c>
    </row>
    <row r="1048562" spans="1:2" x14ac:dyDescent="0.3">
      <c r="A1048562" s="65" t="s">
        <v>126</v>
      </c>
      <c r="B1048562" s="56">
        <v>46064</v>
      </c>
    </row>
    <row r="1048563" spans="1:2" x14ac:dyDescent="0.3">
      <c r="A1048563" s="66" t="s">
        <v>127</v>
      </c>
      <c r="B1048563" s="56">
        <v>46042</v>
      </c>
    </row>
    <row r="1048564" spans="1:2" x14ac:dyDescent="0.3">
      <c r="A1048564" s="65" t="s">
        <v>128</v>
      </c>
      <c r="B1048564" s="56" t="s">
        <v>84</v>
      </c>
    </row>
    <row r="1048565" spans="1:2" x14ac:dyDescent="0.3">
      <c r="A1048565" s="66" t="s">
        <v>130</v>
      </c>
      <c r="B1048565" s="56">
        <v>46067</v>
      </c>
    </row>
    <row r="1048566" spans="1:2" x14ac:dyDescent="0.3">
      <c r="A1048566" s="65" t="s">
        <v>129</v>
      </c>
      <c r="B1048566" s="56" t="s">
        <v>84</v>
      </c>
    </row>
    <row r="1048567" spans="1:2" x14ac:dyDescent="0.3">
      <c r="A1048567" s="66" t="s">
        <v>131</v>
      </c>
      <c r="B1048567" s="56" t="s">
        <v>84</v>
      </c>
    </row>
    <row r="1048568" spans="1:2" x14ac:dyDescent="0.3">
      <c r="A1048568" s="65" t="s">
        <v>132</v>
      </c>
      <c r="B1048568" s="56">
        <v>46067</v>
      </c>
    </row>
    <row r="1048569" spans="1:2" x14ac:dyDescent="0.3">
      <c r="A1048569" s="66" t="s">
        <v>135</v>
      </c>
      <c r="B1048569" s="56">
        <v>46067</v>
      </c>
    </row>
    <row r="1048570" spans="1:2" x14ac:dyDescent="0.3">
      <c r="A1048570" s="65" t="s">
        <v>136</v>
      </c>
      <c r="B1048570" s="56">
        <v>46047</v>
      </c>
    </row>
    <row r="1048571" spans="1:2" x14ac:dyDescent="0.3">
      <c r="A1048571" s="66" t="s">
        <v>139</v>
      </c>
      <c r="B1048571" s="56">
        <v>46069</v>
      </c>
    </row>
    <row r="1048572" spans="1:2" x14ac:dyDescent="0.3">
      <c r="A1048572" s="65" t="s">
        <v>147</v>
      </c>
      <c r="B1048572" s="56" t="s">
        <v>84</v>
      </c>
    </row>
    <row r="1048573" spans="1:2" x14ac:dyDescent="0.3">
      <c r="A1048573" s="66" t="s">
        <v>148</v>
      </c>
      <c r="B1048573" s="56" t="s">
        <v>84</v>
      </c>
    </row>
    <row r="1048574" spans="1:2" x14ac:dyDescent="0.3">
      <c r="A1048574" s="65" t="s">
        <v>134</v>
      </c>
      <c r="B1048574" s="56" t="s">
        <v>84</v>
      </c>
    </row>
    <row r="1048575" spans="1:2" x14ac:dyDescent="0.3">
      <c r="A1048575" s="66" t="s">
        <v>151</v>
      </c>
      <c r="B1048575" s="56" t="s">
        <v>84</v>
      </c>
    </row>
    <row r="1048576" spans="1:2" x14ac:dyDescent="0.3">
      <c r="A1048576" s="65" t="s">
        <v>152</v>
      </c>
      <c r="B1048576" s="56">
        <v>46048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2:G26"/>
  <sheetViews>
    <sheetView zoomScale="101" zoomScaleNormal="115" workbookViewId="0"/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31.77734375" bestFit="1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2" spans="2:7" x14ac:dyDescent="0.3">
      <c r="B2" s="54" t="s">
        <v>87</v>
      </c>
      <c r="C2" s="54" t="s">
        <v>88</v>
      </c>
      <c r="D2" s="54" t="s">
        <v>89</v>
      </c>
      <c r="E2" s="54" t="s">
        <v>90</v>
      </c>
      <c r="F2" s="54" t="s">
        <v>91</v>
      </c>
      <c r="G2" s="54" t="s">
        <v>124</v>
      </c>
    </row>
    <row r="3" spans="2:7" x14ac:dyDescent="0.3">
      <c r="B3" s="55" t="s">
        <v>97</v>
      </c>
      <c r="C3" s="55">
        <v>5</v>
      </c>
      <c r="D3" s="56">
        <v>46229</v>
      </c>
      <c r="E3" s="55">
        <v>1</v>
      </c>
      <c r="F3" s="55">
        <f t="shared" ref="F3:F25" ca="1" si="0">C3 + MAX(0, (30-_xlfn.DAYS(D3, TODAY()))) + (10-E3)</f>
        <v>88</v>
      </c>
      <c r="G3" s="64"/>
    </row>
    <row r="4" spans="2:7" x14ac:dyDescent="0.3">
      <c r="B4" s="55" t="s">
        <v>99</v>
      </c>
      <c r="C4" s="55">
        <v>5</v>
      </c>
      <c r="D4" s="56">
        <v>46229</v>
      </c>
      <c r="E4" s="55">
        <v>0</v>
      </c>
      <c r="F4" s="55">
        <f t="shared" ca="1" si="0"/>
        <v>89</v>
      </c>
      <c r="G4" s="64"/>
    </row>
    <row r="5" spans="2:7" x14ac:dyDescent="0.3">
      <c r="B5" s="55" t="s">
        <v>92</v>
      </c>
      <c r="C5" s="55">
        <v>5</v>
      </c>
      <c r="D5" s="56">
        <v>46229</v>
      </c>
      <c r="E5" s="55">
        <v>0</v>
      </c>
      <c r="F5" s="55">
        <f t="shared" ca="1" si="0"/>
        <v>89</v>
      </c>
      <c r="G5" s="64"/>
    </row>
    <row r="6" spans="2:7" x14ac:dyDescent="0.3">
      <c r="B6" s="55" t="s">
        <v>123</v>
      </c>
      <c r="C6" s="55">
        <v>3</v>
      </c>
      <c r="D6" s="56">
        <v>46229</v>
      </c>
      <c r="E6" s="55">
        <v>3</v>
      </c>
      <c r="F6" s="55">
        <f t="shared" ca="1" si="0"/>
        <v>84</v>
      </c>
      <c r="G6" s="64"/>
    </row>
    <row r="7" spans="2:7" x14ac:dyDescent="0.3">
      <c r="B7" s="55" t="s">
        <v>95</v>
      </c>
      <c r="C7" s="55">
        <v>4</v>
      </c>
      <c r="D7" s="56">
        <v>46236</v>
      </c>
      <c r="E7" s="55">
        <v>0</v>
      </c>
      <c r="F7" s="55">
        <f t="shared" ca="1" si="0"/>
        <v>81</v>
      </c>
      <c r="G7" s="64"/>
    </row>
    <row r="8" spans="2:7" x14ac:dyDescent="0.3">
      <c r="B8" s="55" t="s">
        <v>137</v>
      </c>
      <c r="C8" s="55">
        <v>3</v>
      </c>
      <c r="D8" s="56">
        <v>46236</v>
      </c>
      <c r="E8" s="55">
        <v>0</v>
      </c>
      <c r="F8" s="55">
        <f t="shared" ca="1" si="0"/>
        <v>80</v>
      </c>
      <c r="G8" s="64"/>
    </row>
    <row r="9" spans="2:7" x14ac:dyDescent="0.3">
      <c r="B9" s="55" t="s">
        <v>98</v>
      </c>
      <c r="C9" s="55">
        <v>2</v>
      </c>
      <c r="D9" s="56">
        <v>46236</v>
      </c>
      <c r="E9" s="55">
        <v>0</v>
      </c>
      <c r="F9" s="55">
        <f t="shared" ca="1" si="0"/>
        <v>79</v>
      </c>
      <c r="G9" s="64"/>
    </row>
    <row r="10" spans="2:7" x14ac:dyDescent="0.3">
      <c r="B10" s="55" t="s">
        <v>100</v>
      </c>
      <c r="C10" s="55">
        <v>1</v>
      </c>
      <c r="D10" s="56">
        <v>46236</v>
      </c>
      <c r="E10" s="55">
        <v>0</v>
      </c>
      <c r="F10" s="55">
        <f t="shared" ca="1" si="0"/>
        <v>78</v>
      </c>
      <c r="G10" s="64"/>
    </row>
    <row r="11" spans="2:7" x14ac:dyDescent="0.3">
      <c r="B11" s="55" t="s">
        <v>101</v>
      </c>
      <c r="C11" s="55">
        <v>1</v>
      </c>
      <c r="D11" s="56">
        <v>46236</v>
      </c>
      <c r="E11" s="55">
        <v>0</v>
      </c>
      <c r="F11" s="55">
        <f t="shared" ca="1" si="0"/>
        <v>78</v>
      </c>
      <c r="G11" s="64"/>
    </row>
    <row r="12" spans="2:7" x14ac:dyDescent="0.3">
      <c r="B12" s="55" t="s">
        <v>102</v>
      </c>
      <c r="C12" s="55">
        <v>1</v>
      </c>
      <c r="D12" s="56">
        <v>46236</v>
      </c>
      <c r="E12" s="55">
        <v>0</v>
      </c>
      <c r="F12" s="55">
        <f t="shared" ca="1" si="0"/>
        <v>78</v>
      </c>
      <c r="G12" s="64"/>
    </row>
    <row r="13" spans="2:7" x14ac:dyDescent="0.3">
      <c r="B13" s="55" t="s">
        <v>138</v>
      </c>
      <c r="C13" s="55">
        <v>3</v>
      </c>
      <c r="D13" s="56">
        <v>46243</v>
      </c>
      <c r="E13" s="55">
        <v>0</v>
      </c>
      <c r="F13" s="55">
        <f t="shared" ca="1" si="0"/>
        <v>73</v>
      </c>
      <c r="G13" s="64"/>
    </row>
    <row r="14" spans="2:7" x14ac:dyDescent="0.3">
      <c r="B14" s="55" t="s">
        <v>105</v>
      </c>
      <c r="C14" s="55">
        <v>3</v>
      </c>
      <c r="D14" s="56">
        <v>46243</v>
      </c>
      <c r="E14" s="55">
        <v>0</v>
      </c>
      <c r="F14" s="55">
        <f t="shared" ca="1" si="0"/>
        <v>73</v>
      </c>
      <c r="G14" s="64"/>
    </row>
    <row r="15" spans="2:7" x14ac:dyDescent="0.3">
      <c r="B15" s="55" t="s">
        <v>106</v>
      </c>
      <c r="C15" s="55">
        <v>3</v>
      </c>
      <c r="D15" s="56">
        <v>46243</v>
      </c>
      <c r="E15" s="55">
        <v>0</v>
      </c>
      <c r="F15" s="55">
        <f t="shared" ca="1" si="0"/>
        <v>73</v>
      </c>
      <c r="G15" s="64"/>
    </row>
    <row r="16" spans="2:7" x14ac:dyDescent="0.3">
      <c r="B16" s="55" t="s">
        <v>103</v>
      </c>
      <c r="C16" s="55">
        <v>1</v>
      </c>
      <c r="D16" s="56">
        <v>46243</v>
      </c>
      <c r="E16" s="55">
        <v>0</v>
      </c>
      <c r="F16" s="55">
        <f t="shared" ca="1" si="0"/>
        <v>71</v>
      </c>
      <c r="G16" s="64"/>
    </row>
    <row r="17" spans="2:7" x14ac:dyDescent="0.3">
      <c r="B17" s="55" t="s">
        <v>104</v>
      </c>
      <c r="C17" s="55">
        <v>1</v>
      </c>
      <c r="D17" s="56">
        <v>46243</v>
      </c>
      <c r="E17" s="55">
        <v>0</v>
      </c>
      <c r="F17" s="55">
        <f t="shared" ca="1" si="0"/>
        <v>71</v>
      </c>
      <c r="G17" s="64"/>
    </row>
    <row r="18" spans="2:7" x14ac:dyDescent="0.3">
      <c r="B18" s="55" t="s">
        <v>93</v>
      </c>
      <c r="C18" s="55">
        <v>5</v>
      </c>
      <c r="D18" s="56">
        <v>46243</v>
      </c>
      <c r="E18" s="55">
        <v>4</v>
      </c>
      <c r="F18" s="55">
        <f t="shared" ca="1" si="0"/>
        <v>71</v>
      </c>
      <c r="G18" s="64"/>
    </row>
    <row r="19" spans="2:7" x14ac:dyDescent="0.3">
      <c r="B19" s="55" t="s">
        <v>107</v>
      </c>
      <c r="C19" s="55">
        <v>2</v>
      </c>
      <c r="D19" s="56">
        <v>46250</v>
      </c>
      <c r="E19" s="55">
        <v>0</v>
      </c>
      <c r="F19" s="55">
        <f t="shared" ca="1" si="0"/>
        <v>65</v>
      </c>
      <c r="G19" s="64"/>
    </row>
    <row r="20" spans="2:7" x14ac:dyDescent="0.3">
      <c r="B20" s="55" t="s">
        <v>94</v>
      </c>
      <c r="C20" s="55">
        <v>2</v>
      </c>
      <c r="D20" s="56">
        <v>46250</v>
      </c>
      <c r="E20" s="55">
        <v>0</v>
      </c>
      <c r="F20" s="55">
        <f t="shared" ca="1" si="0"/>
        <v>65</v>
      </c>
      <c r="G20" s="64"/>
    </row>
    <row r="21" spans="2:7" x14ac:dyDescent="0.3">
      <c r="B21" s="55" t="s">
        <v>227</v>
      </c>
      <c r="C21" s="55">
        <v>5</v>
      </c>
      <c r="D21" s="56">
        <v>46307</v>
      </c>
      <c r="E21" s="55">
        <v>0</v>
      </c>
      <c r="F21" s="55">
        <f t="shared" ca="1" si="0"/>
        <v>15</v>
      </c>
      <c r="G21" s="64"/>
    </row>
    <row r="22" spans="2:7" x14ac:dyDescent="0.3">
      <c r="B22" s="55" t="s">
        <v>228</v>
      </c>
      <c r="C22" s="55">
        <v>5</v>
      </c>
      <c r="D22" s="56">
        <v>46267</v>
      </c>
      <c r="E22" s="55">
        <v>0</v>
      </c>
      <c r="F22" s="55">
        <f t="shared" ca="1" si="0"/>
        <v>51</v>
      </c>
      <c r="G22" s="64"/>
    </row>
    <row r="23" spans="2:7" x14ac:dyDescent="0.3">
      <c r="B23" s="55" t="s">
        <v>250</v>
      </c>
      <c r="C23" s="55">
        <v>3</v>
      </c>
      <c r="D23" s="56">
        <v>46257</v>
      </c>
      <c r="E23" s="55">
        <v>2</v>
      </c>
      <c r="F23" s="55">
        <f t="shared" ca="1" si="0"/>
        <v>57</v>
      </c>
      <c r="G23" s="64"/>
    </row>
    <row r="24" spans="2:7" x14ac:dyDescent="0.3">
      <c r="B24" s="55" t="s">
        <v>243</v>
      </c>
      <c r="C24" s="55">
        <v>2</v>
      </c>
      <c r="D24" s="56">
        <v>46257</v>
      </c>
      <c r="E24" s="55">
        <v>0</v>
      </c>
      <c r="F24" s="55">
        <f t="shared" ca="1" si="0"/>
        <v>58</v>
      </c>
      <c r="G24" s="64"/>
    </row>
    <row r="25" spans="2:7" x14ac:dyDescent="0.3">
      <c r="B25" s="55" t="s">
        <v>96</v>
      </c>
      <c r="C25" s="55">
        <v>1</v>
      </c>
      <c r="D25" s="56">
        <v>46257</v>
      </c>
      <c r="E25" s="55">
        <v>0</v>
      </c>
      <c r="F25" s="55">
        <f t="shared" ca="1" si="0"/>
        <v>57</v>
      </c>
      <c r="G25" s="64"/>
    </row>
    <row r="26" spans="2:7" x14ac:dyDescent="0.3">
      <c r="B26" s="55" t="s">
        <v>301</v>
      </c>
      <c r="C26" s="55">
        <v>5</v>
      </c>
      <c r="D26" s="56">
        <v>46314</v>
      </c>
      <c r="E26" s="55">
        <v>0</v>
      </c>
      <c r="F26" s="55">
        <f ca="1">C26 + MAX(0, (30-_xlfn.DAYS(D26, TODAY()))) + (10-E26)</f>
        <v>15</v>
      </c>
      <c r="G26" s="64" t="s">
        <v>302</v>
      </c>
    </row>
  </sheetData>
  <conditionalFormatting sqref="F3:G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4.4" x14ac:dyDescent="0.3"/>
  <cols>
    <col min="2" max="2" width="11" style="125" bestFit="1" customWidth="1"/>
    <col min="3" max="3" width="10.6640625" style="55" bestFit="1" customWidth="1"/>
    <col min="4" max="4" width="18" style="55" bestFit="1" customWidth="1"/>
    <col min="5" max="5" width="21.88671875" style="55" customWidth="1"/>
    <col min="6" max="6" width="24.88671875" style="55" bestFit="1" customWidth="1"/>
    <col min="7" max="7" width="23.33203125" style="55" bestFit="1" customWidth="1"/>
    <col min="8" max="8" width="17.88671875" style="55" bestFit="1" customWidth="1"/>
    <col min="9" max="9" width="18" style="55" bestFit="1" customWidth="1"/>
    <col min="10" max="10" width="21.88671875" style="55" bestFit="1" customWidth="1"/>
    <col min="11" max="11" width="24.88671875" style="55" bestFit="1" customWidth="1"/>
    <col min="12" max="12" width="23.33203125" style="55" bestFit="1" customWidth="1"/>
    <col min="13" max="13" width="17.88671875" style="55" bestFit="1" customWidth="1"/>
    <col min="14" max="14" width="18" style="55" bestFit="1" customWidth="1"/>
    <col min="15" max="15" width="21.88671875" style="55" bestFit="1" customWidth="1"/>
    <col min="16" max="16" width="24.88671875" style="55" bestFit="1" customWidth="1"/>
    <col min="17" max="17" width="23.33203125" style="55" bestFit="1" customWidth="1"/>
    <col min="18" max="18" width="17.88671875" style="55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195"/>
      <c r="W2" s="195"/>
      <c r="X2" s="195"/>
      <c r="Y2" s="195"/>
      <c r="Z2" s="195"/>
      <c r="AA2" s="195"/>
      <c r="AB2" s="195"/>
      <c r="AC2" s="195"/>
      <c r="AD2" s="195"/>
      <c r="AE2" s="195"/>
      <c r="AF2" s="195"/>
      <c r="AG2" s="195"/>
      <c r="AH2" s="195"/>
      <c r="AI2" s="195"/>
      <c r="AJ2" s="195"/>
      <c r="AK2" s="195"/>
      <c r="AL2" s="195"/>
      <c r="AM2" s="195"/>
      <c r="AN2" s="195"/>
      <c r="AO2" s="195"/>
      <c r="AP2" s="195"/>
      <c r="AQ2" s="195"/>
      <c r="AR2" s="195"/>
      <c r="AS2" s="195"/>
      <c r="AT2" s="195"/>
      <c r="AU2" s="195"/>
      <c r="AV2" s="195"/>
      <c r="AW2" s="195"/>
      <c r="AX2" s="195"/>
      <c r="AY2" s="195"/>
      <c r="AZ2" s="195"/>
      <c r="BA2" s="195"/>
      <c r="BB2" s="195"/>
      <c r="BC2" s="195"/>
      <c r="BD2" s="195"/>
      <c r="BE2" s="195"/>
      <c r="BF2" s="195"/>
      <c r="BG2" s="195"/>
      <c r="BH2" s="195"/>
      <c r="BI2" s="195"/>
      <c r="BJ2" s="195"/>
      <c r="BK2" s="195"/>
      <c r="BL2" s="195"/>
      <c r="BM2" s="195"/>
      <c r="BN2" s="195"/>
      <c r="BO2" s="195"/>
      <c r="BP2" s="195"/>
      <c r="BQ2" s="195"/>
      <c r="BR2" s="195"/>
      <c r="BS2" s="195"/>
      <c r="BT2" s="195"/>
      <c r="BU2" s="195"/>
      <c r="BV2" s="195"/>
      <c r="BW2" s="195"/>
      <c r="BX2" s="195"/>
      <c r="BY2" s="195"/>
      <c r="BZ2" s="195"/>
      <c r="CA2" s="195"/>
      <c r="CB2" s="195"/>
      <c r="CC2" s="195"/>
      <c r="CD2" s="195"/>
      <c r="CE2" s="195"/>
      <c r="CF2" s="195"/>
      <c r="CG2" s="195"/>
      <c r="CH2" s="195"/>
      <c r="CI2" s="195"/>
      <c r="CJ2" s="195"/>
      <c r="CK2" s="195"/>
      <c r="CL2" s="195"/>
      <c r="CM2" s="195"/>
      <c r="CN2" s="195"/>
      <c r="CO2" s="195"/>
      <c r="CP2" s="195"/>
      <c r="CQ2" s="195"/>
      <c r="CR2" s="195"/>
      <c r="CS2" s="195"/>
      <c r="CT2" s="195"/>
      <c r="CU2" s="195"/>
      <c r="CV2" s="195"/>
      <c r="CW2" s="195"/>
      <c r="CX2" s="195"/>
      <c r="CY2" s="195"/>
      <c r="CZ2" s="195"/>
      <c r="DA2" s="195"/>
      <c r="DB2" s="195"/>
      <c r="DC2" s="195"/>
      <c r="DD2" s="195"/>
      <c r="DE2" s="195"/>
      <c r="DF2" s="195"/>
      <c r="DG2" s="195"/>
      <c r="DH2" s="195"/>
      <c r="DI2" s="195"/>
      <c r="DJ2" s="195"/>
      <c r="DK2" s="195"/>
      <c r="DL2" s="195"/>
      <c r="DM2" s="195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195"/>
      <c r="GA2" s="195"/>
      <c r="GB2" s="195"/>
      <c r="GC2" s="195"/>
      <c r="GD2" s="195"/>
      <c r="GE2" s="195"/>
    </row>
    <row r="3" spans="2:187" ht="23.25" hidden="1" customHeight="1" x14ac:dyDescent="0.3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3">
      <c r="B4"/>
      <c r="C4"/>
      <c r="D4" s="197" t="s">
        <v>204</v>
      </c>
      <c r="E4" s="196"/>
      <c r="F4" s="196"/>
      <c r="G4" s="196"/>
      <c r="H4" s="196"/>
      <c r="I4" s="196" t="s">
        <v>205</v>
      </c>
      <c r="J4" s="196"/>
      <c r="K4" s="196"/>
      <c r="L4" s="196"/>
      <c r="M4" s="196"/>
      <c r="N4" s="196" t="s">
        <v>206</v>
      </c>
      <c r="O4" s="196"/>
      <c r="P4" s="196"/>
      <c r="Q4" s="196"/>
      <c r="R4" s="196"/>
    </row>
    <row r="5" spans="2:187" x14ac:dyDescent="0.3">
      <c r="B5" s="126" t="s">
        <v>199</v>
      </c>
      <c r="C5" s="126" t="s">
        <v>200</v>
      </c>
      <c r="D5" s="137" t="s">
        <v>209</v>
      </c>
      <c r="E5" s="126" t="s">
        <v>210</v>
      </c>
      <c r="F5" s="126" t="s">
        <v>213</v>
      </c>
      <c r="G5" s="126" t="s">
        <v>212</v>
      </c>
      <c r="H5" s="126" t="s">
        <v>211</v>
      </c>
      <c r="I5" s="126" t="s">
        <v>214</v>
      </c>
      <c r="J5" s="126" t="s">
        <v>215</v>
      </c>
      <c r="K5" s="126" t="s">
        <v>216</v>
      </c>
      <c r="L5" s="126" t="s">
        <v>217</v>
      </c>
      <c r="M5" s="126" t="s">
        <v>218</v>
      </c>
      <c r="N5" s="126" t="s">
        <v>219</v>
      </c>
      <c r="O5" s="126" t="s">
        <v>220</v>
      </c>
      <c r="P5" s="126" t="s">
        <v>221</v>
      </c>
      <c r="Q5" s="126" t="s">
        <v>222</v>
      </c>
      <c r="R5" s="126" t="s">
        <v>223</v>
      </c>
      <c r="S5" s="127" t="s">
        <v>207</v>
      </c>
      <c r="T5" s="127" t="s">
        <v>208</v>
      </c>
    </row>
    <row r="6" spans="2:187" x14ac:dyDescent="0.3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201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84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84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3">
      <c r="B7" s="128">
        <f>B6+1</f>
        <v>46197</v>
      </c>
      <c r="C7" s="129" t="str">
        <f t="shared" si="0"/>
        <v>Wednesday</v>
      </c>
      <c r="D7" s="138" t="s">
        <v>201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224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84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3">
      <c r="B8" s="128">
        <f t="shared" ref="B8:B71" si="7">B7+1</f>
        <v>46198</v>
      </c>
      <c r="C8" s="129" t="str">
        <f t="shared" si="0"/>
        <v>Thursday</v>
      </c>
      <c r="D8" s="138" t="s">
        <v>84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84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84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3">
      <c r="B9" s="128">
        <f t="shared" si="7"/>
        <v>46199</v>
      </c>
      <c r="C9" s="129" t="str">
        <f t="shared" si="0"/>
        <v>Friday</v>
      </c>
      <c r="D9" s="138" t="s">
        <v>84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84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84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3">
      <c r="B10" s="128">
        <f t="shared" si="7"/>
        <v>46200</v>
      </c>
      <c r="C10" s="129" t="str">
        <f t="shared" si="0"/>
        <v>Saturday</v>
      </c>
      <c r="D10" s="138" t="s">
        <v>84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84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84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3">
      <c r="B11" s="128">
        <f t="shared" si="7"/>
        <v>46201</v>
      </c>
      <c r="C11" s="129" t="str">
        <f t="shared" si="0"/>
        <v>Sunday</v>
      </c>
      <c r="D11" s="138" t="s">
        <v>225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84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84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3">
      <c r="B12" s="128">
        <f t="shared" si="7"/>
        <v>46202</v>
      </c>
      <c r="C12" s="129" t="str">
        <f t="shared" si="0"/>
        <v>Monday</v>
      </c>
      <c r="D12" s="138" t="s">
        <v>84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84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84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3">
      <c r="B13" s="128">
        <f t="shared" si="7"/>
        <v>46203</v>
      </c>
      <c r="C13" s="129" t="str">
        <f t="shared" si="0"/>
        <v>Tuesday</v>
      </c>
      <c r="D13" s="138" t="s">
        <v>84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84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84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3">
      <c r="B14" s="128">
        <f t="shared" si="7"/>
        <v>46204</v>
      </c>
      <c r="C14" s="129" t="str">
        <f t="shared" si="0"/>
        <v>Wednesday</v>
      </c>
      <c r="D14" s="138" t="s">
        <v>225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84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84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3">
      <c r="B15" s="128">
        <f t="shared" si="7"/>
        <v>46205</v>
      </c>
      <c r="C15" s="129" t="str">
        <f t="shared" si="0"/>
        <v>Thursday</v>
      </c>
      <c r="D15" s="138" t="s">
        <v>84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84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84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3">
      <c r="B16" s="128">
        <f t="shared" si="7"/>
        <v>46206</v>
      </c>
      <c r="C16" s="129" t="str">
        <f t="shared" si="0"/>
        <v>Friday</v>
      </c>
      <c r="D16" s="138" t="s">
        <v>84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84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84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3">
      <c r="B17" s="128">
        <f t="shared" si="7"/>
        <v>46207</v>
      </c>
      <c r="C17" s="129" t="str">
        <f t="shared" si="0"/>
        <v>Saturday</v>
      </c>
      <c r="D17" s="138" t="s">
        <v>84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84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84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3">
      <c r="B18" s="128">
        <f t="shared" si="7"/>
        <v>46208</v>
      </c>
      <c r="C18" s="129" t="str">
        <f t="shared" si="0"/>
        <v>Sunday</v>
      </c>
      <c r="D18" s="138" t="s">
        <v>84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84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84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3">
      <c r="B19" s="128">
        <f t="shared" si="7"/>
        <v>46209</v>
      </c>
      <c r="C19" s="129" t="str">
        <f t="shared" si="0"/>
        <v>Monday</v>
      </c>
      <c r="D19" s="138" t="s">
        <v>84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84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84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3">
      <c r="B20" s="128">
        <f t="shared" si="7"/>
        <v>46210</v>
      </c>
      <c r="C20" s="129" t="str">
        <f t="shared" si="0"/>
        <v>Tuesday</v>
      </c>
      <c r="D20" s="138" t="s">
        <v>84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84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84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3">
      <c r="B21" s="128">
        <f t="shared" si="7"/>
        <v>46211</v>
      </c>
      <c r="C21" s="129" t="str">
        <f t="shared" si="0"/>
        <v>Wednesday</v>
      </c>
      <c r="D21" s="138" t="s">
        <v>84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84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84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3">
      <c r="B22" s="128">
        <f t="shared" si="7"/>
        <v>46212</v>
      </c>
      <c r="C22" s="129" t="str">
        <f t="shared" si="0"/>
        <v>Thursday</v>
      </c>
      <c r="D22" s="138" t="s">
        <v>84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84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84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3">
      <c r="B23" s="128">
        <f t="shared" si="7"/>
        <v>46213</v>
      </c>
      <c r="C23" s="129" t="str">
        <f t="shared" si="0"/>
        <v>Friday</v>
      </c>
      <c r="D23" s="138" t="s">
        <v>84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84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84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3">
      <c r="B24" s="128">
        <f t="shared" si="7"/>
        <v>46214</v>
      </c>
      <c r="C24" s="129" t="str">
        <f t="shared" si="0"/>
        <v>Saturday</v>
      </c>
      <c r="D24" s="138" t="s">
        <v>84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84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84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3">
      <c r="B25" s="128">
        <f t="shared" si="7"/>
        <v>46215</v>
      </c>
      <c r="C25" s="129" t="str">
        <f t="shared" si="0"/>
        <v>Sunday</v>
      </c>
      <c r="D25" s="138" t="s">
        <v>84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84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84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3">
      <c r="B26" s="128">
        <f t="shared" si="7"/>
        <v>46216</v>
      </c>
      <c r="C26" s="129" t="str">
        <f t="shared" si="0"/>
        <v>Monday</v>
      </c>
      <c r="D26" s="138" t="s">
        <v>84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84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84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3">
      <c r="B27" s="128">
        <f t="shared" si="7"/>
        <v>46217</v>
      </c>
      <c r="C27" s="129" t="str">
        <f t="shared" si="0"/>
        <v>Tuesday</v>
      </c>
      <c r="D27" s="138" t="s">
        <v>84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84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84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3">
      <c r="B28" s="128">
        <f t="shared" si="7"/>
        <v>46218</v>
      </c>
      <c r="C28" s="129" t="str">
        <f t="shared" si="0"/>
        <v>Wednesday</v>
      </c>
      <c r="D28" s="138" t="s">
        <v>84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84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84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3">
      <c r="B29" s="128">
        <f t="shared" si="7"/>
        <v>46219</v>
      </c>
      <c r="C29" s="129" t="str">
        <f t="shared" si="0"/>
        <v>Thursday</v>
      </c>
      <c r="D29" s="138" t="s">
        <v>84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84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84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3">
      <c r="B30" s="128">
        <f t="shared" si="7"/>
        <v>46220</v>
      </c>
      <c r="C30" s="129" t="str">
        <f t="shared" si="0"/>
        <v>Friday</v>
      </c>
      <c r="D30" s="138" t="s">
        <v>84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84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84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3">
      <c r="B31" s="128">
        <f t="shared" si="7"/>
        <v>46221</v>
      </c>
      <c r="C31" s="129" t="str">
        <f t="shared" si="0"/>
        <v>Saturday</v>
      </c>
      <c r="D31" s="138" t="s">
        <v>84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84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84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3">
      <c r="B32" s="128">
        <f t="shared" si="7"/>
        <v>46222</v>
      </c>
      <c r="C32" s="129" t="str">
        <f t="shared" si="0"/>
        <v>Sunday</v>
      </c>
      <c r="D32" s="138" t="s">
        <v>84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84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84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3">
      <c r="B33" s="128">
        <f t="shared" si="7"/>
        <v>46223</v>
      </c>
      <c r="C33" s="129" t="str">
        <f t="shared" si="0"/>
        <v>Monday</v>
      </c>
      <c r="D33" s="138" t="s">
        <v>84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84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84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3">
      <c r="B34" s="128">
        <f t="shared" si="7"/>
        <v>46224</v>
      </c>
      <c r="C34" s="129" t="str">
        <f t="shared" si="0"/>
        <v>Tuesday</v>
      </c>
      <c r="D34" s="138" t="s">
        <v>224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84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84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3">
      <c r="B35" s="128">
        <f t="shared" si="7"/>
        <v>46225</v>
      </c>
      <c r="C35" s="129" t="str">
        <f t="shared" si="0"/>
        <v>Wednesday</v>
      </c>
      <c r="D35" s="138" t="s">
        <v>224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84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84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3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84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84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3">
      <c r="B37" s="128">
        <f t="shared" si="7"/>
        <v>46227</v>
      </c>
      <c r="C37" s="129" t="str">
        <f t="shared" si="0"/>
        <v>Friday</v>
      </c>
      <c r="D37" s="138" t="s">
        <v>224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84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84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3">
      <c r="B38" s="128">
        <f t="shared" si="7"/>
        <v>46228</v>
      </c>
      <c r="C38" s="129" t="str">
        <f t="shared" si="0"/>
        <v>Saturday</v>
      </c>
      <c r="D38" s="138" t="s">
        <v>84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84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84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3">
      <c r="B39" s="128">
        <f t="shared" si="7"/>
        <v>46229</v>
      </c>
      <c r="C39" s="129" t="str">
        <f t="shared" si="0"/>
        <v>Sunday</v>
      </c>
      <c r="D39" s="138" t="s">
        <v>84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84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84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3">
      <c r="B40" s="128">
        <f t="shared" si="7"/>
        <v>46230</v>
      </c>
      <c r="C40" s="129" t="str">
        <f t="shared" si="0"/>
        <v>Monday</v>
      </c>
      <c r="D40" s="138" t="s">
        <v>84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84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84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3">
      <c r="B41" s="128">
        <f t="shared" si="7"/>
        <v>46231</v>
      </c>
      <c r="C41" s="129" t="str">
        <f t="shared" si="0"/>
        <v>Tuesday</v>
      </c>
      <c r="D41" s="138" t="s">
        <v>224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84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84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3">
      <c r="B42" s="128">
        <f t="shared" si="7"/>
        <v>46232</v>
      </c>
      <c r="C42" s="129" t="str">
        <f t="shared" si="0"/>
        <v>Wednesday</v>
      </c>
      <c r="D42" s="138" t="s">
        <v>224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84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84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3">
      <c r="B43" s="128">
        <f t="shared" si="7"/>
        <v>46233</v>
      </c>
      <c r="C43" s="129" t="str">
        <f t="shared" si="0"/>
        <v>Thursday</v>
      </c>
      <c r="D43" s="138" t="s">
        <v>84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84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84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3">
      <c r="B44" s="128">
        <f t="shared" si="7"/>
        <v>46234</v>
      </c>
      <c r="C44" s="129" t="str">
        <f t="shared" si="0"/>
        <v>Friday</v>
      </c>
      <c r="D44" s="138" t="s">
        <v>84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84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84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3">
      <c r="B45" s="128">
        <f t="shared" si="7"/>
        <v>46235</v>
      </c>
      <c r="C45" s="129" t="str">
        <f t="shared" si="0"/>
        <v>Saturday</v>
      </c>
      <c r="D45" s="138" t="s">
        <v>84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84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84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3">
      <c r="B46" s="128">
        <f t="shared" si="7"/>
        <v>46236</v>
      </c>
      <c r="C46" s="129" t="str">
        <f t="shared" si="0"/>
        <v>Sunday</v>
      </c>
      <c r="D46" s="138" t="s">
        <v>224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84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84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3">
      <c r="B47" s="128">
        <f t="shared" si="7"/>
        <v>46237</v>
      </c>
      <c r="C47" s="129" t="str">
        <f t="shared" si="0"/>
        <v>Monday</v>
      </c>
      <c r="D47" s="138" t="s">
        <v>84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84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84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3">
      <c r="B48" s="128">
        <f t="shared" si="7"/>
        <v>46238</v>
      </c>
      <c r="C48" s="129" t="str">
        <f t="shared" si="0"/>
        <v>Tuesday</v>
      </c>
      <c r="D48" s="138" t="s">
        <v>224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84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84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3">
      <c r="B49" s="128">
        <f t="shared" si="7"/>
        <v>46239</v>
      </c>
      <c r="C49" s="129" t="str">
        <f t="shared" si="0"/>
        <v>Wednesday</v>
      </c>
      <c r="D49" s="138" t="s">
        <v>224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84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84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3">
      <c r="B50" s="128">
        <f t="shared" si="7"/>
        <v>46240</v>
      </c>
      <c r="C50" s="129" t="str">
        <f t="shared" si="0"/>
        <v>Thursday</v>
      </c>
      <c r="D50" s="138" t="s">
        <v>84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84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84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3">
      <c r="B51" s="128">
        <f t="shared" si="7"/>
        <v>46241</v>
      </c>
      <c r="C51" s="129" t="str">
        <f t="shared" si="0"/>
        <v>Friday</v>
      </c>
      <c r="D51" s="138" t="s">
        <v>84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84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84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3">
      <c r="B52" s="128">
        <f t="shared" si="7"/>
        <v>46242</v>
      </c>
      <c r="C52" s="129" t="str">
        <f t="shared" si="0"/>
        <v>Saturday</v>
      </c>
      <c r="D52" s="138" t="s">
        <v>84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84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84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3">
      <c r="B53" s="128">
        <f t="shared" si="7"/>
        <v>46243</v>
      </c>
      <c r="C53" s="129" t="str">
        <f t="shared" si="0"/>
        <v>Sunday</v>
      </c>
      <c r="D53" s="138" t="s">
        <v>84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84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84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3">
      <c r="B54" s="128">
        <f t="shared" si="7"/>
        <v>46244</v>
      </c>
      <c r="C54" s="129" t="str">
        <f t="shared" si="0"/>
        <v>Monday</v>
      </c>
      <c r="D54" s="138" t="s">
        <v>224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84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84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3">
      <c r="B55" s="128">
        <f t="shared" si="7"/>
        <v>46245</v>
      </c>
      <c r="C55" s="129" t="str">
        <f t="shared" si="0"/>
        <v>Tuesday</v>
      </c>
      <c r="D55" s="138" t="s">
        <v>224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84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84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3">
      <c r="B56" s="128">
        <f t="shared" si="7"/>
        <v>46246</v>
      </c>
      <c r="C56" s="129" t="str">
        <f t="shared" si="0"/>
        <v>Wednesday</v>
      </c>
      <c r="D56" s="138" t="s">
        <v>84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84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84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3">
      <c r="B57" s="128">
        <f t="shared" si="7"/>
        <v>46247</v>
      </c>
      <c r="C57" s="129" t="str">
        <f t="shared" si="0"/>
        <v>Thursday</v>
      </c>
      <c r="D57" s="138" t="s">
        <v>84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84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84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3">
      <c r="B58" s="128">
        <f t="shared" si="7"/>
        <v>46248</v>
      </c>
      <c r="C58" s="129" t="str">
        <f t="shared" si="0"/>
        <v>Friday</v>
      </c>
      <c r="D58" s="138" t="s">
        <v>84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84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84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3">
      <c r="B59" s="128">
        <f t="shared" si="7"/>
        <v>46249</v>
      </c>
      <c r="C59" s="129" t="str">
        <f t="shared" si="0"/>
        <v>Saturday</v>
      </c>
      <c r="D59" s="138" t="s">
        <v>84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84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84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3">
      <c r="B60" s="128">
        <f t="shared" si="7"/>
        <v>46250</v>
      </c>
      <c r="C60" s="129" t="str">
        <f t="shared" si="0"/>
        <v>Sunday</v>
      </c>
      <c r="D60" s="138" t="s">
        <v>84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84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84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3">
      <c r="B61" s="128">
        <f t="shared" si="7"/>
        <v>46251</v>
      </c>
      <c r="C61" s="129" t="str">
        <f t="shared" si="0"/>
        <v>Monday</v>
      </c>
      <c r="D61" s="138" t="s">
        <v>84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84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84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3">
      <c r="B62" s="128">
        <f t="shared" si="7"/>
        <v>46252</v>
      </c>
      <c r="C62" s="129" t="str">
        <f t="shared" si="0"/>
        <v>Tuesday</v>
      </c>
      <c r="D62" s="138" t="s">
        <v>224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84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84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3">
      <c r="B63" s="128">
        <f t="shared" si="7"/>
        <v>46253</v>
      </c>
      <c r="C63" s="129" t="str">
        <f t="shared" si="0"/>
        <v>Wednesday</v>
      </c>
      <c r="D63" s="138" t="s">
        <v>84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84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84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3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84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84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3">
      <c r="B65" s="128">
        <f t="shared" si="7"/>
        <v>46255</v>
      </c>
      <c r="C65" s="129" t="str">
        <f t="shared" si="0"/>
        <v>Friday</v>
      </c>
      <c r="D65" s="138" t="s">
        <v>84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84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84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3">
      <c r="B66" s="128">
        <f t="shared" si="7"/>
        <v>46256</v>
      </c>
      <c r="C66" s="129" t="str">
        <f t="shared" si="0"/>
        <v>Saturday</v>
      </c>
      <c r="D66" s="138" t="s">
        <v>84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84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84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3">
      <c r="B67" s="128">
        <f t="shared" si="7"/>
        <v>46257</v>
      </c>
      <c r="C67" s="129" t="str">
        <f t="shared" si="0"/>
        <v>Sunday</v>
      </c>
      <c r="D67" s="138" t="s">
        <v>84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84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84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3">
      <c r="B68" s="128">
        <f t="shared" si="7"/>
        <v>46258</v>
      </c>
      <c r="C68" s="129" t="str">
        <f t="shared" si="0"/>
        <v>Monday</v>
      </c>
      <c r="D68" s="138" t="s">
        <v>84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84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84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3">
      <c r="B69" s="128">
        <f t="shared" si="7"/>
        <v>46259</v>
      </c>
      <c r="C69" s="129" t="str">
        <f t="shared" si="0"/>
        <v>Tuesday</v>
      </c>
      <c r="D69" s="138" t="s">
        <v>84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84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84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3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84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84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84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3">
      <c r="B71" s="128">
        <f t="shared" si="7"/>
        <v>46261</v>
      </c>
      <c r="C71" s="129" t="str">
        <f t="shared" si="11"/>
        <v>Thursday</v>
      </c>
      <c r="D71" s="138" t="s">
        <v>224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84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84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3">
      <c r="B72" s="128">
        <f t="shared" ref="B72:B135" si="17">B71+1</f>
        <v>46262</v>
      </c>
      <c r="C72" s="129" t="str">
        <f t="shared" si="11"/>
        <v>Friday</v>
      </c>
      <c r="D72" s="138" t="s">
        <v>84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84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84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3">
      <c r="B73" s="128">
        <f t="shared" si="17"/>
        <v>46263</v>
      </c>
      <c r="C73" s="129" t="str">
        <f t="shared" si="11"/>
        <v>Saturday</v>
      </c>
      <c r="D73" s="138" t="s">
        <v>84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84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84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3">
      <c r="B74" s="128">
        <f t="shared" si="17"/>
        <v>46264</v>
      </c>
      <c r="C74" s="129" t="str">
        <f t="shared" si="11"/>
        <v>Sunday</v>
      </c>
      <c r="D74" s="138" t="s">
        <v>84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84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84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3">
      <c r="B75" s="128">
        <f t="shared" si="17"/>
        <v>46265</v>
      </c>
      <c r="C75" s="129" t="str">
        <f t="shared" si="11"/>
        <v>Monday</v>
      </c>
      <c r="D75" s="138" t="s">
        <v>84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84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84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3">
      <c r="B76" s="128">
        <f t="shared" si="17"/>
        <v>46266</v>
      </c>
      <c r="C76" s="129" t="str">
        <f t="shared" si="11"/>
        <v>Tuesday</v>
      </c>
      <c r="D76" s="138" t="s">
        <v>224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84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84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3">
      <c r="B77" s="128">
        <f t="shared" si="17"/>
        <v>46267</v>
      </c>
      <c r="C77" s="129" t="str">
        <f t="shared" si="11"/>
        <v>Wednesday</v>
      </c>
      <c r="D77" s="138" t="s">
        <v>224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84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84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3">
      <c r="B78" s="128">
        <f t="shared" si="17"/>
        <v>46268</v>
      </c>
      <c r="C78" s="129" t="str">
        <f t="shared" si="11"/>
        <v>Thursday</v>
      </c>
      <c r="D78" s="138" t="s">
        <v>84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84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84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3">
      <c r="B79" s="128">
        <f t="shared" si="17"/>
        <v>46269</v>
      </c>
      <c r="C79" s="129" t="str">
        <f t="shared" si="11"/>
        <v>Friday</v>
      </c>
      <c r="D79" s="138" t="s">
        <v>84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84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84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3">
      <c r="B80" s="128">
        <f t="shared" si="17"/>
        <v>46270</v>
      </c>
      <c r="C80" s="129" t="str">
        <f t="shared" si="11"/>
        <v>Saturday</v>
      </c>
      <c r="D80" s="138" t="s">
        <v>84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84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84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3">
      <c r="B81" s="128">
        <f t="shared" si="17"/>
        <v>46271</v>
      </c>
      <c r="C81" s="129" t="str">
        <f t="shared" si="11"/>
        <v>Sunday</v>
      </c>
      <c r="D81" s="138" t="s">
        <v>84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84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84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3">
      <c r="B82" s="128">
        <f t="shared" si="17"/>
        <v>46272</v>
      </c>
      <c r="C82" s="129" t="str">
        <f t="shared" si="11"/>
        <v>Monday</v>
      </c>
      <c r="D82" s="138" t="s">
        <v>84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84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84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3">
      <c r="B83" s="128">
        <f t="shared" si="17"/>
        <v>46273</v>
      </c>
      <c r="C83" s="129" t="str">
        <f t="shared" si="11"/>
        <v>Tuesday</v>
      </c>
      <c r="D83" s="138" t="s">
        <v>84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84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84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3">
      <c r="B84" s="128">
        <f t="shared" si="17"/>
        <v>46274</v>
      </c>
      <c r="C84" s="129" t="str">
        <f t="shared" si="11"/>
        <v>Wednesday</v>
      </c>
      <c r="D84" s="138" t="s">
        <v>84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84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84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3">
      <c r="B85" s="128">
        <f t="shared" si="17"/>
        <v>46275</v>
      </c>
      <c r="C85" s="129" t="str">
        <f t="shared" si="11"/>
        <v>Thursday</v>
      </c>
      <c r="D85" s="138" t="s">
        <v>84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84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84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3">
      <c r="B86" s="128">
        <f t="shared" si="17"/>
        <v>46276</v>
      </c>
      <c r="C86" s="129" t="str">
        <f t="shared" si="11"/>
        <v>Friday</v>
      </c>
      <c r="D86" s="138" t="s">
        <v>84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84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84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3">
      <c r="B87" s="128">
        <f t="shared" si="17"/>
        <v>46277</v>
      </c>
      <c r="C87" s="129" t="str">
        <f t="shared" si="11"/>
        <v>Saturday</v>
      </c>
      <c r="D87" s="138" t="s">
        <v>84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84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84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3">
      <c r="B88" s="128">
        <f t="shared" si="17"/>
        <v>46278</v>
      </c>
      <c r="C88" s="129" t="str">
        <f t="shared" si="11"/>
        <v>Sunday</v>
      </c>
      <c r="D88" s="138" t="s">
        <v>84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84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84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3">
      <c r="B89" s="128">
        <f t="shared" si="17"/>
        <v>46279</v>
      </c>
      <c r="C89" s="129" t="str">
        <f t="shared" si="11"/>
        <v>Monday</v>
      </c>
      <c r="D89" s="138" t="s">
        <v>84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84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84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3">
      <c r="B90" s="128">
        <f t="shared" si="17"/>
        <v>46280</v>
      </c>
      <c r="C90" s="129" t="str">
        <f t="shared" si="11"/>
        <v>Tuesday</v>
      </c>
      <c r="D90" s="138" t="s">
        <v>84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84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84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3">
      <c r="B91" s="128">
        <f t="shared" si="17"/>
        <v>46281</v>
      </c>
      <c r="C91" s="129" t="str">
        <f t="shared" si="11"/>
        <v>Wednesday</v>
      </c>
      <c r="D91" s="138" t="s">
        <v>84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84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84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3">
      <c r="B92" s="128">
        <f t="shared" si="17"/>
        <v>46282</v>
      </c>
      <c r="C92" s="129" t="str">
        <f t="shared" si="11"/>
        <v>Thursday</v>
      </c>
      <c r="D92" s="138" t="s">
        <v>84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84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84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3">
      <c r="B93" s="128">
        <f t="shared" si="17"/>
        <v>46283</v>
      </c>
      <c r="C93" s="129" t="str">
        <f t="shared" si="11"/>
        <v>Friday</v>
      </c>
      <c r="D93" s="138" t="s">
        <v>84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84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84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3">
      <c r="B94" s="128">
        <f t="shared" si="17"/>
        <v>46284</v>
      </c>
      <c r="C94" s="129" t="str">
        <f t="shared" si="11"/>
        <v>Saturday</v>
      </c>
      <c r="D94" s="138" t="s">
        <v>84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84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84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3">
      <c r="B95" s="128">
        <f t="shared" si="17"/>
        <v>46285</v>
      </c>
      <c r="C95" s="129" t="str">
        <f t="shared" si="11"/>
        <v>Sunday</v>
      </c>
      <c r="D95" s="138" t="s">
        <v>84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84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84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3">
      <c r="B96" s="128">
        <f t="shared" si="17"/>
        <v>46286</v>
      </c>
      <c r="C96" s="129" t="str">
        <f t="shared" si="11"/>
        <v>Monday</v>
      </c>
      <c r="D96" s="138" t="s">
        <v>84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84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84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3">
      <c r="B97" s="128">
        <f t="shared" si="17"/>
        <v>46287</v>
      </c>
      <c r="C97" s="129" t="str">
        <f t="shared" si="11"/>
        <v>Tuesday</v>
      </c>
      <c r="D97" s="138" t="s">
        <v>84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84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84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3">
      <c r="B98" s="128">
        <f t="shared" si="17"/>
        <v>46288</v>
      </c>
      <c r="C98" s="129" t="str">
        <f t="shared" si="11"/>
        <v>Wednesday</v>
      </c>
      <c r="D98" s="138" t="s">
        <v>84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84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84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3">
      <c r="B99" s="128">
        <f t="shared" si="17"/>
        <v>46289</v>
      </c>
      <c r="C99" s="129" t="str">
        <f t="shared" si="11"/>
        <v>Thursday</v>
      </c>
      <c r="D99" s="138" t="s">
        <v>84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84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84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3">
      <c r="B100" s="128">
        <f t="shared" si="17"/>
        <v>46290</v>
      </c>
      <c r="C100" s="129" t="str">
        <f t="shared" si="11"/>
        <v>Friday</v>
      </c>
      <c r="D100" s="138" t="s">
        <v>84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84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84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3">
      <c r="B101" s="128">
        <f t="shared" si="17"/>
        <v>46291</v>
      </c>
      <c r="C101" s="129" t="str">
        <f t="shared" si="11"/>
        <v>Saturday</v>
      </c>
      <c r="D101" s="138" t="s">
        <v>84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84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84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3">
      <c r="B102" s="128">
        <f t="shared" si="17"/>
        <v>46292</v>
      </c>
      <c r="C102" s="129" t="str">
        <f t="shared" si="11"/>
        <v>Sunday</v>
      </c>
      <c r="D102" s="138" t="s">
        <v>84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84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84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3">
      <c r="B103" s="128">
        <f t="shared" si="17"/>
        <v>46293</v>
      </c>
      <c r="C103" s="129" t="str">
        <f t="shared" si="11"/>
        <v>Monday</v>
      </c>
      <c r="D103" s="138" t="s">
        <v>84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84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84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3">
      <c r="B104" s="128">
        <f t="shared" si="17"/>
        <v>46294</v>
      </c>
      <c r="C104" s="129" t="str">
        <f t="shared" si="11"/>
        <v>Tuesday</v>
      </c>
      <c r="D104" s="138" t="s">
        <v>84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84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84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3">
      <c r="B105" s="128">
        <f t="shared" si="17"/>
        <v>46295</v>
      </c>
      <c r="C105" s="129" t="str">
        <f t="shared" si="11"/>
        <v>Wednesday</v>
      </c>
      <c r="D105" s="138" t="s">
        <v>84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84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84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3">
      <c r="B106" s="128">
        <f t="shared" si="17"/>
        <v>46296</v>
      </c>
      <c r="C106" s="129" t="str">
        <f t="shared" si="11"/>
        <v>Thursday</v>
      </c>
      <c r="D106" s="138" t="s">
        <v>84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84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84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3">
      <c r="B107" s="128">
        <f t="shared" si="17"/>
        <v>46297</v>
      </c>
      <c r="C107" s="129" t="str">
        <f t="shared" si="11"/>
        <v>Friday</v>
      </c>
      <c r="D107" s="138" t="s">
        <v>84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84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84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3">
      <c r="B108" s="128">
        <f t="shared" si="17"/>
        <v>46298</v>
      </c>
      <c r="C108" s="129" t="str">
        <f t="shared" si="11"/>
        <v>Saturday</v>
      </c>
      <c r="D108" s="138" t="s">
        <v>84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84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84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3">
      <c r="B109" s="128">
        <f t="shared" si="17"/>
        <v>46299</v>
      </c>
      <c r="C109" s="129" t="str">
        <f t="shared" si="11"/>
        <v>Sunday</v>
      </c>
      <c r="D109" s="138" t="s">
        <v>84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84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84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3">
      <c r="B110" s="128">
        <f t="shared" si="17"/>
        <v>46300</v>
      </c>
      <c r="C110" s="129" t="str">
        <f t="shared" si="11"/>
        <v>Monday</v>
      </c>
      <c r="D110" s="138" t="s">
        <v>84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84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84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3">
      <c r="B111" s="128">
        <f t="shared" si="17"/>
        <v>46301</v>
      </c>
      <c r="C111" s="129" t="str">
        <f t="shared" si="11"/>
        <v>Tuesday</v>
      </c>
      <c r="D111" s="138" t="s">
        <v>84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84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84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3">
      <c r="B112" s="128">
        <f t="shared" si="17"/>
        <v>46302</v>
      </c>
      <c r="C112" s="129" t="str">
        <f t="shared" si="11"/>
        <v>Wednesday</v>
      </c>
      <c r="D112" s="138" t="s">
        <v>84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84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84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3">
      <c r="B113" s="128">
        <f t="shared" si="17"/>
        <v>46303</v>
      </c>
      <c r="C113" s="129" t="str">
        <f t="shared" si="11"/>
        <v>Thursday</v>
      </c>
      <c r="D113" s="138" t="s">
        <v>84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84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84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3">
      <c r="B114" s="128">
        <f t="shared" si="17"/>
        <v>46304</v>
      </c>
      <c r="C114" s="129" t="str">
        <f t="shared" si="11"/>
        <v>Friday</v>
      </c>
      <c r="D114" s="138" t="s">
        <v>84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84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84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3">
      <c r="B115" s="128">
        <f t="shared" si="17"/>
        <v>46305</v>
      </c>
      <c r="C115" s="129" t="str">
        <f t="shared" si="11"/>
        <v>Saturday</v>
      </c>
      <c r="D115" s="138" t="s">
        <v>84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84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84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3">
      <c r="B116" s="128">
        <f t="shared" si="17"/>
        <v>46306</v>
      </c>
      <c r="C116" s="129" t="str">
        <f t="shared" si="11"/>
        <v>Sunday</v>
      </c>
      <c r="D116" s="138" t="s">
        <v>84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84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84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3">
      <c r="B117" s="128">
        <f t="shared" si="17"/>
        <v>46307</v>
      </c>
      <c r="C117" s="129" t="str">
        <f t="shared" si="11"/>
        <v>Monday</v>
      </c>
      <c r="D117" s="138" t="s">
        <v>84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84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84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3">
      <c r="B118" s="128">
        <f t="shared" si="17"/>
        <v>46308</v>
      </c>
      <c r="C118" s="129" t="str">
        <f t="shared" si="11"/>
        <v>Tuesday</v>
      </c>
      <c r="D118" s="138" t="s">
        <v>84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84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84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3">
      <c r="B119" s="128">
        <f t="shared" si="17"/>
        <v>46309</v>
      </c>
      <c r="C119" s="129" t="str">
        <f t="shared" si="11"/>
        <v>Wednesday</v>
      </c>
      <c r="D119" s="138" t="s">
        <v>84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84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84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3">
      <c r="B120" s="128">
        <f t="shared" si="17"/>
        <v>46310</v>
      </c>
      <c r="C120" s="129" t="str">
        <f t="shared" si="11"/>
        <v>Thursday</v>
      </c>
      <c r="D120" s="138" t="s">
        <v>84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84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84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3">
      <c r="B121" s="128">
        <f t="shared" si="17"/>
        <v>46311</v>
      </c>
      <c r="C121" s="129" t="str">
        <f t="shared" si="11"/>
        <v>Friday</v>
      </c>
      <c r="D121" s="138" t="s">
        <v>84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84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84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3">
      <c r="B122" s="128">
        <f t="shared" si="17"/>
        <v>46312</v>
      </c>
      <c r="C122" s="129" t="str">
        <f t="shared" si="11"/>
        <v>Saturday</v>
      </c>
      <c r="D122" s="138" t="s">
        <v>84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84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84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3">
      <c r="B123" s="128">
        <f t="shared" si="17"/>
        <v>46313</v>
      </c>
      <c r="C123" s="129" t="str">
        <f t="shared" si="11"/>
        <v>Sunday</v>
      </c>
      <c r="D123" s="138" t="s">
        <v>84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84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84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3">
      <c r="B124" s="128">
        <f t="shared" si="17"/>
        <v>46314</v>
      </c>
      <c r="C124" s="129" t="str">
        <f t="shared" si="11"/>
        <v>Monday</v>
      </c>
      <c r="D124" s="138" t="s">
        <v>84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84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84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3">
      <c r="B125" s="128">
        <f t="shared" si="17"/>
        <v>46315</v>
      </c>
      <c r="C125" s="129" t="str">
        <f t="shared" si="11"/>
        <v>Tuesday</v>
      </c>
      <c r="D125" s="138" t="s">
        <v>84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84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84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3">
      <c r="B126" s="128">
        <f t="shared" si="17"/>
        <v>46316</v>
      </c>
      <c r="C126" s="129" t="str">
        <f t="shared" si="11"/>
        <v>Wednesday</v>
      </c>
      <c r="D126" s="138" t="s">
        <v>84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84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84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3">
      <c r="B127" s="128">
        <f t="shared" si="17"/>
        <v>46317</v>
      </c>
      <c r="C127" s="129" t="str">
        <f t="shared" si="11"/>
        <v>Thursday</v>
      </c>
      <c r="D127" s="138" t="s">
        <v>84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84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84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3">
      <c r="B128" s="128">
        <f t="shared" si="17"/>
        <v>46318</v>
      </c>
      <c r="C128" s="129" t="str">
        <f t="shared" si="11"/>
        <v>Friday</v>
      </c>
      <c r="D128" s="138" t="s">
        <v>84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84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84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3">
      <c r="B129" s="128">
        <f t="shared" si="17"/>
        <v>46319</v>
      </c>
      <c r="C129" s="129" t="str">
        <f t="shared" si="11"/>
        <v>Saturday</v>
      </c>
      <c r="D129" s="138" t="s">
        <v>84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84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84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3">
      <c r="B130" s="128">
        <f t="shared" si="17"/>
        <v>46320</v>
      </c>
      <c r="C130" s="129" t="str">
        <f t="shared" si="11"/>
        <v>Sunday</v>
      </c>
      <c r="D130" s="138" t="s">
        <v>84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84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84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3">
      <c r="B131" s="128">
        <f t="shared" si="17"/>
        <v>46321</v>
      </c>
      <c r="C131" s="129" t="str">
        <f t="shared" si="11"/>
        <v>Monday</v>
      </c>
      <c r="D131" s="138" t="s">
        <v>84</v>
      </c>
      <c r="E131" s="129"/>
      <c r="F131" s="129"/>
      <c r="G131" s="129">
        <f t="shared" si="18"/>
        <v>0</v>
      </c>
      <c r="H131" s="129" t="str">
        <f t="shared" si="15"/>
        <v>0h0</v>
      </c>
      <c r="I131" s="138" t="s">
        <v>84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84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0</v>
      </c>
      <c r="T131" s="129" t="str">
        <f t="shared" si="14"/>
        <v>0h0</v>
      </c>
    </row>
    <row r="132" spans="2:20" x14ac:dyDescent="0.3">
      <c r="B132" s="128">
        <f t="shared" si="17"/>
        <v>46322</v>
      </c>
      <c r="C132" s="129" t="str">
        <f t="shared" si="11"/>
        <v>Tuesday</v>
      </c>
      <c r="D132" s="138" t="s">
        <v>84</v>
      </c>
      <c r="E132" s="129"/>
      <c r="F132" s="129"/>
      <c r="G132" s="129">
        <f t="shared" si="18"/>
        <v>0</v>
      </c>
      <c r="H132" s="129" t="str">
        <f t="shared" si="15"/>
        <v>0h0</v>
      </c>
      <c r="I132" s="138" t="s">
        <v>84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84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0</v>
      </c>
      <c r="T132" s="129" t="str">
        <f t="shared" si="14"/>
        <v>0h0</v>
      </c>
    </row>
    <row r="133" spans="2:20" x14ac:dyDescent="0.3">
      <c r="B133" s="128">
        <f t="shared" si="17"/>
        <v>46323</v>
      </c>
      <c r="C133" s="129" t="str">
        <f t="shared" si="11"/>
        <v>Wednesday</v>
      </c>
      <c r="D133" s="138" t="s">
        <v>84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84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84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3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84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84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84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3">
      <c r="B135" s="128">
        <f t="shared" si="17"/>
        <v>46325</v>
      </c>
      <c r="C135" s="129" t="str">
        <f t="shared" si="21"/>
        <v>Friday</v>
      </c>
      <c r="D135" s="138" t="s">
        <v>84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84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84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3">
      <c r="B136" s="128">
        <f t="shared" ref="B136:B199" si="27">B135+1</f>
        <v>46326</v>
      </c>
      <c r="C136" s="129" t="str">
        <f t="shared" si="21"/>
        <v>Saturday</v>
      </c>
      <c r="D136" s="138" t="s">
        <v>84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84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84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3">
      <c r="B137" s="128">
        <f t="shared" si="27"/>
        <v>46327</v>
      </c>
      <c r="C137" s="129" t="str">
        <f t="shared" si="21"/>
        <v>Sunday</v>
      </c>
      <c r="D137" s="138" t="s">
        <v>84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84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84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3">
      <c r="B138" s="128">
        <f t="shared" si="27"/>
        <v>46328</v>
      </c>
      <c r="C138" s="129" t="str">
        <f t="shared" si="21"/>
        <v>Monday</v>
      </c>
      <c r="D138" s="138" t="s">
        <v>84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84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84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3">
      <c r="B139" s="128">
        <f t="shared" si="27"/>
        <v>46329</v>
      </c>
      <c r="C139" s="129" t="str">
        <f t="shared" si="21"/>
        <v>Tuesday</v>
      </c>
      <c r="D139" s="138" t="s">
        <v>84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84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84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3">
      <c r="B140" s="128">
        <f t="shared" si="27"/>
        <v>46330</v>
      </c>
      <c r="C140" s="129" t="str">
        <f t="shared" si="21"/>
        <v>Wednesday</v>
      </c>
      <c r="D140" s="138" t="s">
        <v>84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84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84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3">
      <c r="B141" s="128">
        <f t="shared" si="27"/>
        <v>46331</v>
      </c>
      <c r="C141" s="129" t="str">
        <f t="shared" si="21"/>
        <v>Thursday</v>
      </c>
      <c r="D141" s="138" t="s">
        <v>84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84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84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3">
      <c r="B142" s="128">
        <f t="shared" si="27"/>
        <v>46332</v>
      </c>
      <c r="C142" s="129" t="str">
        <f t="shared" si="21"/>
        <v>Friday</v>
      </c>
      <c r="D142" s="138" t="s">
        <v>84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84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84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3">
      <c r="B143" s="128">
        <f t="shared" si="27"/>
        <v>46333</v>
      </c>
      <c r="C143" s="129" t="str">
        <f t="shared" si="21"/>
        <v>Saturday</v>
      </c>
      <c r="D143" s="138" t="s">
        <v>84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84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84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3">
      <c r="B144" s="128">
        <f t="shared" si="27"/>
        <v>46334</v>
      </c>
      <c r="C144" s="129" t="str">
        <f t="shared" si="21"/>
        <v>Sunday</v>
      </c>
      <c r="D144" s="138" t="s">
        <v>84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84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84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3">
      <c r="B145" s="128">
        <f t="shared" si="27"/>
        <v>46335</v>
      </c>
      <c r="C145" s="129" t="str">
        <f t="shared" si="21"/>
        <v>Monday</v>
      </c>
      <c r="D145" s="138" t="s">
        <v>84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84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84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3">
      <c r="B146" s="128">
        <f t="shared" si="27"/>
        <v>46336</v>
      </c>
      <c r="C146" s="129" t="str">
        <f t="shared" si="21"/>
        <v>Tuesday</v>
      </c>
      <c r="D146" s="138" t="s">
        <v>84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84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84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3">
      <c r="B147" s="128">
        <f t="shared" si="27"/>
        <v>46337</v>
      </c>
      <c r="C147" s="129" t="str">
        <f t="shared" si="21"/>
        <v>Wednesday</v>
      </c>
      <c r="D147" s="138" t="s">
        <v>84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84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84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3">
      <c r="B148" s="128">
        <f t="shared" si="27"/>
        <v>46338</v>
      </c>
      <c r="C148" s="129" t="str">
        <f t="shared" si="21"/>
        <v>Thursday</v>
      </c>
      <c r="D148" s="138" t="s">
        <v>84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84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84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3">
      <c r="B149" s="128">
        <f t="shared" si="27"/>
        <v>46339</v>
      </c>
      <c r="C149" s="129" t="str">
        <f t="shared" si="21"/>
        <v>Friday</v>
      </c>
      <c r="D149" s="138" t="s">
        <v>84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84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84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3">
      <c r="B150" s="128">
        <f t="shared" si="27"/>
        <v>46340</v>
      </c>
      <c r="C150" s="129" t="str">
        <f t="shared" si="21"/>
        <v>Saturday</v>
      </c>
      <c r="D150" s="138" t="s">
        <v>84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84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84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3">
      <c r="B151" s="128">
        <f t="shared" si="27"/>
        <v>46341</v>
      </c>
      <c r="C151" s="129" t="str">
        <f t="shared" si="21"/>
        <v>Sunday</v>
      </c>
      <c r="D151" s="138" t="s">
        <v>84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84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84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3">
      <c r="B152" s="128">
        <f t="shared" si="27"/>
        <v>46342</v>
      </c>
      <c r="C152" s="129" t="str">
        <f t="shared" si="21"/>
        <v>Monday</v>
      </c>
      <c r="D152" s="138" t="s">
        <v>84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84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84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3">
      <c r="B153" s="128">
        <f t="shared" si="27"/>
        <v>46343</v>
      </c>
      <c r="C153" s="129" t="str">
        <f t="shared" si="21"/>
        <v>Tuesday</v>
      </c>
      <c r="D153" s="138" t="s">
        <v>84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84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84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3">
      <c r="B154" s="128">
        <f t="shared" si="27"/>
        <v>46344</v>
      </c>
      <c r="C154" s="129" t="str">
        <f t="shared" si="21"/>
        <v>Wednesday</v>
      </c>
      <c r="D154" s="138" t="s">
        <v>84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84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84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3">
      <c r="B155" s="128">
        <f t="shared" si="27"/>
        <v>46345</v>
      </c>
      <c r="C155" s="129" t="str">
        <f t="shared" si="21"/>
        <v>Thursday</v>
      </c>
      <c r="D155" s="138" t="s">
        <v>84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84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84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3">
      <c r="B156" s="128">
        <f t="shared" si="27"/>
        <v>46346</v>
      </c>
      <c r="C156" s="129" t="str">
        <f t="shared" si="21"/>
        <v>Friday</v>
      </c>
      <c r="D156" s="138" t="s">
        <v>84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84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84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3">
      <c r="B157" s="128">
        <f t="shared" si="27"/>
        <v>46347</v>
      </c>
      <c r="C157" s="129" t="str">
        <f t="shared" si="21"/>
        <v>Saturday</v>
      </c>
      <c r="D157" s="138" t="s">
        <v>84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84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84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3">
      <c r="B158" s="128">
        <f t="shared" si="27"/>
        <v>46348</v>
      </c>
      <c r="C158" s="129" t="str">
        <f t="shared" si="21"/>
        <v>Sunday</v>
      </c>
      <c r="D158" s="138" t="s">
        <v>84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84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84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3">
      <c r="B159" s="128">
        <f t="shared" si="27"/>
        <v>46349</v>
      </c>
      <c r="C159" s="129" t="str">
        <f t="shared" si="21"/>
        <v>Monday</v>
      </c>
      <c r="D159" s="138" t="s">
        <v>84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84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84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3">
      <c r="B160" s="128">
        <f t="shared" si="27"/>
        <v>46350</v>
      </c>
      <c r="C160" s="129" t="str">
        <f t="shared" si="21"/>
        <v>Tuesday</v>
      </c>
      <c r="D160" s="138" t="s">
        <v>84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84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84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3">
      <c r="B161" s="128">
        <f t="shared" si="27"/>
        <v>46351</v>
      </c>
      <c r="C161" s="129" t="str">
        <f t="shared" si="21"/>
        <v>Wednesday</v>
      </c>
      <c r="D161" s="138" t="s">
        <v>84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84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84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3">
      <c r="B162" s="128">
        <f t="shared" si="27"/>
        <v>46352</v>
      </c>
      <c r="C162" s="129" t="str">
        <f t="shared" si="21"/>
        <v>Thursday</v>
      </c>
      <c r="D162" s="138" t="s">
        <v>84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84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84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3">
      <c r="B163" s="128">
        <f t="shared" si="27"/>
        <v>46353</v>
      </c>
      <c r="C163" s="129" t="str">
        <f t="shared" si="21"/>
        <v>Friday</v>
      </c>
      <c r="D163" s="138" t="s">
        <v>84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84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84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3">
      <c r="B164" s="128">
        <f t="shared" si="27"/>
        <v>46354</v>
      </c>
      <c r="C164" s="129" t="str">
        <f t="shared" si="21"/>
        <v>Saturday</v>
      </c>
      <c r="D164" s="138" t="s">
        <v>84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84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84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3">
      <c r="B165" s="128">
        <f t="shared" si="27"/>
        <v>46355</v>
      </c>
      <c r="C165" s="129" t="str">
        <f t="shared" si="21"/>
        <v>Sunday</v>
      </c>
      <c r="D165" s="138" t="s">
        <v>84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84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84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3">
      <c r="B166" s="128">
        <f t="shared" si="27"/>
        <v>46356</v>
      </c>
      <c r="C166" s="129" t="str">
        <f t="shared" si="21"/>
        <v>Monday</v>
      </c>
      <c r="D166" s="138" t="s">
        <v>84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84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84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3">
      <c r="B167" s="128">
        <f t="shared" si="27"/>
        <v>46357</v>
      </c>
      <c r="C167" s="129" t="str">
        <f t="shared" si="21"/>
        <v>Tuesday</v>
      </c>
      <c r="D167" s="138" t="s">
        <v>84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84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84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3">
      <c r="B168" s="128">
        <f t="shared" si="27"/>
        <v>46358</v>
      </c>
      <c r="C168" s="129" t="str">
        <f t="shared" si="21"/>
        <v>Wednesday</v>
      </c>
      <c r="D168" s="138" t="s">
        <v>84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84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84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3">
      <c r="B169" s="128">
        <f t="shared" si="27"/>
        <v>46359</v>
      </c>
      <c r="C169" s="129" t="str">
        <f t="shared" si="21"/>
        <v>Thursday</v>
      </c>
      <c r="D169" s="138" t="s">
        <v>84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84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84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3">
      <c r="B170" s="128">
        <f t="shared" si="27"/>
        <v>46360</v>
      </c>
      <c r="C170" s="129" t="str">
        <f t="shared" si="21"/>
        <v>Friday</v>
      </c>
      <c r="D170" s="138" t="s">
        <v>84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84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84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3">
      <c r="B171" s="128">
        <f t="shared" si="27"/>
        <v>46361</v>
      </c>
      <c r="C171" s="129" t="str">
        <f t="shared" si="21"/>
        <v>Saturday</v>
      </c>
      <c r="D171" s="138" t="s">
        <v>84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84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84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3">
      <c r="B172" s="128">
        <f t="shared" si="27"/>
        <v>46362</v>
      </c>
      <c r="C172" s="129" t="str">
        <f t="shared" si="21"/>
        <v>Sunday</v>
      </c>
      <c r="D172" s="138" t="s">
        <v>84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84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84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3">
      <c r="B173" s="128">
        <f t="shared" si="27"/>
        <v>46363</v>
      </c>
      <c r="C173" s="129" t="str">
        <f t="shared" si="21"/>
        <v>Monday</v>
      </c>
      <c r="D173" s="138" t="s">
        <v>84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84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84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3">
      <c r="B174" s="128">
        <f t="shared" si="27"/>
        <v>46364</v>
      </c>
      <c r="C174" s="129" t="str">
        <f t="shared" si="21"/>
        <v>Tuesday</v>
      </c>
      <c r="D174" s="138" t="s">
        <v>84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84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84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3">
      <c r="B175" s="128">
        <f t="shared" si="27"/>
        <v>46365</v>
      </c>
      <c r="C175" s="129" t="str">
        <f t="shared" si="21"/>
        <v>Wednesday</v>
      </c>
      <c r="D175" s="138" t="s">
        <v>84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84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84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3">
      <c r="B176" s="128">
        <f t="shared" si="27"/>
        <v>46366</v>
      </c>
      <c r="C176" s="129" t="str">
        <f t="shared" si="21"/>
        <v>Thursday</v>
      </c>
      <c r="D176" s="138" t="s">
        <v>84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84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84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3">
      <c r="B177" s="128">
        <f t="shared" si="27"/>
        <v>46367</v>
      </c>
      <c r="C177" s="129" t="str">
        <f t="shared" si="21"/>
        <v>Friday</v>
      </c>
      <c r="D177" s="138" t="s">
        <v>84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84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84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3">
      <c r="B178" s="128">
        <f t="shared" si="27"/>
        <v>46368</v>
      </c>
      <c r="C178" s="129" t="str">
        <f t="shared" si="21"/>
        <v>Saturday</v>
      </c>
      <c r="D178" s="138" t="s">
        <v>84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84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84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3">
      <c r="B179" s="128">
        <f t="shared" si="27"/>
        <v>46369</v>
      </c>
      <c r="C179" s="129" t="str">
        <f t="shared" si="21"/>
        <v>Sunday</v>
      </c>
      <c r="D179" s="138" t="s">
        <v>84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84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84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3">
      <c r="B180" s="128">
        <f t="shared" si="27"/>
        <v>46370</v>
      </c>
      <c r="C180" s="129" t="str">
        <f t="shared" si="21"/>
        <v>Monday</v>
      </c>
      <c r="D180" s="138" t="s">
        <v>84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84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84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3">
      <c r="B181" s="128">
        <f t="shared" si="27"/>
        <v>46371</v>
      </c>
      <c r="C181" s="129" t="str">
        <f t="shared" si="21"/>
        <v>Tuesday</v>
      </c>
      <c r="D181" s="138" t="s">
        <v>84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84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84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3">
      <c r="B182" s="128">
        <f t="shared" si="27"/>
        <v>46372</v>
      </c>
      <c r="C182" s="129" t="str">
        <f t="shared" si="21"/>
        <v>Wednesday</v>
      </c>
      <c r="D182" s="138" t="s">
        <v>84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84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84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3">
      <c r="B183" s="128">
        <f t="shared" si="27"/>
        <v>46373</v>
      </c>
      <c r="C183" s="129" t="str">
        <f t="shared" si="21"/>
        <v>Thursday</v>
      </c>
      <c r="D183" s="138" t="s">
        <v>84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84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84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3">
      <c r="B184" s="128">
        <f t="shared" si="27"/>
        <v>46374</v>
      </c>
      <c r="C184" s="129" t="str">
        <f t="shared" si="21"/>
        <v>Friday</v>
      </c>
      <c r="D184" s="138" t="s">
        <v>84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84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84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3">
      <c r="B185" s="128">
        <f t="shared" si="27"/>
        <v>46375</v>
      </c>
      <c r="C185" s="129" t="str">
        <f t="shared" si="21"/>
        <v>Saturday</v>
      </c>
      <c r="D185" s="138" t="s">
        <v>84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84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84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3">
      <c r="B186" s="128">
        <f t="shared" si="27"/>
        <v>46376</v>
      </c>
      <c r="C186" s="129" t="str">
        <f t="shared" si="21"/>
        <v>Sunday</v>
      </c>
      <c r="D186" s="138" t="s">
        <v>84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84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84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3">
      <c r="B187" s="128">
        <f t="shared" si="27"/>
        <v>46377</v>
      </c>
      <c r="C187" s="129" t="str">
        <f t="shared" si="21"/>
        <v>Monday</v>
      </c>
      <c r="D187" s="138" t="s">
        <v>84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84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84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3">
      <c r="B188" s="128">
        <f t="shared" si="27"/>
        <v>46378</v>
      </c>
      <c r="C188" s="129" t="str">
        <f t="shared" si="21"/>
        <v>Tuesday</v>
      </c>
      <c r="D188" s="138" t="s">
        <v>84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84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84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3">
      <c r="B189" s="128">
        <f t="shared" si="27"/>
        <v>46379</v>
      </c>
      <c r="C189" s="129" t="str">
        <f t="shared" si="21"/>
        <v>Wednesday</v>
      </c>
      <c r="D189" s="138" t="s">
        <v>84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84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84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3">
      <c r="B190" s="128">
        <f t="shared" si="27"/>
        <v>46380</v>
      </c>
      <c r="C190" s="129" t="str">
        <f t="shared" si="21"/>
        <v>Thursday</v>
      </c>
      <c r="D190" s="138" t="s">
        <v>84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84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84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3">
      <c r="B191" s="128">
        <f t="shared" si="27"/>
        <v>46381</v>
      </c>
      <c r="C191" s="129" t="str">
        <f t="shared" si="21"/>
        <v>Friday</v>
      </c>
      <c r="D191" s="138" t="s">
        <v>84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84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84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3">
      <c r="B192" s="128">
        <f t="shared" si="27"/>
        <v>46382</v>
      </c>
      <c r="C192" s="129" t="str">
        <f t="shared" si="21"/>
        <v>Saturday</v>
      </c>
      <c r="D192" s="138" t="s">
        <v>84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84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84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3">
      <c r="B193" s="128">
        <f t="shared" si="27"/>
        <v>46383</v>
      </c>
      <c r="C193" s="129" t="str">
        <f t="shared" si="21"/>
        <v>Sunday</v>
      </c>
      <c r="D193" s="138" t="s">
        <v>84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84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84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3">
      <c r="B194" s="128">
        <f t="shared" si="27"/>
        <v>46384</v>
      </c>
      <c r="C194" s="129" t="str">
        <f t="shared" si="21"/>
        <v>Monday</v>
      </c>
      <c r="D194" s="138" t="s">
        <v>84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84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84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3">
      <c r="B195" s="128">
        <f t="shared" si="27"/>
        <v>46385</v>
      </c>
      <c r="C195" s="129" t="str">
        <f t="shared" si="21"/>
        <v>Tuesday</v>
      </c>
      <c r="D195" s="138" t="s">
        <v>84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84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84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3">
      <c r="B196" s="128">
        <f t="shared" si="27"/>
        <v>46386</v>
      </c>
      <c r="C196" s="129" t="str">
        <f t="shared" si="21"/>
        <v>Wednesday</v>
      </c>
      <c r="D196" s="138" t="s">
        <v>84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84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84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3">
      <c r="B197" s="128">
        <f t="shared" si="27"/>
        <v>46387</v>
      </c>
      <c r="C197" s="129" t="str">
        <f t="shared" si="21"/>
        <v>Thursday</v>
      </c>
      <c r="D197" s="138" t="s">
        <v>84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84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84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3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84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84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84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3">
      <c r="B199" s="128">
        <f t="shared" si="27"/>
        <v>46389</v>
      </c>
      <c r="C199" s="129" t="str">
        <f t="shared" si="31"/>
        <v>Saturday</v>
      </c>
      <c r="D199" s="138" t="s">
        <v>84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84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84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3">
      <c r="B200" s="128">
        <f t="shared" ref="B200:B263" si="37">B199+1</f>
        <v>46390</v>
      </c>
      <c r="C200" s="129" t="str">
        <f t="shared" si="31"/>
        <v>Sunday</v>
      </c>
      <c r="D200" s="138" t="s">
        <v>84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84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84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3">
      <c r="B201" s="128">
        <f t="shared" si="37"/>
        <v>46391</v>
      </c>
      <c r="C201" s="129" t="str">
        <f t="shared" si="31"/>
        <v>Monday</v>
      </c>
      <c r="D201" s="138" t="s">
        <v>84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84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84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3">
      <c r="B202" s="128">
        <f t="shared" si="37"/>
        <v>46392</v>
      </c>
      <c r="C202" s="129" t="str">
        <f t="shared" si="31"/>
        <v>Tuesday</v>
      </c>
      <c r="D202" s="138" t="s">
        <v>84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84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84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3">
      <c r="B203" s="128">
        <f t="shared" si="37"/>
        <v>46393</v>
      </c>
      <c r="C203" s="129" t="str">
        <f t="shared" si="31"/>
        <v>Wednesday</v>
      </c>
      <c r="D203" s="138" t="s">
        <v>84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84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84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3">
      <c r="B204" s="128">
        <f t="shared" si="37"/>
        <v>46394</v>
      </c>
      <c r="C204" s="129" t="str">
        <f t="shared" si="31"/>
        <v>Thursday</v>
      </c>
      <c r="D204" s="138" t="s">
        <v>84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84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84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3">
      <c r="B205" s="128">
        <f t="shared" si="37"/>
        <v>46395</v>
      </c>
      <c r="C205" s="129" t="str">
        <f t="shared" si="31"/>
        <v>Friday</v>
      </c>
      <c r="D205" s="138" t="s">
        <v>84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84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84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3">
      <c r="B206" s="128">
        <f t="shared" si="37"/>
        <v>46396</v>
      </c>
      <c r="C206" s="129" t="str">
        <f t="shared" si="31"/>
        <v>Saturday</v>
      </c>
      <c r="D206" s="138" t="s">
        <v>84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84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84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3">
      <c r="B207" s="128">
        <f t="shared" si="37"/>
        <v>46397</v>
      </c>
      <c r="C207" s="129" t="str">
        <f t="shared" si="31"/>
        <v>Sunday</v>
      </c>
      <c r="D207" s="138" t="s">
        <v>84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84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84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3">
      <c r="B208" s="128">
        <f t="shared" si="37"/>
        <v>46398</v>
      </c>
      <c r="C208" s="129" t="str">
        <f t="shared" si="31"/>
        <v>Monday</v>
      </c>
      <c r="D208" s="138" t="s">
        <v>84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84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84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3">
      <c r="B209" s="128">
        <f t="shared" si="37"/>
        <v>46399</v>
      </c>
      <c r="C209" s="129" t="str">
        <f t="shared" si="31"/>
        <v>Tuesday</v>
      </c>
      <c r="D209" s="138" t="s">
        <v>84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84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84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3">
      <c r="B210" s="128">
        <f t="shared" si="37"/>
        <v>46400</v>
      </c>
      <c r="C210" s="129" t="str">
        <f t="shared" si="31"/>
        <v>Wednesday</v>
      </c>
      <c r="D210" s="138" t="s">
        <v>84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84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84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3">
      <c r="B211" s="128">
        <f t="shared" si="37"/>
        <v>46401</v>
      </c>
      <c r="C211" s="129" t="str">
        <f t="shared" si="31"/>
        <v>Thursday</v>
      </c>
      <c r="D211" s="138" t="s">
        <v>84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84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84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3">
      <c r="B212" s="128">
        <f t="shared" si="37"/>
        <v>46402</v>
      </c>
      <c r="C212" s="129" t="str">
        <f t="shared" si="31"/>
        <v>Friday</v>
      </c>
      <c r="D212" s="138" t="s">
        <v>84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84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84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3">
      <c r="B213" s="128">
        <f t="shared" si="37"/>
        <v>46403</v>
      </c>
      <c r="C213" s="129" t="str">
        <f t="shared" si="31"/>
        <v>Saturday</v>
      </c>
      <c r="D213" s="138" t="s">
        <v>84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84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84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3">
      <c r="B214" s="128">
        <f t="shared" si="37"/>
        <v>46404</v>
      </c>
      <c r="C214" s="129" t="str">
        <f t="shared" si="31"/>
        <v>Sunday</v>
      </c>
      <c r="D214" s="138" t="s">
        <v>84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84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84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3">
      <c r="B215" s="128">
        <f t="shared" si="37"/>
        <v>46405</v>
      </c>
      <c r="C215" s="129" t="str">
        <f t="shared" si="31"/>
        <v>Monday</v>
      </c>
      <c r="D215" s="138" t="s">
        <v>84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84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84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3">
      <c r="B216" s="128">
        <f t="shared" si="37"/>
        <v>46406</v>
      </c>
      <c r="C216" s="129" t="str">
        <f t="shared" si="31"/>
        <v>Tuesday</v>
      </c>
      <c r="D216" s="138" t="s">
        <v>84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84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84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3">
      <c r="B217" s="128">
        <f t="shared" si="37"/>
        <v>46407</v>
      </c>
      <c r="C217" s="129" t="str">
        <f t="shared" si="31"/>
        <v>Wednesday</v>
      </c>
      <c r="D217" s="138" t="s">
        <v>84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84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84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3">
      <c r="B218" s="128">
        <f t="shared" si="37"/>
        <v>46408</v>
      </c>
      <c r="C218" s="129" t="str">
        <f t="shared" si="31"/>
        <v>Thursday</v>
      </c>
      <c r="D218" s="138" t="s">
        <v>84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84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84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3">
      <c r="B219" s="128">
        <f t="shared" si="37"/>
        <v>46409</v>
      </c>
      <c r="C219" s="129" t="str">
        <f t="shared" si="31"/>
        <v>Friday</v>
      </c>
      <c r="D219" s="138" t="s">
        <v>84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84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84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3">
      <c r="B220" s="128">
        <f t="shared" si="37"/>
        <v>46410</v>
      </c>
      <c r="C220" s="129" t="str">
        <f t="shared" si="31"/>
        <v>Saturday</v>
      </c>
      <c r="D220" s="138" t="s">
        <v>84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84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84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3">
      <c r="B221" s="128">
        <f t="shared" si="37"/>
        <v>46411</v>
      </c>
      <c r="C221" s="129" t="str">
        <f t="shared" si="31"/>
        <v>Sunday</v>
      </c>
      <c r="D221" s="138" t="s">
        <v>84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84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84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3">
      <c r="B222" s="128">
        <f t="shared" si="37"/>
        <v>46412</v>
      </c>
      <c r="C222" s="129" t="str">
        <f t="shared" si="31"/>
        <v>Monday</v>
      </c>
      <c r="D222" s="138" t="s">
        <v>84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84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84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3">
      <c r="B223" s="128">
        <f t="shared" si="37"/>
        <v>46413</v>
      </c>
      <c r="C223" s="129" t="str">
        <f t="shared" si="31"/>
        <v>Tuesday</v>
      </c>
      <c r="D223" s="138" t="s">
        <v>84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84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84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3">
      <c r="B224" s="128">
        <f t="shared" si="37"/>
        <v>46414</v>
      </c>
      <c r="C224" s="129" t="str">
        <f t="shared" si="31"/>
        <v>Wednesday</v>
      </c>
      <c r="D224" s="138" t="s">
        <v>84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84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84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3">
      <c r="B225" s="128">
        <f t="shared" si="37"/>
        <v>46415</v>
      </c>
      <c r="C225" s="129" t="str">
        <f t="shared" si="31"/>
        <v>Thursday</v>
      </c>
      <c r="D225" s="138" t="s">
        <v>84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84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84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3">
      <c r="B226" s="128">
        <f t="shared" si="37"/>
        <v>46416</v>
      </c>
      <c r="C226" s="129" t="str">
        <f t="shared" si="31"/>
        <v>Friday</v>
      </c>
      <c r="D226" s="138" t="s">
        <v>84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84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84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3">
      <c r="B227" s="128">
        <f t="shared" si="37"/>
        <v>46417</v>
      </c>
      <c r="C227" s="129" t="str">
        <f t="shared" si="31"/>
        <v>Saturday</v>
      </c>
      <c r="D227" s="138" t="s">
        <v>84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84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84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3">
      <c r="B228" s="128">
        <f t="shared" si="37"/>
        <v>46418</v>
      </c>
      <c r="C228" s="129" t="str">
        <f t="shared" si="31"/>
        <v>Sunday</v>
      </c>
      <c r="D228" s="138" t="s">
        <v>84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84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84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3">
      <c r="B229" s="128">
        <f t="shared" si="37"/>
        <v>46419</v>
      </c>
      <c r="C229" s="129" t="str">
        <f t="shared" si="31"/>
        <v>Monday</v>
      </c>
      <c r="D229" s="138" t="s">
        <v>84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84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84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3">
      <c r="B230" s="128">
        <f t="shared" si="37"/>
        <v>46420</v>
      </c>
      <c r="C230" s="129" t="str">
        <f t="shared" si="31"/>
        <v>Tuesday</v>
      </c>
      <c r="D230" s="138" t="s">
        <v>84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84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84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3">
      <c r="B231" s="128">
        <f t="shared" si="37"/>
        <v>46421</v>
      </c>
      <c r="C231" s="129" t="str">
        <f t="shared" si="31"/>
        <v>Wednesday</v>
      </c>
      <c r="D231" s="138" t="s">
        <v>84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84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84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3">
      <c r="B232" s="128">
        <f t="shared" si="37"/>
        <v>46422</v>
      </c>
      <c r="C232" s="129" t="str">
        <f t="shared" si="31"/>
        <v>Thursday</v>
      </c>
      <c r="D232" s="138" t="s">
        <v>84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84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84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3">
      <c r="B233" s="128">
        <f t="shared" si="37"/>
        <v>46423</v>
      </c>
      <c r="C233" s="129" t="str">
        <f t="shared" si="31"/>
        <v>Friday</v>
      </c>
      <c r="D233" s="138" t="s">
        <v>84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84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84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3">
      <c r="B234" s="128">
        <f t="shared" si="37"/>
        <v>46424</v>
      </c>
      <c r="C234" s="129" t="str">
        <f t="shared" si="31"/>
        <v>Saturday</v>
      </c>
      <c r="D234" s="138" t="s">
        <v>84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84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84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3">
      <c r="B235" s="128">
        <f t="shared" si="37"/>
        <v>46425</v>
      </c>
      <c r="C235" s="129" t="str">
        <f t="shared" si="31"/>
        <v>Sunday</v>
      </c>
      <c r="D235" s="138" t="s">
        <v>84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84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84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3">
      <c r="B236" s="128">
        <f t="shared" si="37"/>
        <v>46426</v>
      </c>
      <c r="C236" s="129" t="str">
        <f t="shared" si="31"/>
        <v>Monday</v>
      </c>
      <c r="D236" s="138" t="s">
        <v>84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84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84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3">
      <c r="B237" s="128">
        <f t="shared" si="37"/>
        <v>46427</v>
      </c>
      <c r="C237" s="129" t="str">
        <f t="shared" si="31"/>
        <v>Tuesday</v>
      </c>
      <c r="D237" s="138" t="s">
        <v>84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84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84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3">
      <c r="B238" s="128">
        <f t="shared" si="37"/>
        <v>46428</v>
      </c>
      <c r="C238" s="129" t="str">
        <f t="shared" si="31"/>
        <v>Wednesday</v>
      </c>
      <c r="D238" s="138" t="s">
        <v>84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84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84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3">
      <c r="B239" s="128">
        <f t="shared" si="37"/>
        <v>46429</v>
      </c>
      <c r="C239" s="129" t="str">
        <f t="shared" si="31"/>
        <v>Thursday</v>
      </c>
      <c r="D239" s="138" t="s">
        <v>84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84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84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3">
      <c r="B240" s="128">
        <f t="shared" si="37"/>
        <v>46430</v>
      </c>
      <c r="C240" s="129" t="str">
        <f t="shared" si="31"/>
        <v>Friday</v>
      </c>
      <c r="D240" s="138" t="s">
        <v>84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84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84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3">
      <c r="B241" s="128">
        <f t="shared" si="37"/>
        <v>46431</v>
      </c>
      <c r="C241" s="129" t="str">
        <f t="shared" si="31"/>
        <v>Saturday</v>
      </c>
      <c r="D241" s="138" t="s">
        <v>84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84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84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3">
      <c r="B242" s="128">
        <f t="shared" si="37"/>
        <v>46432</v>
      </c>
      <c r="C242" s="129" t="str">
        <f t="shared" si="31"/>
        <v>Sunday</v>
      </c>
      <c r="D242" s="138" t="s">
        <v>84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84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84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3">
      <c r="B243" s="128">
        <f t="shared" si="37"/>
        <v>46433</v>
      </c>
      <c r="C243" s="129" t="str">
        <f t="shared" si="31"/>
        <v>Monday</v>
      </c>
      <c r="D243" s="138" t="s">
        <v>84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84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84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3">
      <c r="B244" s="128">
        <f t="shared" si="37"/>
        <v>46434</v>
      </c>
      <c r="C244" s="129" t="str">
        <f t="shared" si="31"/>
        <v>Tuesday</v>
      </c>
      <c r="D244" s="138" t="s">
        <v>84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84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84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3">
      <c r="B245" s="128">
        <f t="shared" si="37"/>
        <v>46435</v>
      </c>
      <c r="C245" s="129" t="str">
        <f t="shared" si="31"/>
        <v>Wednesday</v>
      </c>
      <c r="D245" s="138" t="s">
        <v>84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84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84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3">
      <c r="B246" s="128">
        <f t="shared" si="37"/>
        <v>46436</v>
      </c>
      <c r="C246" s="129" t="str">
        <f t="shared" si="31"/>
        <v>Thursday</v>
      </c>
      <c r="D246" s="138" t="s">
        <v>84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84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84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3">
      <c r="B247" s="128">
        <f t="shared" si="37"/>
        <v>46437</v>
      </c>
      <c r="C247" s="129" t="str">
        <f t="shared" si="31"/>
        <v>Friday</v>
      </c>
      <c r="D247" s="138" t="s">
        <v>84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84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84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3">
      <c r="B248" s="128">
        <f t="shared" si="37"/>
        <v>46438</v>
      </c>
      <c r="C248" s="129" t="str">
        <f t="shared" si="31"/>
        <v>Saturday</v>
      </c>
      <c r="D248" s="138" t="s">
        <v>84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84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84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3">
      <c r="B249" s="128">
        <f t="shared" si="37"/>
        <v>46439</v>
      </c>
      <c r="C249" s="129" t="str">
        <f t="shared" si="31"/>
        <v>Sunday</v>
      </c>
      <c r="D249" s="138" t="s">
        <v>84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84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84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3">
      <c r="B250" s="128">
        <f t="shared" si="37"/>
        <v>46440</v>
      </c>
      <c r="C250" s="129" t="str">
        <f t="shared" si="31"/>
        <v>Monday</v>
      </c>
      <c r="D250" s="138" t="s">
        <v>84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84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84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3">
      <c r="B251" s="128">
        <f t="shared" si="37"/>
        <v>46441</v>
      </c>
      <c r="C251" s="129" t="str">
        <f t="shared" si="31"/>
        <v>Tuesday</v>
      </c>
      <c r="D251" s="138" t="s">
        <v>84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84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84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3">
      <c r="B252" s="128">
        <f t="shared" si="37"/>
        <v>46442</v>
      </c>
      <c r="C252" s="129" t="str">
        <f t="shared" si="31"/>
        <v>Wednesday</v>
      </c>
      <c r="D252" s="138" t="s">
        <v>84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84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84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3">
      <c r="B253" s="128">
        <f t="shared" si="37"/>
        <v>46443</v>
      </c>
      <c r="C253" s="129" t="str">
        <f t="shared" si="31"/>
        <v>Thursday</v>
      </c>
      <c r="D253" s="138" t="s">
        <v>84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84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84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3">
      <c r="B254" s="128">
        <f t="shared" si="37"/>
        <v>46444</v>
      </c>
      <c r="C254" s="129" t="str">
        <f t="shared" si="31"/>
        <v>Friday</v>
      </c>
      <c r="D254" s="138" t="s">
        <v>84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84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84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3">
      <c r="B255" s="128">
        <f t="shared" si="37"/>
        <v>46445</v>
      </c>
      <c r="C255" s="129" t="str">
        <f t="shared" si="31"/>
        <v>Saturday</v>
      </c>
      <c r="D255" s="138" t="s">
        <v>84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84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84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3">
      <c r="B256" s="128">
        <f t="shared" si="37"/>
        <v>46446</v>
      </c>
      <c r="C256" s="129" t="str">
        <f t="shared" si="31"/>
        <v>Sunday</v>
      </c>
      <c r="D256" s="138" t="s">
        <v>84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84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84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3">
      <c r="B257" s="128">
        <f t="shared" si="37"/>
        <v>46447</v>
      </c>
      <c r="C257" s="129" t="str">
        <f t="shared" si="31"/>
        <v>Monday</v>
      </c>
      <c r="D257" s="138" t="s">
        <v>84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84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84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3">
      <c r="B258" s="128">
        <f t="shared" si="37"/>
        <v>46448</v>
      </c>
      <c r="C258" s="129" t="str">
        <f t="shared" si="31"/>
        <v>Tuesday</v>
      </c>
      <c r="D258" s="138" t="s">
        <v>84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84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84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3">
      <c r="B259" s="128">
        <f t="shared" si="37"/>
        <v>46449</v>
      </c>
      <c r="C259" s="129" t="str">
        <f t="shared" si="31"/>
        <v>Wednesday</v>
      </c>
      <c r="D259" s="138" t="s">
        <v>84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84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84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3">
      <c r="B260" s="128">
        <f t="shared" si="37"/>
        <v>46450</v>
      </c>
      <c r="C260" s="129" t="str">
        <f t="shared" si="31"/>
        <v>Thursday</v>
      </c>
      <c r="D260" s="138" t="s">
        <v>84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84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84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3">
      <c r="B261" s="128">
        <f t="shared" si="37"/>
        <v>46451</v>
      </c>
      <c r="C261" s="129" t="str">
        <f t="shared" si="31"/>
        <v>Friday</v>
      </c>
      <c r="D261" s="138" t="s">
        <v>84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84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84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3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84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84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84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3">
      <c r="B263" s="128">
        <f t="shared" si="37"/>
        <v>46453</v>
      </c>
      <c r="C263" s="129" t="str">
        <f t="shared" si="41"/>
        <v>Sunday</v>
      </c>
      <c r="D263" s="138" t="s">
        <v>84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84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84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3">
      <c r="B264" s="128">
        <f t="shared" ref="B264:B327" si="47">B263+1</f>
        <v>46454</v>
      </c>
      <c r="C264" s="129" t="str">
        <f t="shared" si="41"/>
        <v>Monday</v>
      </c>
      <c r="D264" s="138" t="s">
        <v>84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84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84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3">
      <c r="B265" s="128">
        <f t="shared" si="47"/>
        <v>46455</v>
      </c>
      <c r="C265" s="129" t="str">
        <f t="shared" si="41"/>
        <v>Tuesday</v>
      </c>
      <c r="D265" s="138" t="s">
        <v>84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84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84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3">
      <c r="B266" s="128">
        <f t="shared" si="47"/>
        <v>46456</v>
      </c>
      <c r="C266" s="129" t="str">
        <f t="shared" si="41"/>
        <v>Wednesday</v>
      </c>
      <c r="D266" s="138" t="s">
        <v>84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84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84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3">
      <c r="B267" s="128">
        <f t="shared" si="47"/>
        <v>46457</v>
      </c>
      <c r="C267" s="129" t="str">
        <f t="shared" si="41"/>
        <v>Thursday</v>
      </c>
      <c r="D267" s="138" t="s">
        <v>84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84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84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3">
      <c r="B268" s="128">
        <f t="shared" si="47"/>
        <v>46458</v>
      </c>
      <c r="C268" s="129" t="str">
        <f t="shared" si="41"/>
        <v>Friday</v>
      </c>
      <c r="D268" s="138" t="s">
        <v>84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84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84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3">
      <c r="B269" s="128">
        <f t="shared" si="47"/>
        <v>46459</v>
      </c>
      <c r="C269" s="129" t="str">
        <f t="shared" si="41"/>
        <v>Saturday</v>
      </c>
      <c r="D269" s="138" t="s">
        <v>84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84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84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3">
      <c r="B270" s="128">
        <f t="shared" si="47"/>
        <v>46460</v>
      </c>
      <c r="C270" s="129" t="str">
        <f t="shared" si="41"/>
        <v>Sunday</v>
      </c>
      <c r="D270" s="138" t="s">
        <v>84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84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84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3">
      <c r="B271" s="128">
        <f t="shared" si="47"/>
        <v>46461</v>
      </c>
      <c r="C271" s="129" t="str">
        <f t="shared" si="41"/>
        <v>Monday</v>
      </c>
      <c r="D271" s="138" t="s">
        <v>84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84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84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3">
      <c r="B272" s="128">
        <f t="shared" si="47"/>
        <v>46462</v>
      </c>
      <c r="C272" s="129" t="str">
        <f t="shared" si="41"/>
        <v>Tuesday</v>
      </c>
      <c r="D272" s="138" t="s">
        <v>84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84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84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3">
      <c r="B273" s="128">
        <f t="shared" si="47"/>
        <v>46463</v>
      </c>
      <c r="C273" s="129" t="str">
        <f t="shared" si="41"/>
        <v>Wednesday</v>
      </c>
      <c r="D273" s="138" t="s">
        <v>84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84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84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3">
      <c r="B274" s="128">
        <f t="shared" si="47"/>
        <v>46464</v>
      </c>
      <c r="C274" s="129" t="str">
        <f t="shared" si="41"/>
        <v>Thursday</v>
      </c>
      <c r="D274" s="138" t="s">
        <v>84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84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84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3">
      <c r="B275" s="128">
        <f t="shared" si="47"/>
        <v>46465</v>
      </c>
      <c r="C275" s="129" t="str">
        <f t="shared" si="41"/>
        <v>Friday</v>
      </c>
      <c r="D275" s="138" t="s">
        <v>84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84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84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3">
      <c r="B276" s="128">
        <f t="shared" si="47"/>
        <v>46466</v>
      </c>
      <c r="C276" s="129" t="str">
        <f t="shared" si="41"/>
        <v>Saturday</v>
      </c>
      <c r="D276" s="138" t="s">
        <v>84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84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84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3">
      <c r="B277" s="128">
        <f t="shared" si="47"/>
        <v>46467</v>
      </c>
      <c r="C277" s="129" t="str">
        <f t="shared" si="41"/>
        <v>Sunday</v>
      </c>
      <c r="D277" s="138" t="s">
        <v>84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84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84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3">
      <c r="B278" s="128">
        <f t="shared" si="47"/>
        <v>46468</v>
      </c>
      <c r="C278" s="129" t="str">
        <f t="shared" si="41"/>
        <v>Monday</v>
      </c>
      <c r="D278" s="138" t="s">
        <v>84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84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84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3">
      <c r="B279" s="128">
        <f t="shared" si="47"/>
        <v>46469</v>
      </c>
      <c r="C279" s="129" t="str">
        <f t="shared" si="41"/>
        <v>Tuesday</v>
      </c>
      <c r="D279" s="138" t="s">
        <v>84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84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84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3">
      <c r="B280" s="128">
        <f t="shared" si="47"/>
        <v>46470</v>
      </c>
      <c r="C280" s="129" t="str">
        <f t="shared" si="41"/>
        <v>Wednesday</v>
      </c>
      <c r="D280" s="138" t="s">
        <v>84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84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84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3">
      <c r="B281" s="128">
        <f t="shared" si="47"/>
        <v>46471</v>
      </c>
      <c r="C281" s="129" t="str">
        <f t="shared" si="41"/>
        <v>Thursday</v>
      </c>
      <c r="D281" s="138" t="s">
        <v>84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84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84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3">
      <c r="B282" s="128">
        <f t="shared" si="47"/>
        <v>46472</v>
      </c>
      <c r="C282" s="129" t="str">
        <f t="shared" si="41"/>
        <v>Friday</v>
      </c>
      <c r="D282" s="138" t="s">
        <v>84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84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84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3">
      <c r="B283" s="128">
        <f t="shared" si="47"/>
        <v>46473</v>
      </c>
      <c r="C283" s="129" t="str">
        <f t="shared" si="41"/>
        <v>Saturday</v>
      </c>
      <c r="D283" s="138" t="s">
        <v>84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84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84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3">
      <c r="B284" s="128">
        <f t="shared" si="47"/>
        <v>46474</v>
      </c>
      <c r="C284" s="129" t="str">
        <f t="shared" si="41"/>
        <v>Sunday</v>
      </c>
      <c r="D284" s="138" t="s">
        <v>84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84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84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3">
      <c r="B285" s="128">
        <f t="shared" si="47"/>
        <v>46475</v>
      </c>
      <c r="C285" s="129" t="str">
        <f t="shared" si="41"/>
        <v>Monday</v>
      </c>
      <c r="D285" s="138" t="s">
        <v>84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84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84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3">
      <c r="B286" s="128">
        <f t="shared" si="47"/>
        <v>46476</v>
      </c>
      <c r="C286" s="129" t="str">
        <f t="shared" si="41"/>
        <v>Tuesday</v>
      </c>
      <c r="D286" s="138" t="s">
        <v>84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84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84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3">
      <c r="B287" s="128">
        <f t="shared" si="47"/>
        <v>46477</v>
      </c>
      <c r="C287" s="129" t="str">
        <f t="shared" si="41"/>
        <v>Wednesday</v>
      </c>
      <c r="D287" s="138" t="s">
        <v>84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84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84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3">
      <c r="B288" s="128">
        <f t="shared" si="47"/>
        <v>46478</v>
      </c>
      <c r="C288" s="129" t="str">
        <f t="shared" si="41"/>
        <v>Thursday</v>
      </c>
      <c r="D288" s="138" t="s">
        <v>84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84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84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3">
      <c r="B289" s="128">
        <f t="shared" si="47"/>
        <v>46479</v>
      </c>
      <c r="C289" s="129" t="str">
        <f t="shared" si="41"/>
        <v>Friday</v>
      </c>
      <c r="D289" s="138" t="s">
        <v>84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84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84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3">
      <c r="B290" s="128">
        <f t="shared" si="47"/>
        <v>46480</v>
      </c>
      <c r="C290" s="129" t="str">
        <f t="shared" si="41"/>
        <v>Saturday</v>
      </c>
      <c r="D290" s="138" t="s">
        <v>84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84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84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3">
      <c r="B291" s="128">
        <f t="shared" si="47"/>
        <v>46481</v>
      </c>
      <c r="C291" s="129" t="str">
        <f t="shared" si="41"/>
        <v>Sunday</v>
      </c>
      <c r="D291" s="138" t="s">
        <v>84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84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84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3">
      <c r="B292" s="128">
        <f t="shared" si="47"/>
        <v>46482</v>
      </c>
      <c r="C292" s="129" t="str">
        <f t="shared" si="41"/>
        <v>Monday</v>
      </c>
      <c r="D292" s="138" t="s">
        <v>84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84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84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3">
      <c r="B293" s="128">
        <f t="shared" si="47"/>
        <v>46483</v>
      </c>
      <c r="C293" s="129" t="str">
        <f t="shared" si="41"/>
        <v>Tuesday</v>
      </c>
      <c r="D293" s="138" t="s">
        <v>84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84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84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3">
      <c r="B294" s="128">
        <f t="shared" si="47"/>
        <v>46484</v>
      </c>
      <c r="C294" s="129" t="str">
        <f t="shared" si="41"/>
        <v>Wednesday</v>
      </c>
      <c r="D294" s="138" t="s">
        <v>84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84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84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3">
      <c r="B295" s="128">
        <f t="shared" si="47"/>
        <v>46485</v>
      </c>
      <c r="C295" s="129" t="str">
        <f t="shared" si="41"/>
        <v>Thursday</v>
      </c>
      <c r="D295" s="138" t="s">
        <v>84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84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84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3">
      <c r="B296" s="128">
        <f t="shared" si="47"/>
        <v>46486</v>
      </c>
      <c r="C296" s="129" t="str">
        <f t="shared" si="41"/>
        <v>Friday</v>
      </c>
      <c r="D296" s="138" t="s">
        <v>84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84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84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3">
      <c r="B297" s="128">
        <f t="shared" si="47"/>
        <v>46487</v>
      </c>
      <c r="C297" s="129" t="str">
        <f t="shared" si="41"/>
        <v>Saturday</v>
      </c>
      <c r="D297" s="138" t="s">
        <v>84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84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84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3">
      <c r="B298" s="128">
        <f t="shared" si="47"/>
        <v>46488</v>
      </c>
      <c r="C298" s="129" t="str">
        <f t="shared" si="41"/>
        <v>Sunday</v>
      </c>
      <c r="D298" s="138" t="s">
        <v>84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84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84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3">
      <c r="B299" s="128">
        <f t="shared" si="47"/>
        <v>46489</v>
      </c>
      <c r="C299" s="129" t="str">
        <f t="shared" si="41"/>
        <v>Monday</v>
      </c>
      <c r="D299" s="138" t="s">
        <v>84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84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84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3">
      <c r="B300" s="128">
        <f t="shared" si="47"/>
        <v>46490</v>
      </c>
      <c r="C300" s="129" t="str">
        <f t="shared" si="41"/>
        <v>Tuesday</v>
      </c>
      <c r="D300" s="138" t="s">
        <v>84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84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84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3">
      <c r="B301" s="128">
        <f t="shared" si="47"/>
        <v>46491</v>
      </c>
      <c r="C301" s="129" t="str">
        <f t="shared" si="41"/>
        <v>Wednesday</v>
      </c>
      <c r="D301" s="138" t="s">
        <v>84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84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84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3">
      <c r="B302" s="128">
        <f t="shared" si="47"/>
        <v>46492</v>
      </c>
      <c r="C302" s="129" t="str">
        <f t="shared" si="41"/>
        <v>Thursday</v>
      </c>
      <c r="D302" s="138" t="s">
        <v>84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84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84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3">
      <c r="B303" s="128">
        <f t="shared" si="47"/>
        <v>46493</v>
      </c>
      <c r="C303" s="129" t="str">
        <f t="shared" si="41"/>
        <v>Friday</v>
      </c>
      <c r="D303" s="138" t="s">
        <v>84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84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84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3">
      <c r="B304" s="128">
        <f t="shared" si="47"/>
        <v>46494</v>
      </c>
      <c r="C304" s="129" t="str">
        <f t="shared" si="41"/>
        <v>Saturday</v>
      </c>
      <c r="D304" s="138" t="s">
        <v>84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84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84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3">
      <c r="B305" s="128">
        <f t="shared" si="47"/>
        <v>46495</v>
      </c>
      <c r="C305" s="129" t="str">
        <f t="shared" si="41"/>
        <v>Sunday</v>
      </c>
      <c r="D305" s="138" t="s">
        <v>84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84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84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3">
      <c r="B306" s="128">
        <f t="shared" si="47"/>
        <v>46496</v>
      </c>
      <c r="C306" s="129" t="str">
        <f t="shared" si="41"/>
        <v>Monday</v>
      </c>
      <c r="D306" s="138" t="s">
        <v>84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84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84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3">
      <c r="B307" s="128">
        <f t="shared" si="47"/>
        <v>46497</v>
      </c>
      <c r="C307" s="129" t="str">
        <f t="shared" si="41"/>
        <v>Tuesday</v>
      </c>
      <c r="D307" s="138" t="s">
        <v>84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84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84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3">
      <c r="B308" s="128">
        <f t="shared" si="47"/>
        <v>46498</v>
      </c>
      <c r="C308" s="129" t="str">
        <f t="shared" si="41"/>
        <v>Wednesday</v>
      </c>
      <c r="D308" s="138" t="s">
        <v>84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84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84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3">
      <c r="B309" s="128">
        <f t="shared" si="47"/>
        <v>46499</v>
      </c>
      <c r="C309" s="129" t="str">
        <f t="shared" si="41"/>
        <v>Thursday</v>
      </c>
      <c r="D309" s="138" t="s">
        <v>84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84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84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3">
      <c r="B310" s="128">
        <f t="shared" si="47"/>
        <v>46500</v>
      </c>
      <c r="C310" s="129" t="str">
        <f t="shared" si="41"/>
        <v>Friday</v>
      </c>
      <c r="D310" s="138" t="s">
        <v>84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84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84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3">
      <c r="B311" s="128">
        <f t="shared" si="47"/>
        <v>46501</v>
      </c>
      <c r="C311" s="129" t="str">
        <f t="shared" si="41"/>
        <v>Saturday</v>
      </c>
      <c r="D311" s="138" t="s">
        <v>84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84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84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3">
      <c r="B312" s="128">
        <f t="shared" si="47"/>
        <v>46502</v>
      </c>
      <c r="C312" s="129" t="str">
        <f t="shared" si="41"/>
        <v>Sunday</v>
      </c>
      <c r="D312" s="138" t="s">
        <v>84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84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84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3">
      <c r="B313" s="128">
        <f t="shared" si="47"/>
        <v>46503</v>
      </c>
      <c r="C313" s="129" t="str">
        <f t="shared" si="41"/>
        <v>Monday</v>
      </c>
      <c r="D313" s="138" t="s">
        <v>84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84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84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3">
      <c r="B314" s="128">
        <f t="shared" si="47"/>
        <v>46504</v>
      </c>
      <c r="C314" s="129" t="str">
        <f t="shared" si="41"/>
        <v>Tuesday</v>
      </c>
      <c r="D314" s="138" t="s">
        <v>84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84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84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3">
      <c r="B315" s="128">
        <f t="shared" si="47"/>
        <v>46505</v>
      </c>
      <c r="C315" s="129" t="str">
        <f t="shared" si="41"/>
        <v>Wednesday</v>
      </c>
      <c r="D315" s="138" t="s">
        <v>84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84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84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3">
      <c r="B316" s="128">
        <f t="shared" si="47"/>
        <v>46506</v>
      </c>
      <c r="C316" s="129" t="str">
        <f t="shared" si="41"/>
        <v>Thursday</v>
      </c>
      <c r="D316" s="138" t="s">
        <v>84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84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84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3">
      <c r="B317" s="128">
        <f t="shared" si="47"/>
        <v>46507</v>
      </c>
      <c r="C317" s="129" t="str">
        <f t="shared" si="41"/>
        <v>Friday</v>
      </c>
      <c r="D317" s="138" t="s">
        <v>84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84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84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3">
      <c r="B318" s="128">
        <f t="shared" si="47"/>
        <v>46508</v>
      </c>
      <c r="C318" s="129" t="str">
        <f t="shared" si="41"/>
        <v>Saturday</v>
      </c>
      <c r="D318" s="138" t="s">
        <v>84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84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84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3">
      <c r="B319" s="128">
        <f t="shared" si="47"/>
        <v>46509</v>
      </c>
      <c r="C319" s="129" t="str">
        <f t="shared" si="41"/>
        <v>Sunday</v>
      </c>
      <c r="D319" s="138" t="s">
        <v>84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84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84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3">
      <c r="B320" s="128">
        <f t="shared" si="47"/>
        <v>46510</v>
      </c>
      <c r="C320" s="129" t="str">
        <f t="shared" si="41"/>
        <v>Monday</v>
      </c>
      <c r="D320" s="138" t="s">
        <v>84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84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84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3">
      <c r="B321" s="128">
        <f t="shared" si="47"/>
        <v>46511</v>
      </c>
      <c r="C321" s="129" t="str">
        <f t="shared" si="41"/>
        <v>Tuesday</v>
      </c>
      <c r="D321" s="138" t="s">
        <v>84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84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84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3">
      <c r="B322" s="128">
        <f t="shared" si="47"/>
        <v>46512</v>
      </c>
      <c r="C322" s="129" t="str">
        <f t="shared" si="41"/>
        <v>Wednesday</v>
      </c>
      <c r="D322" s="138" t="s">
        <v>84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84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84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3">
      <c r="B323" s="128">
        <f t="shared" si="47"/>
        <v>46513</v>
      </c>
      <c r="C323" s="129" t="str">
        <f t="shared" si="41"/>
        <v>Thursday</v>
      </c>
      <c r="D323" s="138" t="s">
        <v>84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84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84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3">
      <c r="B324" s="128">
        <f t="shared" si="47"/>
        <v>46514</v>
      </c>
      <c r="C324" s="129" t="str">
        <f t="shared" si="41"/>
        <v>Friday</v>
      </c>
      <c r="D324" s="138" t="s">
        <v>84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84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84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3">
      <c r="B325" s="128">
        <f t="shared" si="47"/>
        <v>46515</v>
      </c>
      <c r="C325" s="129" t="str">
        <f t="shared" si="41"/>
        <v>Saturday</v>
      </c>
      <c r="D325" s="138" t="s">
        <v>84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84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84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3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84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84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84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3">
      <c r="B327" s="128">
        <f t="shared" si="47"/>
        <v>46517</v>
      </c>
      <c r="C327" s="129" t="str">
        <f t="shared" si="51"/>
        <v>Monday</v>
      </c>
      <c r="D327" s="138" t="s">
        <v>84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84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84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3">
      <c r="B328" s="128">
        <f t="shared" ref="B328:B372" si="57">B327+1</f>
        <v>46518</v>
      </c>
      <c r="C328" s="129" t="str">
        <f t="shared" si="51"/>
        <v>Tuesday</v>
      </c>
      <c r="D328" s="138" t="s">
        <v>84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84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84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3">
      <c r="B329" s="128">
        <f t="shared" si="57"/>
        <v>46519</v>
      </c>
      <c r="C329" s="129" t="str">
        <f t="shared" si="51"/>
        <v>Wednesday</v>
      </c>
      <c r="D329" s="138" t="s">
        <v>84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84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84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3">
      <c r="B330" s="128">
        <f t="shared" si="57"/>
        <v>46520</v>
      </c>
      <c r="C330" s="129" t="str">
        <f t="shared" si="51"/>
        <v>Thursday</v>
      </c>
      <c r="D330" s="138" t="s">
        <v>84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84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84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3">
      <c r="B331" s="128">
        <f t="shared" si="57"/>
        <v>46521</v>
      </c>
      <c r="C331" s="129" t="str">
        <f t="shared" si="51"/>
        <v>Friday</v>
      </c>
      <c r="D331" s="138" t="s">
        <v>84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84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84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3">
      <c r="B332" s="128">
        <f t="shared" si="57"/>
        <v>46522</v>
      </c>
      <c r="C332" s="129" t="str">
        <f t="shared" si="51"/>
        <v>Saturday</v>
      </c>
      <c r="D332" s="138" t="s">
        <v>84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84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84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3">
      <c r="B333" s="128">
        <f t="shared" si="57"/>
        <v>46523</v>
      </c>
      <c r="C333" s="129" t="str">
        <f t="shared" si="51"/>
        <v>Sunday</v>
      </c>
      <c r="D333" s="138" t="s">
        <v>84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84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84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3">
      <c r="B334" s="128">
        <f t="shared" si="57"/>
        <v>46524</v>
      </c>
      <c r="C334" s="129" t="str">
        <f t="shared" si="51"/>
        <v>Monday</v>
      </c>
      <c r="D334" s="138" t="s">
        <v>84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84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84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3">
      <c r="B335" s="128">
        <f t="shared" si="57"/>
        <v>46525</v>
      </c>
      <c r="C335" s="129" t="str">
        <f t="shared" si="51"/>
        <v>Tuesday</v>
      </c>
      <c r="D335" s="138" t="s">
        <v>84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84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84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3">
      <c r="B336" s="128">
        <f t="shared" si="57"/>
        <v>46526</v>
      </c>
      <c r="C336" s="129" t="str">
        <f t="shared" si="51"/>
        <v>Wednesday</v>
      </c>
      <c r="D336" s="138" t="s">
        <v>84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84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84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3">
      <c r="B337" s="128">
        <f t="shared" si="57"/>
        <v>46527</v>
      </c>
      <c r="C337" s="129" t="str">
        <f t="shared" si="51"/>
        <v>Thursday</v>
      </c>
      <c r="D337" s="138" t="s">
        <v>84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84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84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3">
      <c r="B338" s="128">
        <f t="shared" si="57"/>
        <v>46528</v>
      </c>
      <c r="C338" s="129" t="str">
        <f t="shared" si="51"/>
        <v>Friday</v>
      </c>
      <c r="D338" s="138" t="s">
        <v>84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84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84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3">
      <c r="B339" s="128">
        <f t="shared" si="57"/>
        <v>46529</v>
      </c>
      <c r="C339" s="129" t="str">
        <f t="shared" si="51"/>
        <v>Saturday</v>
      </c>
      <c r="D339" s="138" t="s">
        <v>84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84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84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3">
      <c r="B340" s="128">
        <f t="shared" si="57"/>
        <v>46530</v>
      </c>
      <c r="C340" s="129" t="str">
        <f t="shared" si="51"/>
        <v>Sunday</v>
      </c>
      <c r="D340" s="138" t="s">
        <v>84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84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84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3">
      <c r="B341" s="128">
        <f t="shared" si="57"/>
        <v>46531</v>
      </c>
      <c r="C341" s="129" t="str">
        <f t="shared" si="51"/>
        <v>Monday</v>
      </c>
      <c r="D341" s="138" t="s">
        <v>84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84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84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3">
      <c r="B342" s="128">
        <f t="shared" si="57"/>
        <v>46532</v>
      </c>
      <c r="C342" s="129" t="str">
        <f t="shared" si="51"/>
        <v>Tuesday</v>
      </c>
      <c r="D342" s="138" t="s">
        <v>84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84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84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3">
      <c r="B343" s="128">
        <f t="shared" si="57"/>
        <v>46533</v>
      </c>
      <c r="C343" s="129" t="str">
        <f t="shared" si="51"/>
        <v>Wednesday</v>
      </c>
      <c r="D343" s="138" t="s">
        <v>84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84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84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3">
      <c r="B344" s="128">
        <f t="shared" si="57"/>
        <v>46534</v>
      </c>
      <c r="C344" s="129" t="str">
        <f t="shared" si="51"/>
        <v>Thursday</v>
      </c>
      <c r="D344" s="138" t="s">
        <v>84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84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84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3">
      <c r="B345" s="128">
        <f t="shared" si="57"/>
        <v>46535</v>
      </c>
      <c r="C345" s="129" t="str">
        <f t="shared" si="51"/>
        <v>Friday</v>
      </c>
      <c r="D345" s="138" t="s">
        <v>84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84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84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3">
      <c r="B346" s="128">
        <f t="shared" si="57"/>
        <v>46536</v>
      </c>
      <c r="C346" s="129" t="str">
        <f t="shared" si="51"/>
        <v>Saturday</v>
      </c>
      <c r="D346" s="138" t="s">
        <v>84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84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84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3">
      <c r="B347" s="128">
        <f t="shared" si="57"/>
        <v>46537</v>
      </c>
      <c r="C347" s="129" t="str">
        <f t="shared" si="51"/>
        <v>Sunday</v>
      </c>
      <c r="D347" s="138" t="s">
        <v>84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84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84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3">
      <c r="B348" s="128">
        <f t="shared" si="57"/>
        <v>46538</v>
      </c>
      <c r="C348" s="129" t="str">
        <f t="shared" si="51"/>
        <v>Monday</v>
      </c>
      <c r="D348" s="138" t="s">
        <v>84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84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84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3">
      <c r="B349" s="128">
        <f t="shared" si="57"/>
        <v>46539</v>
      </c>
      <c r="C349" s="129" t="str">
        <f t="shared" si="51"/>
        <v>Tuesday</v>
      </c>
      <c r="D349" s="138" t="s">
        <v>84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84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84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3">
      <c r="B350" s="128">
        <f t="shared" si="57"/>
        <v>46540</v>
      </c>
      <c r="C350" s="129" t="str">
        <f t="shared" si="51"/>
        <v>Wednesday</v>
      </c>
      <c r="D350" s="138" t="s">
        <v>84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84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84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3">
      <c r="B351" s="128">
        <f t="shared" si="57"/>
        <v>46541</v>
      </c>
      <c r="C351" s="129" t="str">
        <f t="shared" si="51"/>
        <v>Thursday</v>
      </c>
      <c r="D351" s="138" t="s">
        <v>84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84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84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3">
      <c r="B352" s="128">
        <f t="shared" si="57"/>
        <v>46542</v>
      </c>
      <c r="C352" s="129" t="str">
        <f t="shared" si="51"/>
        <v>Friday</v>
      </c>
      <c r="D352" s="138" t="s">
        <v>84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84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84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3">
      <c r="B353" s="128">
        <f t="shared" si="57"/>
        <v>46543</v>
      </c>
      <c r="C353" s="129" t="str">
        <f t="shared" si="51"/>
        <v>Saturday</v>
      </c>
      <c r="D353" s="138" t="s">
        <v>84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84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84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3">
      <c r="B354" s="128">
        <f t="shared" si="57"/>
        <v>46544</v>
      </c>
      <c r="C354" s="129" t="str">
        <f t="shared" si="51"/>
        <v>Sunday</v>
      </c>
      <c r="D354" s="138" t="s">
        <v>84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84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84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3">
      <c r="B355" s="128">
        <f t="shared" si="57"/>
        <v>46545</v>
      </c>
      <c r="C355" s="129" t="str">
        <f t="shared" si="51"/>
        <v>Monday</v>
      </c>
      <c r="D355" s="138" t="s">
        <v>84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84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84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3">
      <c r="B356" s="128">
        <f t="shared" si="57"/>
        <v>46546</v>
      </c>
      <c r="C356" s="129" t="str">
        <f t="shared" si="51"/>
        <v>Tuesday</v>
      </c>
      <c r="D356" s="138" t="s">
        <v>84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84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84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3">
      <c r="B357" s="128">
        <f t="shared" si="57"/>
        <v>46547</v>
      </c>
      <c r="C357" s="129" t="str">
        <f t="shared" si="51"/>
        <v>Wednesday</v>
      </c>
      <c r="D357" s="138" t="s">
        <v>84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84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84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3">
      <c r="B358" s="128">
        <f t="shared" si="57"/>
        <v>46548</v>
      </c>
      <c r="C358" s="129" t="str">
        <f t="shared" si="51"/>
        <v>Thursday</v>
      </c>
      <c r="D358" s="138" t="s">
        <v>84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84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84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3">
      <c r="B359" s="128">
        <f t="shared" si="57"/>
        <v>46549</v>
      </c>
      <c r="C359" s="129" t="str">
        <f t="shared" si="51"/>
        <v>Friday</v>
      </c>
      <c r="D359" s="138" t="s">
        <v>84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84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84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3">
      <c r="B360" s="128">
        <f t="shared" si="57"/>
        <v>46550</v>
      </c>
      <c r="C360" s="129" t="str">
        <f t="shared" si="51"/>
        <v>Saturday</v>
      </c>
      <c r="D360" s="138" t="s">
        <v>84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84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84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3">
      <c r="B361" s="128">
        <f t="shared" si="57"/>
        <v>46551</v>
      </c>
      <c r="C361" s="129" t="str">
        <f t="shared" si="51"/>
        <v>Sunday</v>
      </c>
      <c r="D361" s="138" t="s">
        <v>84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84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84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3">
      <c r="B362" s="128">
        <f t="shared" si="57"/>
        <v>46552</v>
      </c>
      <c r="C362" s="129" t="str">
        <f t="shared" si="51"/>
        <v>Monday</v>
      </c>
      <c r="D362" s="138" t="s">
        <v>84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84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84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3">
      <c r="B363" s="128">
        <f t="shared" si="57"/>
        <v>46553</v>
      </c>
      <c r="C363" s="129" t="str">
        <f t="shared" si="51"/>
        <v>Tuesday</v>
      </c>
      <c r="D363" s="138" t="s">
        <v>84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84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84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3">
      <c r="B364" s="128">
        <f t="shared" si="57"/>
        <v>46554</v>
      </c>
      <c r="C364" s="129" t="str">
        <f t="shared" si="51"/>
        <v>Wednesday</v>
      </c>
      <c r="D364" s="138" t="s">
        <v>84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84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84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3">
      <c r="B365" s="128">
        <f t="shared" si="57"/>
        <v>46555</v>
      </c>
      <c r="C365" s="129" t="str">
        <f t="shared" si="51"/>
        <v>Thursday</v>
      </c>
      <c r="D365" s="138" t="s">
        <v>84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84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84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3">
      <c r="B366" s="128">
        <f t="shared" si="57"/>
        <v>46556</v>
      </c>
      <c r="C366" s="129" t="str">
        <f t="shared" si="51"/>
        <v>Friday</v>
      </c>
      <c r="D366" s="138" t="s">
        <v>84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84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84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3">
      <c r="B367" s="128">
        <f t="shared" si="57"/>
        <v>46557</v>
      </c>
      <c r="C367" s="129" t="str">
        <f t="shared" si="51"/>
        <v>Saturday</v>
      </c>
      <c r="D367" s="138" t="s">
        <v>84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84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84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3">
      <c r="B368" s="128">
        <f t="shared" si="57"/>
        <v>46558</v>
      </c>
      <c r="C368" s="129" t="str">
        <f t="shared" si="51"/>
        <v>Sunday</v>
      </c>
      <c r="D368" s="138" t="s">
        <v>84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84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84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3">
      <c r="B369" s="128">
        <f t="shared" si="57"/>
        <v>46559</v>
      </c>
      <c r="C369" s="129" t="str">
        <f t="shared" si="51"/>
        <v>Monday</v>
      </c>
      <c r="D369" s="138" t="s">
        <v>84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84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84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3">
      <c r="B370" s="128">
        <f t="shared" si="57"/>
        <v>46560</v>
      </c>
      <c r="C370" s="129" t="str">
        <f t="shared" si="51"/>
        <v>Tuesday</v>
      </c>
      <c r="D370" s="138" t="s">
        <v>84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84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84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3">
      <c r="B371" s="128">
        <f t="shared" si="57"/>
        <v>46561</v>
      </c>
      <c r="C371" s="129" t="str">
        <f t="shared" si="51"/>
        <v>Wednesday</v>
      </c>
      <c r="D371" s="138" t="s">
        <v>84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84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84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3">
      <c r="B372" s="128">
        <f t="shared" si="57"/>
        <v>46562</v>
      </c>
      <c r="C372" s="130" t="str">
        <f t="shared" si="51"/>
        <v>Thursday</v>
      </c>
      <c r="D372" s="138" t="s">
        <v>84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84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84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D4:H4"/>
    <mergeCell ref="V2:X2"/>
    <mergeCell ref="Y2:AA2"/>
    <mergeCell ref="AE2:AG2"/>
    <mergeCell ref="N4:R4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53" priority="16" stopIfTrue="1">
      <formula>IF(OR($C$6="Tuesday", $C$6="Wednesday"), IF(ROUNDDOWN(G6/60,0)&gt;=2,TRUE,FALSE),IF(ROUNDDOWN(G6/60,0)&gt;=3,TRUE,FALSE))</formula>
    </cfRule>
    <cfRule type="expression" dxfId="52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1" priority="48" stopIfTrue="1">
      <formula>IF(OR(C6="Tuesday", C6="Wednesday"), IF(ROUNDDOWN(S6/60,0)&gt;=2,TRUE,FALSE),IF(ROUNDDOWN(S6/60,0)&gt;=3,TRUE,FALSE))</formula>
    </cfRule>
    <cfRule type="expression" dxfId="50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dimension ref="C3:G57"/>
  <sheetViews>
    <sheetView workbookViewId="0">
      <selection activeCell="C6" sqref="C6"/>
    </sheetView>
  </sheetViews>
  <sheetFormatPr defaultRowHeight="14.4" x14ac:dyDescent="0.3"/>
  <cols>
    <col min="3" max="3" width="17.44140625" customWidth="1"/>
    <col min="4" max="4" width="12.33203125" bestFit="1" customWidth="1"/>
    <col min="5" max="5" width="22.44140625" bestFit="1" customWidth="1"/>
    <col min="6" max="6" width="19.5546875" bestFit="1" customWidth="1"/>
    <col min="7" max="7" width="20.6640625" bestFit="1" customWidth="1"/>
  </cols>
  <sheetData>
    <row r="3" spans="3:7" x14ac:dyDescent="0.3">
      <c r="C3" s="198" t="s">
        <v>203</v>
      </c>
      <c r="D3" s="198"/>
      <c r="E3" s="198"/>
      <c r="F3" s="198"/>
      <c r="G3" s="198"/>
    </row>
    <row r="4" spans="3:7" x14ac:dyDescent="0.3">
      <c r="C4" s="131" t="s">
        <v>202</v>
      </c>
      <c r="D4" s="79" t="s">
        <v>201</v>
      </c>
      <c r="E4" s="79" t="s">
        <v>224</v>
      </c>
      <c r="F4" s="132" t="s">
        <v>225</v>
      </c>
      <c r="G4" s="79" t="s">
        <v>226</v>
      </c>
    </row>
    <row r="5" spans="3:7" x14ac:dyDescent="0.3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3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01/00/00-01/00/00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3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01/00/00-01/00/00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3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01/00/00-01/00/00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3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01/00/00-01/00/00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3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01/00/00-01/00/00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3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01/00/00-01/00/00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3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01/00/00-01/00/00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3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01/00/00-01/00/00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3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01/00/00-01/00/00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3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01/00/00-01/00/00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3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01/00/00-01/00/00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3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01/00/00-01/00/00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3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01/00/00-01/00/00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3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01/00/00-01/00/00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3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01/00/00-01/00/00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3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01/00/00-01/00/00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3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01/00/00-01/00/00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3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01/00/00-01/00/00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3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01/00/00-01/00/00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3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01/00/00-01/00/00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3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01/00/00-01/00/00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3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01/00/00-01/00/00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3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01/00/00-01/00/00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3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01/00/00-01/00/00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3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01/00/00-01/00/00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3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01/00/00-01/00/00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3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01/00/00-01/00/00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3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01/00/00-01/00/00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3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01/00/00-01/00/00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3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01/00/00-01/00/00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3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01/00/00-01/00/00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3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01/00/00-01/00/00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3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01/00/00-01/00/00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3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01/00/00-01/00/00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3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01/00/00-01/00/00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3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01/00/00-01/00/00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3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01/00/00-01/00/00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3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01/00/00-01/00/00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3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01/00/00-01/00/00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3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01/00/00-01/00/00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3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01/00/00-01/00/00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3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01/00/00-01/00/00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3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01/00/00-01/00/00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3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01/00/00-01/00/00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3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01/00/00-01/00/00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3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01/00/00-01/00/00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3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01/00/00-01/00/00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3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01/00/00-01/00/00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3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01/00/00-01/00/00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3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01/00/00-01/00/00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3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01/00/00-01/00/00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3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01/00/00-01/00/00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27" priority="4">
      <formula>TRUE</formula>
    </cfRule>
  </conditionalFormatting>
  <conditionalFormatting sqref="D5:D57">
    <cfRule type="expression" dxfId="26" priority="3" stopIfTrue="1">
      <formula>VALUE(LEFT(D5,FIND("h",D5)-1))&gt;=21</formula>
    </cfRule>
  </conditionalFormatting>
  <conditionalFormatting sqref="E5:E57">
    <cfRule type="expression" dxfId="25" priority="1" stopIfTrue="1">
      <formula>VALUE(LEFT(E5,FIND("h",E5)-1))&gt;=2</formula>
    </cfRule>
    <cfRule type="expression" dxfId="24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1" spans="2:8" ht="24" customHeight="1" x14ac:dyDescent="0.3"/>
    <row r="2" spans="2:8" ht="18" x14ac:dyDescent="0.3">
      <c r="B2" s="199" t="s">
        <v>13</v>
      </c>
      <c r="C2" s="199"/>
      <c r="D2" s="199"/>
      <c r="F2" s="199" t="s">
        <v>14</v>
      </c>
      <c r="G2" s="199"/>
      <c r="H2" s="199"/>
    </row>
    <row r="3" spans="2:8" x14ac:dyDescent="0.3">
      <c r="B3" s="57" t="s">
        <v>110</v>
      </c>
      <c r="C3" s="57" t="s">
        <v>111</v>
      </c>
      <c r="D3" s="59" t="s">
        <v>112</v>
      </c>
      <c r="F3" s="57" t="s">
        <v>110</v>
      </c>
      <c r="G3" s="57" t="s">
        <v>111</v>
      </c>
      <c r="H3" s="58" t="s">
        <v>112</v>
      </c>
    </row>
    <row r="4" spans="2:8" ht="57.6" x14ac:dyDescent="0.3">
      <c r="B4" s="2">
        <v>15</v>
      </c>
      <c r="C4" s="2" t="s">
        <v>108</v>
      </c>
      <c r="D4" s="60" t="s">
        <v>116</v>
      </c>
      <c r="F4" s="2">
        <v>15</v>
      </c>
      <c r="G4" s="2" t="s">
        <v>119</v>
      </c>
      <c r="H4" s="63" t="s">
        <v>121</v>
      </c>
    </row>
    <row r="5" spans="2:8" ht="158.4" x14ac:dyDescent="0.3">
      <c r="B5" s="2">
        <v>60</v>
      </c>
      <c r="C5" s="2" t="s">
        <v>109</v>
      </c>
      <c r="D5" s="60" t="s">
        <v>115</v>
      </c>
      <c r="F5" s="2">
        <v>15</v>
      </c>
      <c r="G5" s="2" t="s">
        <v>120</v>
      </c>
      <c r="H5" s="63" t="s">
        <v>122</v>
      </c>
    </row>
    <row r="6" spans="2:8" ht="69" customHeight="1" x14ac:dyDescent="0.3">
      <c r="B6" s="2">
        <v>45</v>
      </c>
      <c r="C6" s="2" t="s">
        <v>117</v>
      </c>
      <c r="D6" s="60" t="s">
        <v>114</v>
      </c>
    </row>
    <row r="7" spans="2:8" ht="29.4" thickBot="1" x14ac:dyDescent="0.35">
      <c r="B7" s="61">
        <v>15</v>
      </c>
      <c r="C7" s="61" t="s">
        <v>118</v>
      </c>
      <c r="D7" s="62" t="s">
        <v>113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2026-09-08T21:05:31Z</dcterms:modified>
</cp:coreProperties>
</file>