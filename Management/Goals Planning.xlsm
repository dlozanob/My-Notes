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60" documentId="13_ncr:1_{31399611-A72B-479F-B6BD-BAF938C2611F}" xr6:coauthVersionLast="47" xr6:coauthVersionMax="47" xr10:uidLastSave="{7F5FEDEE-2E05-4B6C-AC51-985AB25B5625}"/>
  <bookViews>
    <workbookView xWindow="28680" yWindow="-120" windowWidth="29040" windowHeight="15720" firstSheet="1" activeTab="7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7" i="5" l="1"/>
  <c r="F26" i="5" l="1"/>
  <c r="F23" i="5"/>
  <c r="I32" i="2"/>
  <c r="G31" i="2"/>
  <c r="E61" i="3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5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D24" i="11"/>
  <c r="G33" i="11"/>
  <c r="C28" i="11" a="1"/>
  <c r="F46" i="11"/>
  <c r="C45" i="11" a="1"/>
  <c r="C19" i="11" a="1"/>
  <c r="D34" i="11"/>
  <c r="F41" i="11"/>
  <c r="D42" i="11"/>
  <c r="F43" i="11"/>
  <c r="C49" i="11" a="1"/>
  <c r="D14" i="11"/>
  <c r="E37" i="11"/>
  <c r="F39" i="11"/>
  <c r="G45" i="11"/>
  <c r="E49" i="11"/>
  <c r="C23" i="11" a="1"/>
  <c r="C12" i="11" a="1"/>
  <c r="F34" i="11"/>
  <c r="E17" i="11"/>
  <c r="F29" i="11"/>
  <c r="F54" i="11"/>
  <c r="G50" i="11"/>
  <c r="E50" i="11"/>
  <c r="F25" i="11"/>
  <c r="D21" i="11"/>
  <c r="G24" i="11"/>
  <c r="C55" i="11" a="1"/>
  <c r="E18" i="11"/>
  <c r="C6" i="11" a="1"/>
  <c r="E35" i="11"/>
  <c r="D55" i="11"/>
  <c r="E31" i="11"/>
  <c r="G29" i="11"/>
  <c r="D23" i="11"/>
  <c r="G52" i="11"/>
  <c r="E38" i="11"/>
  <c r="D33" i="11"/>
  <c r="D54" i="11"/>
  <c r="F37" i="11"/>
  <c r="E26" i="11"/>
  <c r="C51" i="11" a="1"/>
  <c r="E51" i="11"/>
  <c r="D41" i="11"/>
  <c r="D37" i="11"/>
  <c r="C15" i="11" a="1"/>
  <c r="D16" i="11"/>
  <c r="G16" i="11"/>
  <c r="G14" i="11"/>
  <c r="E40" i="11"/>
  <c r="F19" i="11"/>
  <c r="C11" i="11" a="1"/>
  <c r="D52" i="11"/>
  <c r="D38" i="11"/>
  <c r="E22" i="11"/>
  <c r="F49" i="11"/>
  <c r="F16" i="11"/>
  <c r="F28" i="11"/>
  <c r="E24" i="11"/>
  <c r="G55" i="11"/>
  <c r="C41" i="11" a="1"/>
  <c r="D15" i="11"/>
  <c r="G15" i="11"/>
  <c r="C38" i="11" a="1"/>
  <c r="D40" i="11"/>
  <c r="G20" i="11"/>
  <c r="E57" i="11"/>
  <c r="E23" i="11"/>
  <c r="G35" i="11"/>
  <c r="D20" i="11"/>
  <c r="F52" i="11"/>
  <c r="F20" i="11"/>
  <c r="C25" i="11" a="1"/>
  <c r="E14" i="11"/>
  <c r="G46" i="11"/>
  <c r="E15" i="11"/>
  <c r="D53" i="11"/>
  <c r="G19" i="11"/>
  <c r="F27" i="11"/>
  <c r="G27" i="11"/>
  <c r="C44" i="11" a="1"/>
  <c r="C57" i="11" a="1"/>
  <c r="E20" i="11"/>
  <c r="F17" i="11"/>
  <c r="D25" i="11"/>
  <c r="C5" i="11" a="1"/>
  <c r="F38" i="11"/>
  <c r="F40" i="11"/>
  <c r="E55" i="11"/>
  <c r="F14" i="11"/>
  <c r="E41" i="11"/>
  <c r="D44" i="11"/>
  <c r="G51" i="11"/>
  <c r="C24" i="11" a="1"/>
  <c r="E30" i="11"/>
  <c r="C54" i="11" a="1"/>
  <c r="C26" i="11" a="1"/>
  <c r="G23" i="11"/>
  <c r="F33" i="11"/>
  <c r="F51" i="11"/>
  <c r="E34" i="11"/>
  <c r="G5" i="11"/>
  <c r="C22" i="11" a="1"/>
  <c r="G48" i="11"/>
  <c r="G21" i="11"/>
  <c r="F47" i="11"/>
  <c r="C18" i="11" a="1"/>
  <c r="E33" i="11"/>
  <c r="G31" i="11"/>
  <c r="G26" i="11"/>
  <c r="D57" i="11"/>
  <c r="C16" i="11" a="1"/>
  <c r="C48" i="11" a="1"/>
  <c r="E52" i="11"/>
  <c r="E46" i="11"/>
  <c r="F23" i="11"/>
  <c r="G41" i="11"/>
  <c r="C13" i="11" a="1"/>
  <c r="D17" i="11"/>
  <c r="F30" i="11"/>
  <c r="C7" i="11" a="1"/>
  <c r="D19" i="11"/>
  <c r="C35" i="11" a="1"/>
  <c r="E48" i="11"/>
  <c r="F32" i="11"/>
  <c r="E28" i="11"/>
  <c r="G17" i="11"/>
  <c r="D56" i="11"/>
  <c r="F26" i="11"/>
  <c r="D28" i="11"/>
  <c r="G42" i="11"/>
  <c r="C56" i="11" a="1"/>
  <c r="C36" i="11" a="1"/>
  <c r="C17" i="11" a="1"/>
  <c r="C21" i="11" a="1"/>
  <c r="E21" i="11"/>
  <c r="F48" i="11"/>
  <c r="E5" i="11"/>
  <c r="D29" i="11"/>
  <c r="D30" i="11"/>
  <c r="F44" i="11"/>
  <c r="E36" i="11"/>
  <c r="G18" i="11"/>
  <c r="D49" i="11"/>
  <c r="C52" i="11" a="1"/>
  <c r="F57" i="11"/>
  <c r="D43" i="11"/>
  <c r="C9" i="11" a="1"/>
  <c r="F15" i="11"/>
  <c r="G54" i="11"/>
  <c r="D31" i="11"/>
  <c r="E54" i="11"/>
  <c r="C34" i="11" a="1"/>
  <c r="E56" i="11"/>
  <c r="D47" i="11"/>
  <c r="F35" i="11"/>
  <c r="E43" i="11"/>
  <c r="D22" i="11"/>
  <c r="F24" i="11"/>
  <c r="G22" i="11"/>
  <c r="F42" i="11"/>
  <c r="G38" i="11"/>
  <c r="F56" i="11"/>
  <c r="G36" i="11"/>
  <c r="G39" i="11"/>
  <c r="G49" i="11"/>
  <c r="F22" i="11"/>
  <c r="F50" i="11"/>
  <c r="D46" i="11"/>
  <c r="C46" i="11" a="1"/>
  <c r="G47" i="11"/>
  <c r="E47" i="11"/>
  <c r="D36" i="11"/>
  <c r="C30" i="11" a="1"/>
  <c r="C42" i="11" a="1"/>
  <c r="C20" i="11" a="1"/>
  <c r="C50" i="11" a="1"/>
  <c r="G53" i="11"/>
  <c r="D48" i="11"/>
  <c r="G34" i="11"/>
  <c r="C32" i="11" a="1"/>
  <c r="F55" i="11"/>
  <c r="G40" i="11"/>
  <c r="E32" i="11"/>
  <c r="E44" i="11"/>
  <c r="F53" i="11"/>
  <c r="D39" i="11"/>
  <c r="D26" i="11"/>
  <c r="D51" i="11"/>
  <c r="C10" i="11" a="1"/>
  <c r="F36" i="11"/>
  <c r="G37" i="11"/>
  <c r="G56" i="11"/>
  <c r="E25" i="11"/>
  <c r="G43" i="11"/>
  <c r="C29" i="11" a="1"/>
  <c r="C39" i="11" a="1"/>
  <c r="G25" i="11"/>
  <c r="E27" i="11"/>
  <c r="E29" i="11"/>
  <c r="C40" i="11" a="1"/>
  <c r="D32" i="11"/>
  <c r="E19" i="11"/>
  <c r="C31" i="11" a="1"/>
  <c r="C47" i="11" a="1"/>
  <c r="D5" i="11"/>
  <c r="F5" i="11"/>
  <c r="F18" i="11"/>
  <c r="C37" i="11" a="1"/>
  <c r="D18" i="11"/>
  <c r="G30" i="11"/>
  <c r="D45" i="11"/>
  <c r="C14" i="11" a="1"/>
  <c r="F45" i="11"/>
  <c r="D35" i="11"/>
  <c r="D50" i="11"/>
  <c r="E53" i="11"/>
  <c r="G32" i="11"/>
  <c r="C53" i="11" a="1"/>
  <c r="E16" i="11"/>
  <c r="C27" i="11" a="1"/>
  <c r="C43" i="11" a="1"/>
  <c r="F31" i="11"/>
  <c r="F21" i="11"/>
  <c r="E42" i="11"/>
  <c r="C33" i="11" a="1"/>
  <c r="D27" i="11"/>
  <c r="C8" i="11" a="1"/>
  <c r="E45" i="11"/>
  <c r="G57" i="11"/>
  <c r="E39" i="11"/>
  <c r="G28" i="11"/>
  <c r="G44" i="11"/>
  <c r="L9" i="10" l="1" a="1"/>
  <c r="L9" i="10" s="1"/>
  <c r="L8" i="10" a="1"/>
  <c r="L8" i="10" s="1"/>
  <c r="L10" i="10" a="1"/>
  <c r="L10" i="10" s="1"/>
  <c r="L3" i="10" a="1"/>
  <c r="L3" i="10" s="1"/>
  <c r="L6" i="10" a="1"/>
  <c r="L6" i="10" s="1"/>
  <c r="L7" i="10" a="1"/>
  <c r="L7" i="10" s="1"/>
  <c r="L5" i="10" a="1"/>
  <c r="L5" i="10" s="1"/>
  <c r="L4" i="10" a="1"/>
  <c r="L4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G12" i="11"/>
  <c r="F11" i="11"/>
  <c r="D13" i="11"/>
  <c r="D10" i="11"/>
  <c r="E10" i="11"/>
  <c r="E12" i="11"/>
  <c r="D9" i="11"/>
  <c r="G13" i="11"/>
  <c r="F10" i="11"/>
  <c r="F13" i="11"/>
  <c r="E8" i="11"/>
  <c r="F12" i="11"/>
  <c r="G9" i="11"/>
  <c r="D12" i="11"/>
  <c r="E11" i="11"/>
  <c r="E13" i="11"/>
  <c r="F8" i="11"/>
  <c r="G11" i="11"/>
  <c r="G8" i="11"/>
  <c r="F9" i="11"/>
  <c r="D8" i="11"/>
  <c r="G10" i="11"/>
  <c r="E9" i="11"/>
  <c r="D11" i="11"/>
  <c r="E9" i="7" l="1"/>
  <c r="E17" i="7"/>
  <c r="E13" i="7"/>
  <c r="E16" i="7"/>
  <c r="D16" i="7"/>
  <c r="D7" i="11"/>
  <c r="F7" i="11"/>
  <c r="E7" i="11"/>
  <c r="G7" i="11"/>
  <c r="F20" i="5" l="1"/>
  <c r="F21" i="5"/>
  <c r="A3" i="1"/>
  <c r="B3" i="1" s="1"/>
  <c r="F24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3" i="5"/>
  <c r="F2" i="5"/>
  <c r="E15" i="7"/>
  <c r="E14" i="7"/>
  <c r="B10" i="8" l="1"/>
  <c r="C9" i="8"/>
  <c r="A8" i="1"/>
  <c r="B8" i="1" s="1"/>
  <c r="D9" i="7"/>
  <c r="D18" i="7"/>
  <c r="D14" i="7"/>
  <c r="D15" i="7"/>
  <c r="D13" i="7"/>
  <c r="D17" i="7"/>
  <c r="D12" i="7"/>
  <c r="D8" i="7"/>
  <c r="D7" i="7"/>
  <c r="D6" i="7"/>
  <c r="D5" i="7"/>
  <c r="D11" i="7"/>
  <c r="D10" i="7"/>
  <c r="D4" i="7"/>
  <c r="D3" i="7"/>
  <c r="E7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H8" i="10"/>
  <c r="F8" i="10"/>
  <c r="E29" i="2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10" i="7"/>
  <c r="E11" i="7"/>
  <c r="E12" i="7"/>
  <c r="B11" i="8" l="1"/>
  <c r="C10" i="8"/>
  <c r="J29" i="2"/>
  <c r="K29" i="2" s="1"/>
  <c r="A9" i="1"/>
  <c r="B9" i="1" s="1"/>
  <c r="J27" i="2"/>
  <c r="K27" i="2" s="1"/>
  <c r="B12" i="8" l="1"/>
  <c r="C11" i="8"/>
  <c r="A10" i="1"/>
  <c r="B10" i="1" s="1"/>
  <c r="E8" i="7"/>
  <c r="E6" i="7"/>
  <c r="E5" i="7"/>
  <c r="E4" i="7"/>
  <c r="E3" i="7"/>
  <c r="E18" i="7"/>
  <c r="B13" i="8" l="1"/>
  <c r="C12" i="8"/>
  <c r="A11" i="1"/>
  <c r="B11" i="1" s="1"/>
  <c r="I28" i="2"/>
  <c r="K7" i="10" s="1"/>
  <c r="F12" i="5"/>
  <c r="F7" i="5"/>
  <c r="F5" i="5"/>
  <c r="F14" i="5"/>
  <c r="F13" i="5"/>
  <c r="F16" i="5"/>
  <c r="F15" i="5"/>
  <c r="F11" i="5"/>
  <c r="F10" i="5"/>
  <c r="F9" i="5"/>
  <c r="F8" i="5"/>
  <c r="F18" i="5"/>
  <c r="F22" i="5"/>
  <c r="F6" i="5"/>
  <c r="F19" i="5"/>
  <c r="F17" i="5"/>
  <c r="F4" i="5"/>
  <c r="G32" i="2"/>
  <c r="F32" i="2"/>
  <c r="D32" i="2"/>
  <c r="C32" i="2"/>
  <c r="I26" i="2"/>
  <c r="K3" i="10" s="1"/>
  <c r="H26" i="2"/>
  <c r="H28" i="2"/>
  <c r="J7" i="10" s="1"/>
  <c r="G28" i="2"/>
  <c r="I7" i="10" s="1"/>
  <c r="H7" i="10"/>
  <c r="E28" i="2"/>
  <c r="D28" i="2"/>
  <c r="C28" i="2"/>
  <c r="E7" i="10" s="1"/>
  <c r="B14" i="8" l="1"/>
  <c r="C13" i="8"/>
  <c r="A12" i="1"/>
  <c r="B12" i="1" s="1"/>
  <c r="J32" i="2"/>
  <c r="K32" i="2" s="1"/>
  <c r="J28" i="2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A368" i="1"/>
  <c r="B368" i="1" l="1"/>
  <c r="B371" i="8"/>
  <c r="C370" i="8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F6" i="11" l="1"/>
  <c r="E6" i="11"/>
  <c r="D6" i="11"/>
  <c r="G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<sst xmlns="http://schemas.openxmlformats.org/spreadsheetml/2006/main" count="5224" uniqueCount="327">
  <si>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</si>
  <si>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</si>
  <si>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</si>
  <si>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</si>
  <si>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</si>
  <si>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</si>
  <si>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</si>
  <si>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</si>
  <si>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</si>
  <si>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</si>
  <si>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</si>
  <si>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</si>
  <si>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</si>
  <si>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</si>
  <si>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</si>
  <si>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</si>
  <si>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</si>
  <si>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</si>
  <si>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</si>
  <si>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</si>
  <si>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</si>
  <si>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</si>
  <si>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</si>
  <si>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</si>
  <si>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</si>
  <si>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</si>
  <si>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</si>
  <si>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</si>
  <si>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</si>
  <si>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</si>
  <si>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</si>
  <si>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</si>
  <si>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</si>
  <si>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</si>
  <si>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</si>
  <si>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</si>
  <si>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</si>
  <si>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</si>
  <si>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</si>
  <si>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</si>
  <si>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</si>
  <si>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</si>
  <si>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</si>
  <si>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</si>
  <si>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</si>
  <si>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</si>
  <si>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</si>
  <si>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</si>
  <si>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</si>
  <si>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</si>
  <si>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</si>
  <si>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</si>
  <si>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</si>
  <si>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</si>
  <si>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</si>
  <si>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</si>
  <si>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</si>
  <si>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</si>
  <si>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</si>
  <si>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</si>
  <si>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</si>
  <si>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</si>
  <si>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</si>
  <si>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</si>
  <si>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</si>
  <si>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</si>
  <si>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</si>
  <si>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</si>
  <si>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</si>
  <si>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</si>
  <si>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</si>
  <si>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</si>
  <si>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</si>
  <si>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</si>
  <si>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</si>
  <si>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</si>
  <si>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</si>
  <si>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</si>
  <si>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</si>
  <si>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</si>
  <si>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</si>
  <si>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</si>
  <si>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</si>
  <si>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</si>
  <si>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</si>
  <si>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</si>
  <si>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</si>
  <si>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</si>
  <si>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</si>
  <si>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</si>
  <si>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</si>
  <si>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</si>
  <si>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</si>
  <si>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</si>
  <si>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</si>
  <si>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</si>
  <si>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</si>
  <si>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</si>
  <si>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</si>
  <si>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</si>
  <si>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</si>
  <si>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</si>
  <si>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</si>
  <si>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</si>
  <si>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</si>
  <si>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</si>
  <si>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</si>
  <si>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</si>
  <si>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</si>
  <si>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</si>
  <si>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</si>
  <si>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</si>
  <si>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</si>
  <si>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</si>
  <si>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</si>
  <si>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</si>
  <si>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</si>
  <si>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</si>
  <si>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</si>
  <si>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</si>
  <si>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</si>
  <si>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</si>
  <si>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</si>
  <si>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</si>
  <si>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</si>
  <si>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</si>
  <si>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</si>
  <si>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</si>
  <si>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</si>
  <si>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</si>
  <si>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</si>
  <si>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</si>
  <si>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</si>
  <si>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</si>
  <si>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</si>
  <si>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</si>
  <si>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</si>
  <si>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</si>
  <si>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</si>
  <si>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</si>
  <si>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</si>
  <si>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</si>
  <si>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</si>
  <si>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</si>
  <si>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</si>
  <si>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</si>
  <si>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</si>
  <si>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</si>
  <si>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</si>
  <si>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</si>
  <si>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</si>
  <si>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</si>
  <si>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</si>
  <si>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</si>
  <si>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</si>
  <si>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</si>
  <si>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</si>
  <si>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</si>
  <si>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</si>
  <si>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</si>
  <si>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</si>
  <si>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</si>
  <si>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</si>
  <si>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</si>
  <si>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</si>
  <si>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</si>
  <si>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</si>
  <si>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</si>
  <si>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</si>
  <si>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</si>
  <si>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</si>
  <si>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</si>
  <si>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</si>
  <si>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</si>
  <si>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</si>
  <si>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</si>
  <si>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</si>
  <si>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</si>
  <si>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</si>
  <si>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</si>
  <si>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</si>
  <si>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</si>
  <si>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</si>
  <si>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</si>
  <si>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</si>
  <si>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</si>
  <si>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</si>
  <si>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</si>
  <si>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</si>
  <si>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</si>
  <si>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</si>
  <si>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</si>
  <si>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</si>
  <si>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</si>
  <si>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</si>
  <si>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</si>
  <si>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</si>
  <si>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</si>
  <si>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</si>
  <si>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</si>
  <si>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</si>
  <si>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</si>
  <si>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</si>
  <si>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</si>
  <si>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</si>
  <si>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</si>
  <si>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</si>
  <si>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</si>
  <si>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</si>
  <si>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</si>
  <si>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</si>
  <si>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</si>
  <si>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</si>
  <si>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</si>
  <si>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</si>
  <si>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</si>
  <si>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</si>
  <si>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</si>
  <si>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</si>
  <si>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</si>
  <si>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</si>
  <si>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</si>
  <si>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</si>
  <si>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</si>
  <si>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</si>
  <si>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</si>
  <si>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</si>
  <si>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</si>
  <si>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</si>
  <si>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</si>
  <si>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</si>
  <si>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</si>
  <si>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</si>
  <si>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</si>
  <si>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</si>
  <si>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</si>
  <si>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</si>
  <si>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</si>
  <si>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</si>
  <si>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</si>
  <si>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</si>
  <si>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</si>
  <si>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</si>
  <si>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</si>
  <si>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</si>
  <si>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</si>
  <si>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</si>
  <si>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</si>
  <si>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</si>
  <si>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</si>
  <si>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</si>
  <si>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</si>
  <si>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</si>
  <si>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</si>
  <si>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</si>
  <si>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</si>
  <si>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</si>
  <si>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</si>
  <si>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</si>
  <si>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</si>
  <si>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</si>
  <si>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</si>
  <si>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</si>
  <si>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</si>
  <si>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</si>
  <si>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</si>
  <si>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</si>
  <si>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</si>
  <si>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</si>
  <si>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</si>
  <si>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</si>
  <si>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</si>
  <si>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</si>
  <si>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</si>
  <si>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</si>
  <si>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</si>
  <si>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</si>
  <si>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</si>
  <si>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</si>
  <si>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</si>
  <si>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</si>
  <si>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</si>
  <si>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</si>
  <si>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</si>
  <si>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</si>
  <si>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</si>
  <si>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</si>
  <si>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</si>
  <si>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</si>
  <si>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</si>
  <si>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</si>
  <si>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</si>
  <si>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</si>
  <si>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</si>
  <si>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</si>
  <si>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</si>
  <si>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</si>
  <si>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</si>
  <si>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</si>
  <si>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</si>
  <si>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</si>
  <si>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</si>
  <si>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</si>
  <si>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</si>
  <si>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</si>
  <si>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</si>
  <si>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</si>
  <si>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</si>
  <si>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</si>
  <si>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</si>
  <si>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</si>
  <si>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</si>
  <si>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</si>
  <si>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</si>
  <si>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</si>
  <si>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</si>
  <si>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</si>
  <si>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</si>
  <si>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</si>
  <si>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</si>
  <si>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</si>
  <si>
    <t>Schedule Dermatology Appointment</t>
  </si>
  <si>
    <t>Schedule for the 15th</t>
  </si>
  <si>
    <t>Cash Out (470.000)</t>
  </si>
  <si>
    <t>Recharge Transport Card (56.800)</t>
  </si>
  <si>
    <t>CDT Banco Santander</t>
  </si>
  <si>
    <t>Vence el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</si>
</sst>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10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0" fillId="24" borderId="0" xfId="0" applyFill="1" applyAlignment="1">
      <alignment horizontal="center" vertical="center"/>
    </xf>
    <xf numFmtId="164" fontId="0" fillId="24" borderId="0" xfId="0" applyNumberFormat="1" applyFill="1" applyAlignment="1">
      <alignment horizontal="center" vertical="center"/>
    </xf>
    <xf numFmtId="0" fontId="0" fillId="24" borderId="0" xfId="0" applyFill="1" applyAlignment="1">
      <alignment horizontal="center" vertical="center" wrapText="1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Oct 12, 2026 to Oct 18,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4.3330000000000002</c:v>
                </c:pt>
                <c:pt idx="1">
                  <c:v>0</c:v>
                </c:pt>
                <c:pt idx="2">
                  <c:v>0.33333333333333331</c:v>
                </c:pt>
                <c:pt idx="3">
                  <c:v>0</c:v>
                </c:pt>
                <c:pt idx="4">
                  <c:v>0.33333333333333331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5</xdr:col>
      <xdr:colOff>531991</xdr:colOff>
      <xdr:row>44</xdr:row>
      <xdr:rowOff>87049</xdr:rowOff>
    </xdr:from>
    <xdr:to>
      <xdr:col>5</xdr:col>
      <xdr:colOff>2354827</xdr:colOff>
      <xdr:row>53</xdr:row>
      <xdr:rowOff>158364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E68692-4C43-AE42-91D1-B9D66661417C}"/>
            </a:ext>
          </a:extLst>
        </xdr:cNvPr>
        <xdr:cNvSpPr/>
      </xdr:nvSpPr>
      <xdr:spPr>
        <a:xfrm>
          <a:off x="6942730" y="8220571"/>
          <a:ext cx="1822836" cy="17112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Modelltest 1:</a:t>
          </a:r>
        </a:p>
        <a:p>
          <a:pPr algn="l"/>
          <a:r>
            <a:rPr lang="en-US" sz="1100"/>
            <a:t>- Lesen Teil 1: 6/8</a:t>
          </a:r>
        </a:p>
        <a:p>
          <a:pPr algn="l"/>
          <a:r>
            <a:rPr lang="en-US" sz="1100"/>
            <a:t>-</a:t>
          </a:r>
          <a:r>
            <a:rPr lang="en-US" sz="1100" baseline="0"/>
            <a:t> Lesen Teil 2: 6/7</a:t>
          </a:r>
        </a:p>
        <a:p>
          <a:pPr algn="l"/>
          <a:r>
            <a:rPr lang="en-US" sz="1100" baseline="0"/>
            <a:t>- Lesen Teil 3: 3/8</a:t>
          </a:r>
        </a:p>
        <a:p>
          <a:pPr algn="l"/>
          <a:r>
            <a:rPr lang="en-US" sz="1100" baseline="0"/>
            <a:t>- Lesen Teil 4: 7/7</a:t>
          </a:r>
        </a:p>
        <a:p>
          <a:pPr algn="l"/>
          <a:r>
            <a:rPr lang="en-US" sz="1100" baseline="0"/>
            <a:t>- Hören Teil 1: 5/6</a:t>
          </a:r>
        </a:p>
        <a:p>
          <a:pPr algn="l"/>
          <a:r>
            <a:rPr lang="en-US" sz="1100" baseline="0"/>
            <a:t>- Hören Teil 2: 7/9</a:t>
          </a:r>
        </a:p>
        <a:p>
          <a:pPr algn="l"/>
          <a:r>
            <a:rPr lang="en-US" sz="1100" baseline="0"/>
            <a:t>- Hören Teil 3: 8/8</a:t>
          </a:r>
        </a:p>
        <a:p>
          <a:pPr algn="l"/>
          <a:r>
            <a:rPr lang="en-US" sz="1100" baseline="0"/>
            <a:t>- Hören Teil 4: 6/7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98" headerRowBorderDxfId="97" tableBorderDxfId="96" totalsRowBorderDxfId="95">
  <autoFilter ref="B4:K7" xr:uid="{A0D32330-27B6-422A-9D1F-1FC5BAE5E4DB}"/>
  <tableColumns count="10">
    <tableColumn id="1" xr3:uid="{19F98066-679F-4EEC-9A8C-22860A587D58}" name="Language" dataDxfId="94"/>
    <tableColumn id="2" xr3:uid="{9BE73F99-3CBD-49DC-86AA-136DA5596E56}" name="Current Level" dataDxfId="93"/>
    <tableColumn id="3" xr3:uid="{D1CA6F26-E592-4F65-8835-ED17E93DB151}" name="Objective" dataDxfId="92"/>
    <tableColumn id="4" xr3:uid="{F859D955-4AE2-43E1-84D7-DDB739CAE75B}" name="Daily Intensity [h]" dataDxfId="91"/>
    <tableColumn id="5" xr3:uid="{D6D3DADB-90B1-49DA-9D0F-69E54089656D}" name="Estimated Time (Best) [months]" dataDxfId="90" dataCellStyle="Good"/>
    <tableColumn id="6" xr3:uid="{7BF26971-99B7-4341-9936-055654ADE3C7}" name="Estimated Time (Expected) [months]" dataDxfId="89" dataCellStyle="Good"/>
    <tableColumn id="7" xr3:uid="{2E85D0AD-3119-4874-89FE-74923BCA0E5B}" name="Actual Average Daily Intensity [h]" dataDxfId="88" dataCellStyle="Good"/>
    <tableColumn id="8" xr3:uid="{2E862DF0-5B48-469F-9CE4-BDBEF11C9796}" name="Actual Weekly Intensity [h]" dataDxfId="87" dataCellStyle="Good"/>
    <tableColumn id="9" xr3:uid="{E007EA51-E3B8-4B5E-B04D-776D525232C7}" name="Termination Date (Best)" dataDxfId="86" dataCellStyle="Good">
      <calculatedColumnFormula>EDATE(Logbook!#REF!,'Detailed Planning'!F5)</calculatedColumnFormula>
    </tableColumn>
    <tableColumn id="10" xr3:uid="{71F0CAF6-D6C3-43DE-A41C-85D4DA3C78E2}" name="Termination Date (Expected)" dataDxfId="85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84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8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112" dataDxfId="111">
  <autoFilter ref="A1:L368" xr:uid="{B8EDE20C-CB7F-4EF3-B4C7-DEE7F6A4F11C}"/>
  <tableColumns count="12">
    <tableColumn id="1" xr3:uid="{AC74041C-0D51-466A-8989-E76B8DEFD438}" name="Date" dataDxfId="110"/>
    <tableColumn id="2" xr3:uid="{0AD3397B-F72F-4A30-A7C9-1258DE821AD0}" name="Day" dataDxfId="109">
      <calculatedColumnFormula>CHOOSE(WEEKDAY(A2,2),"Monday","Tuesday","Wednesday","Thursday","Friday","Saturday","Sunday")</calculatedColumnFormula>
    </tableColumn>
    <tableColumn id="3" xr3:uid="{5962303B-7BAF-451A-AFDE-BEBC012C72A8}" name="Gym Training" dataDxfId="108"/>
    <tableColumn id="4" xr3:uid="{24CAEC62-68E5-4280-AAAB-EE68058C65AC}" name="Deutsch Lernen" dataDxfId="107"/>
    <tableColumn id="5" xr3:uid="{29713649-9C40-4A41-AA9B-38F1D74948C1}" name="Deutsch Flashcards (20 min)" dataDxfId="106"/>
    <tableColumn id="6" xr3:uid="{37486B5C-4C23-43D9-8735-09EB742C21A8}" name="Tasks" dataDxfId="105"/>
    <tableColumn id="7" xr3:uid="{3034ABE1-AAEC-417D-AA07-BA607F90D21A}" name="Career Development" dataDxfId="104"/>
    <tableColumn id="8" xr3:uid="{B60BDB65-58C4-4074-A625-D7DC35E6DEB0}" name="Calisthenics" dataDxfId="103"/>
    <tableColumn id="9" xr3:uid="{E419CAC6-0EDA-4339-9D8B-745FCBCD1397}" name="Kung Fu Training" dataDxfId="102"/>
    <tableColumn id="10" xr3:uid="{CC58E3C5-5764-4B28-A387-5DAB2E7CE225}" name="Guitar Practice" dataDxfId="101"/>
    <tableColumn id="11" xr3:uid="{C6972EC0-9D21-4990-9D11-F65D73DE82EF}" name="No Scrolling" dataDxfId="100"/>
    <tableColumn id="12" xr3:uid="{16D58CC7-4101-4A5E-9AB5-2C4C10C8DB88}" name="No Videogames" dataDxfId="9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>
      <calculatedColumnFormula array="1">SUMPRODUCT((Table7[Date]&gt;=$M3)*(Table7[Date]&lt;=MIN($N3,TODAY()))*_xlfn.SWITCH($C3,"Gym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Scrolling]="☐"),0)*CHOOSE(WEEKDAY(Table7[Date],2),$E3,$F3,$G3,$H3,$I3,$J3,$K3))</calculatedColumnFormula>
    </tableColumn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1:G27" totalsRowShown="0" headerRowDxfId="61" dataDxfId="60">
  <autoFilter ref="B1:G27" xr:uid="{6D30F8FA-BB4E-4693-A0C5-CD0454701FBA}"/>
  <sortState xmlns:xlrd2="http://schemas.microsoft.com/office/spreadsheetml/2017/richdata2" ref="B2:G26">
    <sortCondition descending="1" ref="F1:F26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C2 + MAX(0, (30-_xlfn.DAYS(D2, TODAY()))) + (10-E2)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sheetPr codeName="Sheet9"/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92" t="s">
        <v>247</v>
      </c>
      <c r="B1" s="192"/>
      <c r="C1" s="192"/>
      <c r="D1" s="192"/>
      <c r="E1" s="192"/>
      <c r="F1" s="192"/>
      <c r="G1" s="192"/>
      <c r="H1" s="192"/>
      <c r="I1" s="192"/>
      <c r="J1" s="192"/>
    </row>
    <row r="2" spans="1:10" ht="22.2" customHeight="1" x14ac:dyDescent="0.3">
      <c r="A2" s="193" t="s">
        <v>248</v>
      </c>
      <c r="B2" s="193"/>
      <c r="C2" s="193"/>
      <c r="D2" s="193"/>
      <c r="E2" s="193"/>
      <c r="F2" s="193"/>
      <c r="G2" s="193"/>
      <c r="H2" s="193"/>
      <c r="I2" s="193"/>
      <c r="J2" s="193"/>
    </row>
    <row r="4" spans="1:10" ht="24" customHeight="1" x14ac:dyDescent="0.3">
      <c r="A4" s="194" t="s">
        <v>249</v>
      </c>
      <c r="B4" s="194"/>
      <c r="C4" s="194"/>
      <c r="D4" s="194"/>
      <c r="E4" s="194"/>
      <c r="F4" s="194"/>
      <c r="G4" s="194"/>
      <c r="H4" s="194"/>
      <c r="I4" s="194"/>
      <c r="J4" s="194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5"/>
      <c r="B21" s="195"/>
      <c r="C21" s="195"/>
      <c r="D21" s="195"/>
      <c r="E21" s="195"/>
      <c r="F21" s="195"/>
      <c r="G21" s="195"/>
      <c r="H21" s="195"/>
      <c r="I21" s="195"/>
      <c r="J21" s="195"/>
    </row>
    <row r="22" spans="1:10" ht="21" customHeight="1" x14ac:dyDescent="0.3">
      <c r="A22" s="195"/>
      <c r="B22" s="195"/>
      <c r="C22" s="195"/>
      <c r="D22" s="195"/>
      <c r="E22" s="195"/>
      <c r="F22" s="195"/>
      <c r="G22" s="195"/>
      <c r="H22" s="195"/>
      <c r="I22" s="195"/>
      <c r="J22" s="195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6" t="s">
        <v>64</v>
      </c>
      <c r="C2" s="197"/>
      <c r="D2" s="197"/>
      <c r="E2" s="197"/>
      <c r="F2" s="197"/>
      <c r="G2" s="197"/>
      <c r="H2" s="197"/>
      <c r="I2" s="197"/>
      <c r="J2" s="197"/>
      <c r="K2" s="197"/>
      <c r="L2" s="198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86" zoomScaleNormal="115" workbookViewId="0">
      <pane ySplit="1" topLeftCell="A40" activePane="bottomLeft" state="frozen"/>
      <selection pane="bottomLeft" activeCell="D71" sqref="D71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" x14ac:dyDescent="0.3">
      <c r="B10" s="84" t="s">
        <v>174</v>
      </c>
      <c r="C10" s="84" t="s">
        <v>175</v>
      </c>
      <c r="D10" s="84" t="s">
        <v>176</v>
      </c>
      <c r="E10" s="84" t="s">
        <v>177</v>
      </c>
      <c r="G10" s="201" t="s">
        <v>155</v>
      </c>
      <c r="H10" s="201"/>
      <c r="I10" s="201"/>
    </row>
    <row r="11" spans="2:11" ht="15.6" x14ac:dyDescent="0.3">
      <c r="B11" s="199" t="s">
        <v>69</v>
      </c>
      <c r="C11" s="200"/>
      <c r="D11" s="200"/>
      <c r="E11" s="200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9" t="s">
        <v>79</v>
      </c>
      <c r="C16" s="200"/>
      <c r="D16" s="200"/>
      <c r="E16" s="200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9" t="s">
        <v>178</v>
      </c>
      <c r="C21" s="200"/>
      <c r="D21" s="200"/>
      <c r="E21" s="200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9" t="s">
        <v>196</v>
      </c>
      <c r="C25" s="200"/>
      <c r="D25" s="200"/>
      <c r="E25" s="200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179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294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297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08" t="s">
        <v>298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300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299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08" t="s">
        <v>301</v>
      </c>
      <c r="C46" s="109">
        <v>46287</v>
      </c>
      <c r="D46" s="109">
        <v>46289</v>
      </c>
      <c r="E46" s="115">
        <f t="shared" si="3"/>
        <v>3</v>
      </c>
    </row>
    <row r="47" spans="2:5" x14ac:dyDescent="0.3">
      <c r="B47" s="108" t="s">
        <v>302</v>
      </c>
      <c r="C47" s="109">
        <v>46290</v>
      </c>
      <c r="D47" s="109">
        <v>46292</v>
      </c>
      <c r="E47" s="115">
        <f t="shared" si="3"/>
        <v>3</v>
      </c>
    </row>
    <row r="48" spans="2:5" x14ac:dyDescent="0.3">
      <c r="B48" s="108" t="s">
        <v>303</v>
      </c>
      <c r="C48" s="109">
        <v>46293</v>
      </c>
      <c r="D48" s="109">
        <v>46295</v>
      </c>
      <c r="E48" s="115">
        <f t="shared" si="3"/>
        <v>3</v>
      </c>
    </row>
    <row r="49" spans="2:5" x14ac:dyDescent="0.3">
      <c r="B49" s="108" t="s">
        <v>304</v>
      </c>
      <c r="C49" s="109">
        <v>46296</v>
      </c>
      <c r="D49" s="109">
        <v>46298</v>
      </c>
      <c r="E49" s="115">
        <f t="shared" si="3"/>
        <v>3</v>
      </c>
    </row>
    <row r="50" spans="2:5" x14ac:dyDescent="0.3">
      <c r="B50" s="108" t="s">
        <v>305</v>
      </c>
      <c r="C50" s="109">
        <v>46299</v>
      </c>
      <c r="D50" s="109">
        <v>46301</v>
      </c>
      <c r="E50" s="115">
        <f t="shared" si="3"/>
        <v>3</v>
      </c>
    </row>
    <row r="51" spans="2:5" x14ac:dyDescent="0.3">
      <c r="B51" s="176" t="s">
        <v>306</v>
      </c>
      <c r="C51" s="177">
        <v>46278</v>
      </c>
      <c r="D51" s="177">
        <v>46284</v>
      </c>
      <c r="E51" s="178">
        <f t="shared" si="3"/>
        <v>7</v>
      </c>
    </row>
    <row r="52" spans="2:5" x14ac:dyDescent="0.3">
      <c r="B52" s="99" t="s">
        <v>308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307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309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311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179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180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181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182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183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184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187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188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310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312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194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195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9" t="s">
        <v>38</v>
      </c>
      <c r="C72" s="200"/>
      <c r="D72" s="200"/>
      <c r="E72" s="200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9" t="s">
        <v>83</v>
      </c>
      <c r="C79" s="200"/>
      <c r="D79" s="200"/>
      <c r="E79" s="200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24" activePane="bottomRight" state="frozen"/>
      <selection pane="topRight" activeCell="C1" sqref="C1"/>
      <selection pane="bottomLeft" activeCell="A4" sqref="A4"/>
      <selection pane="bottomRight" activeCell="E19" sqref="E19"/>
    </sheetView>
  </sheetViews>
  <sheetFormatPr defaultColWidth="11.5546875" defaultRowHeight="14.4" x14ac:dyDescent="0.3"/>
  <cols>
    <col min="2" max="2" width="26.44140625" bestFit="1" customWidth="1"/>
    <col min="3" max="3" width="20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202" t="s">
        <v>25</v>
      </c>
      <c r="K3" s="203"/>
    </row>
    <row r="4" spans="3:11" ht="40.200000000000003" x14ac:dyDescent="0.3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287</v>
      </c>
      <c r="I4" s="11" t="s">
        <v>287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288</v>
      </c>
      <c r="I5" s="26" t="s">
        <v>315</v>
      </c>
      <c r="J5" s="41"/>
      <c r="K5" s="42"/>
    </row>
    <row r="6" spans="3:11" ht="57" x14ac:dyDescent="0.3">
      <c r="C6" s="13" t="s">
        <v>26</v>
      </c>
      <c r="D6" s="13" t="s">
        <v>254</v>
      </c>
      <c r="E6" s="13" t="s">
        <v>265</v>
      </c>
      <c r="F6" s="13" t="s">
        <v>26</v>
      </c>
      <c r="G6" s="13" t="s">
        <v>26</v>
      </c>
      <c r="H6" s="169" t="s">
        <v>289</v>
      </c>
      <c r="I6" s="27" t="s">
        <v>316</v>
      </c>
      <c r="J6" s="41"/>
      <c r="K6" s="42"/>
    </row>
    <row r="7" spans="3:11" ht="41.4" x14ac:dyDescent="0.3">
      <c r="C7" s="14" t="s">
        <v>27</v>
      </c>
      <c r="D7" s="14" t="s">
        <v>255</v>
      </c>
      <c r="E7" s="14" t="s">
        <v>266</v>
      </c>
      <c r="F7" s="14" t="s">
        <v>270</v>
      </c>
      <c r="G7" s="14" t="s">
        <v>27</v>
      </c>
      <c r="H7" s="10" t="s">
        <v>290</v>
      </c>
      <c r="I7" s="28" t="s">
        <v>318</v>
      </c>
      <c r="J7" s="41"/>
      <c r="K7" s="42"/>
    </row>
    <row r="8" spans="3:11" ht="41.4" x14ac:dyDescent="0.3">
      <c r="C8" s="15" t="s">
        <v>276</v>
      </c>
      <c r="D8" s="15" t="s">
        <v>253</v>
      </c>
      <c r="E8" s="15" t="s">
        <v>16</v>
      </c>
      <c r="F8" s="15" t="s">
        <v>275</v>
      </c>
      <c r="G8" s="15" t="s">
        <v>276</v>
      </c>
      <c r="H8" s="2" t="s">
        <v>291</v>
      </c>
      <c r="I8" s="27" t="s">
        <v>319</v>
      </c>
      <c r="J8" s="41"/>
      <c r="K8" s="42"/>
    </row>
    <row r="9" spans="3:11" ht="41.4" x14ac:dyDescent="0.3">
      <c r="C9" s="14" t="s">
        <v>277</v>
      </c>
      <c r="D9" s="14" t="s">
        <v>286</v>
      </c>
      <c r="E9" s="14" t="s">
        <v>163</v>
      </c>
      <c r="F9" s="14" t="s">
        <v>278</v>
      </c>
      <c r="G9" s="14" t="s">
        <v>278</v>
      </c>
      <c r="H9" s="10" t="s">
        <v>292</v>
      </c>
      <c r="I9" s="28" t="s">
        <v>140</v>
      </c>
      <c r="J9" s="41"/>
      <c r="K9" s="42"/>
    </row>
    <row r="10" spans="3:11" ht="41.4" x14ac:dyDescent="0.3">
      <c r="C10" s="15" t="s">
        <v>250</v>
      </c>
      <c r="D10" s="15" t="s">
        <v>164</v>
      </c>
      <c r="E10" s="15" t="s">
        <v>164</v>
      </c>
      <c r="F10" s="15" t="s">
        <v>271</v>
      </c>
      <c r="G10" s="15" t="s">
        <v>250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251</v>
      </c>
      <c r="D11" s="10" t="s">
        <v>165</v>
      </c>
      <c r="E11" s="10" t="s">
        <v>165</v>
      </c>
      <c r="F11" s="10" t="s">
        <v>272</v>
      </c>
      <c r="G11" s="10" t="s">
        <v>251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282</v>
      </c>
      <c r="D12" s="2" t="s">
        <v>285</v>
      </c>
      <c r="E12" s="2" t="s">
        <v>285</v>
      </c>
      <c r="F12" s="2" t="s">
        <v>282</v>
      </c>
      <c r="G12" s="2" t="s">
        <v>282</v>
      </c>
      <c r="H12" s="2" t="s">
        <v>171</v>
      </c>
      <c r="I12" s="27" t="s">
        <v>19</v>
      </c>
      <c r="J12" s="41"/>
      <c r="K12" s="42"/>
    </row>
    <row r="13" spans="3:11" ht="41.4" x14ac:dyDescent="0.3">
      <c r="C13" s="14" t="s">
        <v>281</v>
      </c>
      <c r="D13" s="14" t="s">
        <v>281</v>
      </c>
      <c r="E13" s="14" t="s">
        <v>281</v>
      </c>
      <c r="F13" s="14" t="s">
        <v>283</v>
      </c>
      <c r="G13" s="14" t="s">
        <v>281</v>
      </c>
      <c r="H13" s="10" t="s">
        <v>172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273</v>
      </c>
      <c r="G14" s="2" t="s">
        <v>19</v>
      </c>
      <c r="H14" s="2" t="s">
        <v>161</v>
      </c>
      <c r="I14" s="167" t="s">
        <v>279</v>
      </c>
      <c r="J14" s="41"/>
      <c r="K14" s="42"/>
    </row>
    <row r="15" spans="3:11" ht="41.4" x14ac:dyDescent="0.3">
      <c r="C15" s="10" t="s">
        <v>252</v>
      </c>
      <c r="D15" s="10" t="s">
        <v>256</v>
      </c>
      <c r="E15" s="10" t="s">
        <v>252</v>
      </c>
      <c r="F15" s="10" t="s">
        <v>274</v>
      </c>
      <c r="G15" s="10" t="s">
        <v>252</v>
      </c>
      <c r="H15" s="10" t="s">
        <v>22</v>
      </c>
      <c r="I15" s="168" t="s">
        <v>317</v>
      </c>
      <c r="J15" s="41"/>
      <c r="K15" s="42"/>
    </row>
    <row r="16" spans="3:11" ht="41.4" x14ac:dyDescent="0.3">
      <c r="C16" s="16" t="s">
        <v>279</v>
      </c>
      <c r="D16" s="16" t="s">
        <v>257</v>
      </c>
      <c r="E16" s="16" t="s">
        <v>267</v>
      </c>
      <c r="F16" s="16" t="s">
        <v>284</v>
      </c>
      <c r="G16" s="16" t="s">
        <v>279</v>
      </c>
      <c r="H16" s="7"/>
      <c r="I16" s="2" t="s">
        <v>161</v>
      </c>
      <c r="J16" s="41"/>
      <c r="K16" s="42"/>
    </row>
    <row r="17" spans="2:11" ht="41.4" x14ac:dyDescent="0.3">
      <c r="C17" s="12" t="s">
        <v>280</v>
      </c>
      <c r="D17" s="12" t="s">
        <v>258</v>
      </c>
      <c r="E17" s="12" t="s">
        <v>268</v>
      </c>
      <c r="F17" s="12" t="s">
        <v>21</v>
      </c>
      <c r="G17" s="12" t="s">
        <v>280</v>
      </c>
      <c r="H17" s="7"/>
      <c r="I17" s="10" t="s">
        <v>22</v>
      </c>
      <c r="J17" s="41"/>
      <c r="K17" s="42"/>
    </row>
    <row r="18" spans="2:11" ht="41.4" x14ac:dyDescent="0.3">
      <c r="C18" s="13" t="s">
        <v>161</v>
      </c>
      <c r="D18" s="13" t="s">
        <v>260</v>
      </c>
      <c r="E18" s="13" t="s">
        <v>269</v>
      </c>
      <c r="F18" s="13" t="s">
        <v>262</v>
      </c>
      <c r="G18" s="13" t="s">
        <v>161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259</v>
      </c>
      <c r="E19" s="14" t="s">
        <v>161</v>
      </c>
      <c r="F19" s="14" t="s">
        <v>263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261</v>
      </c>
      <c r="E20" s="15" t="s">
        <v>22</v>
      </c>
      <c r="F20" s="15" t="s">
        <v>264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262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263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264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6" thickBot="1" x14ac:dyDescent="0.35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63" activePane="bottomRight" state="frozen"/>
      <selection pane="topRight" activeCell="C1" sqref="C1"/>
      <selection pane="bottomLeft" activeCell="A2" sqref="A2"/>
      <selection pane="bottomRight" activeCell="J87" sqref="J87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232</v>
      </c>
      <c r="L67" s="141" t="s">
        <v>232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232</v>
      </c>
      <c r="E68" s="141" t="s">
        <v>232</v>
      </c>
      <c r="F68" s="141" t="s">
        <v>231</v>
      </c>
      <c r="G68" s="141" t="s">
        <v>231</v>
      </c>
      <c r="H68" s="141" t="s">
        <v>232</v>
      </c>
      <c r="I68" s="141" t="s">
        <v>231</v>
      </c>
      <c r="J68" s="141" t="s">
        <v>231</v>
      </c>
      <c r="K68" s="141" t="s">
        <v>232</v>
      </c>
      <c r="L68" s="141" t="s">
        <v>232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232</v>
      </c>
      <c r="L69" s="141" t="s">
        <v>232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232</v>
      </c>
      <c r="L70" s="141" t="s">
        <v>232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232</v>
      </c>
      <c r="L71" s="141" t="s">
        <v>232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232</v>
      </c>
      <c r="L72" s="141" t="s">
        <v>232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232</v>
      </c>
      <c r="D73" s="141" t="s">
        <v>232</v>
      </c>
      <c r="E73" s="141" t="s">
        <v>232</v>
      </c>
      <c r="F73" s="141" t="s">
        <v>231</v>
      </c>
      <c r="G73" s="141" t="s">
        <v>231</v>
      </c>
      <c r="H73" s="141" t="s">
        <v>232</v>
      </c>
      <c r="I73" s="141" t="s">
        <v>232</v>
      </c>
      <c r="J73" s="141" t="s">
        <v>231</v>
      </c>
      <c r="K73" s="141" t="s">
        <v>232</v>
      </c>
      <c r="L73" s="141" t="s">
        <v>232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232</v>
      </c>
      <c r="D74" s="141" t="s">
        <v>232</v>
      </c>
      <c r="E74" s="141" t="s">
        <v>232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232</v>
      </c>
      <c r="L74" s="141" t="s">
        <v>232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232</v>
      </c>
      <c r="E75" s="141" t="s">
        <v>232</v>
      </c>
      <c r="F75" s="141" t="s">
        <v>231</v>
      </c>
      <c r="G75" s="141" t="s">
        <v>231</v>
      </c>
      <c r="H75" s="141" t="s">
        <v>232</v>
      </c>
      <c r="I75" s="141" t="s">
        <v>232</v>
      </c>
      <c r="J75" s="141" t="s">
        <v>231</v>
      </c>
      <c r="K75" s="141" t="s">
        <v>232</v>
      </c>
      <c r="L75" s="141" t="s">
        <v>232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232</v>
      </c>
      <c r="D76" s="141" t="s">
        <v>232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232</v>
      </c>
      <c r="L76" s="141" t="s">
        <v>232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232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232</v>
      </c>
      <c r="L77" s="141" t="s">
        <v>232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232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232</v>
      </c>
      <c r="J78" s="141" t="s">
        <v>231</v>
      </c>
      <c r="K78" s="141" t="s">
        <v>231</v>
      </c>
      <c r="L78" s="141" t="s">
        <v>232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232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232</v>
      </c>
      <c r="J80" s="141" t="s">
        <v>231</v>
      </c>
      <c r="K80" s="141" t="s">
        <v>231</v>
      </c>
      <c r="L80" s="141" t="s">
        <v>232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232</v>
      </c>
      <c r="D81" s="141" t="s">
        <v>232</v>
      </c>
      <c r="E81" s="141" t="s">
        <v>232</v>
      </c>
      <c r="F81" s="141" t="s">
        <v>231</v>
      </c>
      <c r="G81" s="141" t="s">
        <v>231</v>
      </c>
      <c r="H81" s="141" t="s">
        <v>232</v>
      </c>
      <c r="I81" s="141" t="s">
        <v>231</v>
      </c>
      <c r="J81" s="141" t="s">
        <v>231</v>
      </c>
      <c r="K81" s="141" t="s">
        <v>232</v>
      </c>
      <c r="L81" s="141" t="s">
        <v>232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232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232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232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232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232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232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232</v>
      </c>
      <c r="E85" s="141" t="s">
        <v>231</v>
      </c>
      <c r="F85" s="141" t="s">
        <v>231</v>
      </c>
      <c r="G85" s="141" t="s">
        <v>231</v>
      </c>
      <c r="H85" s="141" t="s">
        <v>232</v>
      </c>
      <c r="I85" s="141" t="s">
        <v>232</v>
      </c>
      <c r="J85" s="141" t="s">
        <v>231</v>
      </c>
      <c r="K85" s="141" t="s">
        <v>231</v>
      </c>
      <c r="L85" s="141" t="s">
        <v>232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232</v>
      </c>
      <c r="D87" s="141" t="s">
        <v>231</v>
      </c>
      <c r="E87" s="141" t="s">
        <v>232</v>
      </c>
      <c r="F87" s="141" t="s">
        <v>232</v>
      </c>
      <c r="G87" s="141" t="s">
        <v>231</v>
      </c>
      <c r="H87" s="141" t="s">
        <v>232</v>
      </c>
      <c r="I87" s="141" t="s">
        <v>231</v>
      </c>
      <c r="J87" s="141" t="s">
        <v>231</v>
      </c>
      <c r="K87" s="141" t="s">
        <v>232</v>
      </c>
      <c r="L87" s="141" t="s">
        <v>232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232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232</v>
      </c>
      <c r="J89" s="141" t="s">
        <v>231</v>
      </c>
      <c r="K89" s="141" t="s">
        <v>231</v>
      </c>
      <c r="L89" s="141" t="s">
        <v>232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232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232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232</v>
      </c>
      <c r="L91" s="141" t="s">
        <v>232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231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231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231</v>
      </c>
      <c r="E93" s="141" t="s">
        <v>231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231</v>
      </c>
      <c r="L93" s="141" t="s">
        <v>231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231</v>
      </c>
      <c r="E94" s="141" t="s">
        <v>231</v>
      </c>
      <c r="F94" s="141" t="s">
        <v>231</v>
      </c>
      <c r="G94" s="141" t="s">
        <v>231</v>
      </c>
      <c r="H94" s="141" t="s">
        <v>231</v>
      </c>
      <c r="I94" s="141" t="s">
        <v>231</v>
      </c>
      <c r="J94" s="141" t="s">
        <v>231</v>
      </c>
      <c r="K94" s="141" t="s">
        <v>231</v>
      </c>
      <c r="L94" s="141" t="s">
        <v>231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231</v>
      </c>
      <c r="L95" s="141" t="s">
        <v>231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231</v>
      </c>
      <c r="D96" s="141" t="s">
        <v>231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231</v>
      </c>
      <c r="L96" s="141" t="s">
        <v>231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231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231</v>
      </c>
      <c r="L97" s="141" t="s">
        <v>231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231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231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231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231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231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231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231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231</v>
      </c>
      <c r="L101" s="141" t="s">
        <v>231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3">
      <c r="A1048575" t="s">
        <v>231</v>
      </c>
    </row>
    <row r="1048576" spans="1:1" x14ac:dyDescent="0.3">
      <c r="A1048576" t="s">
        <v>232</v>
      </c>
    </row>
  </sheetData>
  <conditionalFormatting sqref="C2:L368">
    <cfRule type="cellIs" dxfId="113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sheetPr codeName="Sheet10"/>
  <dimension ref="C2:O11"/>
  <sheetViews>
    <sheetView zoomScale="93" zoomScaleNormal="98" workbookViewId="0">
      <selection activeCell="F9" sqref="F9"/>
    </sheetView>
  </sheetViews>
  <sheetFormatPr defaultRowHeight="14.4" x14ac:dyDescent="0.3"/>
  <cols>
    <col min="3" max="3" width="19.6640625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" thickBot="1" x14ac:dyDescent="0.35">
      <c r="C3" s="145" t="s">
        <v>225</v>
      </c>
      <c r="D3" s="146" cm="1">
        <f t="array" aca="1" ref="D3" ca="1">SUMPRODUCT((Table7[Date]&gt;=$M$3)*(Table7[Date]&lt;=$N$3)*(Table7[Gym Training]="☑"))</f>
        <v>3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v>1.583</v>
      </c>
      <c r="I3" s="163">
        <f>_xlfn.NUMBERVALUE(LEFT(Schedule!G26,FIND(" ",Schedule!G26)-1),",",".")</f>
        <v>1.583</v>
      </c>
      <c r="J3" s="163">
        <v>1.583</v>
      </c>
      <c r="K3" s="163">
        <f>_xlfn.NUMBERVALUE(LEFT(Schedule!I26,FIND(" ",Schedule!I26)-1),",",".")</f>
        <v>0</v>
      </c>
      <c r="L3" s="147" cm="1">
        <f t="array" aca="1" ref="L3" ca="1">SUMPRODUCT((Table7[Date]&gt;=$M3)*(Table7[Date]&lt;=MIN($N3,TODAY()))*_xlfn.SWITCH($C3,"Gym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Scrolling]="☐"),0)*CHOOSE(WEEKDAY(Table7[Date],2),$E3,$F3,$G3,$H3,$I3,$J3,$K3))</f>
        <v>4.3330000000000002</v>
      </c>
      <c r="M3" s="148">
        <f ca="1">TODAY()-WEEKDAY(TODAY(),2)+1</f>
        <v>46307</v>
      </c>
      <c r="N3" s="148">
        <f ca="1">TODAY()-WEEKDAY(TODAY(),2)+7</f>
        <v>46313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Oct 12, 2026 to Oct 18, 2026</v>
      </c>
    </row>
    <row r="4" spans="3:15" ht="15" thickBot="1" x14ac:dyDescent="0.35">
      <c r="C4" s="149" t="s">
        <v>226</v>
      </c>
      <c r="D4" s="150" cm="1">
        <f t="array" aca="1" ref="D4" ca="1">SUMPRODUCT((Table7[Date]&gt;=$M$3)*(Table7[Date]&lt;=$N$3)*(Table7[Deutsch Lernen]="☑"))</f>
        <v>0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SUMPRODUCT((Table7[Date]&gt;=$M4)*(Table7[Date]&lt;=MIN($N4,TODAY()))*_xlfn.SWITCH($C4,"Gym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Scrolling]="☐"),0)*CHOOSE(WEEKDAY(Table7[Date],2),$E4,$F4,$G4,$H4,$I4,$J4,$K4))</f>
        <v>0</v>
      </c>
      <c r="M4" s="148">
        <f t="shared" ref="M4:M9" ca="1" si="0">TODAY()-WEEKDAY(TODAY(),2)+1</f>
        <v>46307</v>
      </c>
      <c r="N4" s="148">
        <f t="shared" ref="N4:N9" ca="1" si="1">TODAY()-WEEKDAY(TODAY(),2)+7</f>
        <v>46313</v>
      </c>
    </row>
    <row r="5" spans="3:15" ht="15" thickBot="1" x14ac:dyDescent="0.35">
      <c r="C5" s="149" t="s">
        <v>241</v>
      </c>
      <c r="D5" s="150" cm="1">
        <f t="array" aca="1" ref="D5" ca="1">SUMPRODUCT((Table7[Date]&gt;=$M$3)*(Table7[Date]&lt;=$N$3)*(Table7[Deutsch Flashcards (20 min)]="☑"))</f>
        <v>1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SUMPRODUCT((Table7[Date]&gt;=$M5)*(Table7[Date]&lt;=MIN($N5,TODAY()))*_xlfn.SWITCH($C5,"Gym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Scrolling]="☐"),0)*CHOOSE(WEEKDAY(Table7[Date],2),$E5,$F5,$G5,$H5,$I5,$J5,$K5))</f>
        <v>0.33333333333333331</v>
      </c>
      <c r="M5" s="148">
        <f t="shared" ca="1" si="0"/>
        <v>46307</v>
      </c>
      <c r="N5" s="148">
        <f t="shared" ca="1" si="1"/>
        <v>46313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SUMPRODUCT((Table7[Date]&gt;=$M6)*(Table7[Date]&lt;=MIN($N6,TODAY()))*_xlfn.SWITCH($C6,"Gym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Scrolling]="☐"),0)*CHOOSE(WEEKDAY(Table7[Date],2),$E6,$F6,$G6,$H6,$I6,$J6,$K6))</f>
        <v>0</v>
      </c>
      <c r="M6" s="148">
        <f t="shared" ca="1" si="0"/>
        <v>46307</v>
      </c>
      <c r="N6" s="148">
        <f t="shared" ca="1" si="1"/>
        <v>46313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1</v>
      </c>
      <c r="E7" s="164">
        <f>_xlfn.NUMBERVALUE(LEFT(Schedule!C28,FIND(" ",Schedule!C28)-1),",",".")</f>
        <v>0</v>
      </c>
      <c r="F7" s="164">
        <v>0.33333333333333331</v>
      </c>
      <c r="G7" s="164">
        <v>0.33333333333333331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SUMPRODUCT((Table7[Date]&gt;=$M7)*(Table7[Date]&lt;=MIN($N7,TODAY()))*_xlfn.SWITCH($C7,"Gym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Scrolling]="☐"),0)*CHOOSE(WEEKDAY(Table7[Date],2),$E7,$F7,$G7,$H7,$I7,$J7,$K7))</f>
        <v>0.33333333333333331</v>
      </c>
      <c r="M7" s="148">
        <f t="shared" ca="1" si="0"/>
        <v>46307</v>
      </c>
      <c r="N7" s="148">
        <f t="shared" ca="1" si="1"/>
        <v>46313</v>
      </c>
    </row>
    <row r="8" spans="3:15" ht="15" thickBot="1" x14ac:dyDescent="0.35">
      <c r="C8" s="149" t="s">
        <v>229</v>
      </c>
      <c r="D8" s="150" cm="1">
        <f t="array" aca="1" ref="D8" ca="1">SUMPRODUCT((Table7[Date]&gt;=$M$3)*(Table7[Date]&lt;=$N$3)*(Table7[Kung Fu Training]="☑"))</f>
        <v>1</v>
      </c>
      <c r="E8" s="164">
        <v>2</v>
      </c>
      <c r="F8" s="164">
        <f>_xlfn.NUMBERVALUE(LEFT(Schedule!D29,FIND(" ",Schedule!D29)-1),",",".")</f>
        <v>2</v>
      </c>
      <c r="G8" s="164">
        <v>2</v>
      </c>
      <c r="H8" s="164">
        <f>_xlfn.NUMBERVALUE(LEFT(Schedule!F29,FIND(" ",Schedule!F29)-1),",",".")</f>
        <v>2</v>
      </c>
      <c r="I8" s="164">
        <v>2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SUMPRODUCT((Table7[Date]&gt;=$M8)*(Table7[Date]&lt;=MIN($N8,TODAY()))*_xlfn.SWITCH($C8,"Gym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Scrolling]="☐"),0)*CHOOSE(WEEKDAY(Table7[Date],2),$E8,$F8,$G8,$H8,$I8,$J8,$K8))</f>
        <v>2</v>
      </c>
      <c r="M8" s="148">
        <f t="shared" ca="1" si="0"/>
        <v>46307</v>
      </c>
      <c r="N8" s="148">
        <f t="shared" ca="1" si="1"/>
        <v>46313</v>
      </c>
    </row>
    <row r="9" spans="3:15" x14ac:dyDescent="0.3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SUMPRODUCT((Table7[Date]&gt;=$M9)*(Table7[Date]&lt;=MIN($N9,TODAY()))*_xlfn.SWITCH($C9,"Gym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Scrolling]="☐"),0)*CHOOSE(WEEKDAY(Table7[Date],2),$E9,$F9,$G9,$H9,$I9,$J9,$K9))</f>
        <v>0</v>
      </c>
      <c r="M9" s="148">
        <f t="shared" ca="1" si="0"/>
        <v>46307</v>
      </c>
      <c r="N9" s="148">
        <f t="shared" ca="1" si="1"/>
        <v>46313</v>
      </c>
    </row>
    <row r="10" spans="3:15" x14ac:dyDescent="0.3">
      <c r="C10" s="149" t="s">
        <v>293</v>
      </c>
      <c r="D10" s="151" cm="1">
        <f t="array" aca="1" ref="D10" ca="1">SUMPRODUCT((Table7[Date]&gt;=$M10)*(Table7[Date]&lt;=$N10)*(Table7[No Scrolling]="☑"))</f>
        <v>2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SUMPRODUCT((Table7[Date]&gt;=$M10)*(Table7[Date]&lt;=MIN($N10,TODAY()))*_xlfn.SWITCH($C10,"Gym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Scrolling]="☐"),0)*CHOOSE(WEEKDAY(Table7[Date],2),$E10,$F10,$G10,$H10,$I10,$J10,$K10))</f>
        <v>4</v>
      </c>
      <c r="M10" s="170">
        <f ca="1">TODAY()-WEEKDAY(TODAY(),2)+1</f>
        <v>46307</v>
      </c>
      <c r="N10" s="170">
        <f ca="1">TODAY()-WEEKDAY(TODAY(),2)+7</f>
        <v>46313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B8" sqref="B8"/>
    </sheetView>
  </sheetViews>
  <sheetFormatPr defaultColWidth="11.44140625" defaultRowHeight="14.4" x14ac:dyDescent="0.3"/>
  <cols>
    <col min="1" max="1" width="22.6640625" bestFit="1" customWidth="1"/>
    <col min="2" max="2" width="33.33203125" bestFit="1" customWidth="1"/>
    <col min="3" max="3" width="18.5546875" bestFit="1" customWidth="1"/>
    <col min="4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3">
      <c r="B3" s="55" t="s">
        <v>128</v>
      </c>
      <c r="C3" s="55" t="s">
        <v>142</v>
      </c>
      <c r="D3" s="56">
        <f ca="1">TODAY()+MOD(6-WEEKDAY(TODAY(),2),7)-7</f>
        <v>46305</v>
      </c>
      <c r="E3" s="56">
        <f ca="1">TODAY()+MOD(6-WEEKDAY(TODAY(),2),7)</f>
        <v>46312</v>
      </c>
    </row>
    <row r="4" spans="2:5" x14ac:dyDescent="0.3">
      <c r="B4" s="55" t="s">
        <v>129</v>
      </c>
      <c r="C4" s="55" t="s">
        <v>142</v>
      </c>
      <c r="D4" s="56">
        <f ca="1">TODAY()+MOD(6-WEEKDAY(TODAY(),2),7)-7</f>
        <v>46305</v>
      </c>
      <c r="E4" s="56">
        <f ca="1">TODAY()+MOD(6-WEEKDAY(TODAY(),2),7)</f>
        <v>46312</v>
      </c>
    </row>
    <row r="5" spans="2:5" x14ac:dyDescent="0.3">
      <c r="B5" s="55" t="s">
        <v>145</v>
      </c>
      <c r="C5" s="55" t="s">
        <v>147</v>
      </c>
      <c r="D5" s="56">
        <f ca="1">TODAY()+MOD(7-WEEKDAY(TODAY(),2),7)-7</f>
        <v>46306</v>
      </c>
      <c r="E5" s="56">
        <f ca="1">TODAY()+MOD(7-WEEKDAY(TODAY(),2),7)</f>
        <v>46313</v>
      </c>
    </row>
    <row r="6" spans="2:5" x14ac:dyDescent="0.3">
      <c r="B6" s="55" t="s">
        <v>146</v>
      </c>
      <c r="C6" s="55" t="s">
        <v>147</v>
      </c>
      <c r="D6" s="56">
        <f ca="1">TODAY()+MOD(7-WEEKDAY(TODAY(),2),7)-7</f>
        <v>46306</v>
      </c>
      <c r="E6" s="56">
        <f ca="1">TODAY()+MOD(7-WEEKDAY(TODAY(),2),7)</f>
        <v>46313</v>
      </c>
    </row>
    <row r="7" spans="2:5" x14ac:dyDescent="0.3">
      <c r="B7" s="55" t="s">
        <v>237</v>
      </c>
      <c r="C7" s="55" t="s">
        <v>141</v>
      </c>
      <c r="D7" s="56">
        <f ca="1">$B$1048562+_xlfn.CEILING.MATH((TODAY()-$B$1048562)/5, 1)*5-5</f>
        <v>46309</v>
      </c>
      <c r="E7" s="56">
        <f ca="1">$B$1048562+_xlfn.CEILING.MATH((TODAY()-$B$1048562)/5, 1)*5</f>
        <v>46314</v>
      </c>
    </row>
    <row r="8" spans="2:5" x14ac:dyDescent="0.3">
      <c r="B8" s="55" t="s">
        <v>324</v>
      </c>
      <c r="C8" s="55" t="s">
        <v>153</v>
      </c>
      <c r="D8" s="56">
        <f ca="1">$B$1048576+_xlfn.CEILING.MATH((TODAY()-$B$1048576)/21, 1)*21-21</f>
        <v>46295</v>
      </c>
      <c r="E8" s="56">
        <f ca="1">$B$1048576+_xlfn.CEILING.MATH((TODAY()-$B$1048576)/21, 1)*21</f>
        <v>46316</v>
      </c>
    </row>
    <row r="9" spans="2:5" x14ac:dyDescent="0.3">
      <c r="B9" s="55" t="s">
        <v>131</v>
      </c>
      <c r="C9" s="55" t="s">
        <v>192</v>
      </c>
      <c r="D9" s="56">
        <f ca="1">IF(DAY(TODAY())&gt;23,
   DATE(YEAR(TODAY()),MONTH(TODAY()),23),
   DATE(YEAR(TODAY()),MONTH(TODAY())-1,23))</f>
        <v>46288</v>
      </c>
      <c r="E9" s="56">
        <f ca="1">IF(DAY(TODAY())&lt;=23,
   DATE(YEAR(TODAY()),MONTH(TODAY()),23),
   DATE(YEAR(TODAY()),MONTH(TODAY())+1,23))</f>
        <v>46318</v>
      </c>
    </row>
    <row r="10" spans="2:5" x14ac:dyDescent="0.3">
      <c r="B10" s="55" t="s">
        <v>130</v>
      </c>
      <c r="C10" s="55" t="s">
        <v>143</v>
      </c>
      <c r="D10" s="56">
        <f ca="1">$B$1048565+_xlfn.CEILING.MATH((TODAY()-$B$1048565)/14, 1)*14-14</f>
        <v>46305</v>
      </c>
      <c r="E10" s="56">
        <f ca="1">$B$1048565+_xlfn.CEILING.MATH((TODAY()-$B$1048565)/14, 1)*14</f>
        <v>46319</v>
      </c>
    </row>
    <row r="11" spans="2:5" x14ac:dyDescent="0.3">
      <c r="B11" s="55" t="s">
        <v>135</v>
      </c>
      <c r="C11" s="55" t="s">
        <v>143</v>
      </c>
      <c r="D11" s="56">
        <f ca="1">$B$1048569+_xlfn.CEILING.MATH((TODAY()-$B$1048569)/14, 1)*14-14</f>
        <v>46305</v>
      </c>
      <c r="E11" s="56">
        <f ca="1">$B$1048569+_xlfn.CEILING.MATH((TODAY()-$B$1048569)/14, 1)*14</f>
        <v>46319</v>
      </c>
    </row>
    <row r="12" spans="2:5" x14ac:dyDescent="0.3">
      <c r="B12" s="55" t="s">
        <v>139</v>
      </c>
      <c r="C12" s="55" t="s">
        <v>154</v>
      </c>
      <c r="D12" s="56">
        <f ca="1">$B$1048571+_xlfn.CEILING.MATH((TODAY()-$B$1048571)/28, 1)*28-28</f>
        <v>46293</v>
      </c>
      <c r="E12" s="56">
        <f ca="1">$B$1048571+_xlfn.CEILING.MATH((TODAY()-$B$1048571)/28, 1)*28</f>
        <v>46321</v>
      </c>
    </row>
    <row r="13" spans="2:5" x14ac:dyDescent="0.3">
      <c r="B13" s="55" t="s">
        <v>136</v>
      </c>
      <c r="C13" s="55" t="s">
        <v>152</v>
      </c>
      <c r="D13" s="56">
        <f ca="1">$B$1048570+_xlfn.CEILING.MATH((TODAY()-$B$1048570)/40, 1)*40-40</f>
        <v>46287</v>
      </c>
      <c r="E13" s="56">
        <f ca="1">$B$1048570+_xlfn.CEILING.MATH((TODAY()-$B$1048570)/40, 1)*40</f>
        <v>46327</v>
      </c>
    </row>
    <row r="14" spans="2:5" x14ac:dyDescent="0.3">
      <c r="B14" s="55" t="s">
        <v>323</v>
      </c>
      <c r="C14" s="55" t="s">
        <v>190</v>
      </c>
      <c r="D14" s="56">
        <f ca="1">IF(DAY(TODAY())&gt;5,
   DATE(YEAR(TODAY()),MONTH(TODAY()),5),
   DATE(YEAR(TODAY()),MONTH(TODAY())-1,5))</f>
        <v>46300</v>
      </c>
      <c r="E14" s="56">
        <f ca="1">IF(DAY(TODAY())&lt;=5,
   DATE(YEAR(TODAY()),MONTH(TODAY()),5),
   DATE(YEAR(TODAY()),MONTH(TODAY())+1,5))</f>
        <v>46331</v>
      </c>
    </row>
    <row r="15" spans="2:5" x14ac:dyDescent="0.3">
      <c r="B15" s="55" t="s">
        <v>149</v>
      </c>
      <c r="C15" s="55" t="s">
        <v>190</v>
      </c>
      <c r="D15" s="56">
        <f ca="1">IF(DAY(TODAY())&gt;5,
   DATE(YEAR(TODAY()),MONTH(TODAY()),5),
   DATE(YEAR(TODAY()),MONTH(TODAY())-1,5))</f>
        <v>46300</v>
      </c>
      <c r="E15" s="56">
        <f ca="1">IF(DAY(TODAY())&lt;=5,
   DATE(YEAR(TODAY()),MONTH(TODAY()),5),
   DATE(YEAR(TODAY()),MONTH(TODAY())+1,5))</f>
        <v>46331</v>
      </c>
    </row>
    <row r="16" spans="2:5" x14ac:dyDescent="0.3">
      <c r="B16" s="55" t="s">
        <v>235</v>
      </c>
      <c r="C16" s="55" t="s">
        <v>236</v>
      </c>
      <c r="D16" s="56">
        <f ca="1">IF(DAY(TODAY())&gt;10,
   DATE(YEAR(TODAY()),MONTH(TODAY()),10),
   DATE(YEAR(TODAY()),MONTH(TODAY())-1,10))</f>
        <v>46305</v>
      </c>
      <c r="E16" s="56">
        <f ca="1">IF(DAY(TODAY())&lt;=10,
   DATE(YEAR(TODAY()),MONTH(TODAY()),10),
   DATE(YEAR(TODAY()),MONTH(TODAY())+1,10))</f>
        <v>46336</v>
      </c>
    </row>
    <row r="17" spans="2:5" x14ac:dyDescent="0.3">
      <c r="B17" s="55" t="s">
        <v>132</v>
      </c>
      <c r="C17" s="55" t="s">
        <v>151</v>
      </c>
      <c r="D17" s="56">
        <f ca="1">$B$1048568+_xlfn.CEILING.MATH((TODAY()-$B$1048568)/90, 1)*90-90</f>
        <v>46247</v>
      </c>
      <c r="E17" s="56">
        <f ca="1">$B$1048568+_xlfn.CEILING.MATH((TODAY()-$B$1048568)/90, 1)*90</f>
        <v>46337</v>
      </c>
    </row>
    <row r="18" spans="2:5" x14ac:dyDescent="0.3">
      <c r="B18" s="55" t="s">
        <v>238</v>
      </c>
      <c r="C18" s="55" t="s">
        <v>144</v>
      </c>
      <c r="D18" s="56">
        <f ca="1">IF(DAY(TODAY())&gt;15,
   DATE(YEAR(TODAY()),MONTH(TODAY()),15),
   DATE(YEAR(TODAY()),MONTH(TODAY())-1,15))</f>
        <v>46310</v>
      </c>
      <c r="E18" s="56">
        <f ca="1">IF(DAY(TODAY())&lt;=15,
   DATE(YEAR(TODAY()),MONTH(TODAY()),15),
   DATE(YEAR(TODAY()),MONTH(TODAY())+1,15))</f>
        <v>46341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145</v>
      </c>
      <c r="B1048572" s="56" t="s">
        <v>84</v>
      </c>
    </row>
    <row r="1048573" spans="1:2" x14ac:dyDescent="0.3">
      <c r="A1048573" s="66" t="s">
        <v>146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149</v>
      </c>
      <c r="B1048575" s="56" t="s">
        <v>84</v>
      </c>
    </row>
    <row r="1048576" spans="1:2" x14ac:dyDescent="0.3">
      <c r="A1048576" s="65" t="s">
        <v>150</v>
      </c>
      <c r="B1048576" s="56">
        <v>46295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1:G27"/>
  <sheetViews>
    <sheetView tabSelected="1" zoomScale="101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7" sqref="B27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1" spans="2:7" x14ac:dyDescent="0.3">
      <c r="B1" s="54" t="s">
        <v>87</v>
      </c>
      <c r="C1" s="54" t="s">
        <v>88</v>
      </c>
      <c r="D1" s="54" t="s">
        <v>89</v>
      </c>
      <c r="E1" s="54" t="s">
        <v>90</v>
      </c>
      <c r="F1" s="54" t="s">
        <v>91</v>
      </c>
      <c r="G1" s="54" t="s">
        <v>124</v>
      </c>
    </row>
    <row r="2" spans="2:7" x14ac:dyDescent="0.3">
      <c r="B2" s="55" t="s">
        <v>99</v>
      </c>
      <c r="C2" s="55">
        <v>5</v>
      </c>
      <c r="D2" s="56">
        <v>46229</v>
      </c>
      <c r="E2" s="55">
        <v>1</v>
      </c>
      <c r="F2" s="55">
        <f t="shared" ref="F2:F26" ca="1" si="0">C2 + MAX(0, (30-_xlfn.DAYS(D2, TODAY()))) + (10-E2)</f>
        <v>127</v>
      </c>
      <c r="G2" s="64"/>
    </row>
    <row r="3" spans="2:7" x14ac:dyDescent="0.3">
      <c r="B3" s="55" t="s">
        <v>97</v>
      </c>
      <c r="C3" s="55">
        <v>5</v>
      </c>
      <c r="D3" s="56">
        <v>46229</v>
      </c>
      <c r="E3" s="55">
        <v>1</v>
      </c>
      <c r="F3" s="55">
        <f t="shared" ca="1" si="0"/>
        <v>127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126</v>
      </c>
      <c r="G4" s="64"/>
    </row>
    <row r="5" spans="2:7" x14ac:dyDescent="0.3">
      <c r="B5" s="55" t="s">
        <v>123</v>
      </c>
      <c r="C5" s="55">
        <v>3</v>
      </c>
      <c r="D5" s="56">
        <v>46229</v>
      </c>
      <c r="E5" s="55">
        <v>3</v>
      </c>
      <c r="F5" s="55">
        <f t="shared" ca="1" si="0"/>
        <v>123</v>
      </c>
      <c r="G5" s="64"/>
    </row>
    <row r="6" spans="2:7" x14ac:dyDescent="0.3">
      <c r="B6" s="55" t="s">
        <v>95</v>
      </c>
      <c r="C6" s="55">
        <v>4</v>
      </c>
      <c r="D6" s="56">
        <v>46236</v>
      </c>
      <c r="E6" s="55">
        <v>0</v>
      </c>
      <c r="F6" s="55">
        <f t="shared" ca="1" si="0"/>
        <v>120</v>
      </c>
      <c r="G6" s="64"/>
    </row>
    <row r="7" spans="2:7" x14ac:dyDescent="0.3">
      <c r="B7" s="55" t="s">
        <v>137</v>
      </c>
      <c r="C7" s="55">
        <v>3</v>
      </c>
      <c r="D7" s="56">
        <v>46236</v>
      </c>
      <c r="E7" s="55">
        <v>0</v>
      </c>
      <c r="F7" s="55">
        <f t="shared" ca="1" si="0"/>
        <v>119</v>
      </c>
      <c r="G7" s="64"/>
    </row>
    <row r="8" spans="2:7" x14ac:dyDescent="0.3">
      <c r="B8" s="55" t="s">
        <v>98</v>
      </c>
      <c r="C8" s="55">
        <v>2</v>
      </c>
      <c r="D8" s="56">
        <v>46236</v>
      </c>
      <c r="E8" s="55">
        <v>0</v>
      </c>
      <c r="F8" s="55">
        <f t="shared" ca="1" si="0"/>
        <v>118</v>
      </c>
      <c r="G8" s="64"/>
    </row>
    <row r="9" spans="2:7" x14ac:dyDescent="0.3">
      <c r="B9" s="55" t="s">
        <v>100</v>
      </c>
      <c r="C9" s="55">
        <v>1</v>
      </c>
      <c r="D9" s="56">
        <v>46236</v>
      </c>
      <c r="E9" s="55">
        <v>0</v>
      </c>
      <c r="F9" s="55">
        <f t="shared" ca="1" si="0"/>
        <v>117</v>
      </c>
      <c r="G9" s="64"/>
    </row>
    <row r="10" spans="2:7" x14ac:dyDescent="0.3">
      <c r="B10" s="55" t="s">
        <v>101</v>
      </c>
      <c r="C10" s="55">
        <v>1</v>
      </c>
      <c r="D10" s="56">
        <v>46236</v>
      </c>
      <c r="E10" s="55">
        <v>0</v>
      </c>
      <c r="F10" s="55">
        <f t="shared" ca="1" si="0"/>
        <v>117</v>
      </c>
      <c r="G10" s="64"/>
    </row>
    <row r="11" spans="2:7" x14ac:dyDescent="0.3">
      <c r="B11" s="55" t="s">
        <v>102</v>
      </c>
      <c r="C11" s="55">
        <v>1</v>
      </c>
      <c r="D11" s="56">
        <v>46236</v>
      </c>
      <c r="E11" s="55">
        <v>0</v>
      </c>
      <c r="F11" s="55">
        <f t="shared" ca="1" si="0"/>
        <v>117</v>
      </c>
      <c r="G11" s="64"/>
    </row>
    <row r="12" spans="2:7" x14ac:dyDescent="0.3">
      <c r="B12" s="55" t="s">
        <v>138</v>
      </c>
      <c r="C12" s="55">
        <v>3</v>
      </c>
      <c r="D12" s="56">
        <v>46243</v>
      </c>
      <c r="E12" s="55">
        <v>0</v>
      </c>
      <c r="F12" s="55">
        <f t="shared" ca="1" si="0"/>
        <v>112</v>
      </c>
      <c r="G12" s="64"/>
    </row>
    <row r="13" spans="2:7" x14ac:dyDescent="0.3">
      <c r="B13" s="55" t="s">
        <v>105</v>
      </c>
      <c r="C13" s="55">
        <v>3</v>
      </c>
      <c r="D13" s="56">
        <v>46243</v>
      </c>
      <c r="E13" s="55">
        <v>0</v>
      </c>
      <c r="F13" s="55">
        <f t="shared" ca="1" si="0"/>
        <v>112</v>
      </c>
      <c r="G13" s="64"/>
    </row>
    <row r="14" spans="2:7" x14ac:dyDescent="0.3">
      <c r="B14" s="55" t="s">
        <v>106</v>
      </c>
      <c r="C14" s="55">
        <v>3</v>
      </c>
      <c r="D14" s="56">
        <v>46243</v>
      </c>
      <c r="E14" s="55">
        <v>0</v>
      </c>
      <c r="F14" s="55">
        <f t="shared" ca="1" si="0"/>
        <v>112</v>
      </c>
      <c r="G14" s="64"/>
    </row>
    <row r="15" spans="2:7" x14ac:dyDescent="0.3">
      <c r="B15" s="55" t="s">
        <v>103</v>
      </c>
      <c r="C15" s="55">
        <v>1</v>
      </c>
      <c r="D15" s="56">
        <v>46243</v>
      </c>
      <c r="E15" s="55">
        <v>0</v>
      </c>
      <c r="F15" s="55">
        <f t="shared" ca="1" si="0"/>
        <v>110</v>
      </c>
      <c r="G15" s="64"/>
    </row>
    <row r="16" spans="2:7" x14ac:dyDescent="0.3">
      <c r="B16" s="55" t="s">
        <v>104</v>
      </c>
      <c r="C16" s="55">
        <v>1</v>
      </c>
      <c r="D16" s="56">
        <v>46243</v>
      </c>
      <c r="E16" s="55">
        <v>0</v>
      </c>
      <c r="F16" s="55">
        <f t="shared" ca="1" si="0"/>
        <v>110</v>
      </c>
      <c r="G16" s="64"/>
    </row>
    <row r="17" spans="2:7" x14ac:dyDescent="0.3">
      <c r="B17" s="55" t="s">
        <v>93</v>
      </c>
      <c r="C17" s="55">
        <v>5</v>
      </c>
      <c r="D17" s="56">
        <v>46243</v>
      </c>
      <c r="E17" s="55">
        <v>4</v>
      </c>
      <c r="F17" s="55">
        <f t="shared" ca="1" si="0"/>
        <v>110</v>
      </c>
      <c r="G17" s="64"/>
    </row>
    <row r="18" spans="2:7" x14ac:dyDescent="0.3">
      <c r="B18" s="55" t="s">
        <v>107</v>
      </c>
      <c r="C18" s="55">
        <v>2</v>
      </c>
      <c r="D18" s="56">
        <v>46250</v>
      </c>
      <c r="E18" s="55">
        <v>0</v>
      </c>
      <c r="F18" s="55">
        <f t="shared" ca="1" si="0"/>
        <v>104</v>
      </c>
      <c r="G18" s="64"/>
    </row>
    <row r="19" spans="2:7" x14ac:dyDescent="0.3">
      <c r="B19" s="55" t="s">
        <v>94</v>
      </c>
      <c r="C19" s="55">
        <v>2</v>
      </c>
      <c r="D19" s="56">
        <v>46250</v>
      </c>
      <c r="E19" s="55">
        <v>0</v>
      </c>
      <c r="F19" s="55">
        <f t="shared" ca="1" si="0"/>
        <v>104</v>
      </c>
      <c r="G19" s="64"/>
    </row>
    <row r="20" spans="2:7" x14ac:dyDescent="0.3">
      <c r="B20" s="55" t="s">
        <v>239</v>
      </c>
      <c r="C20" s="55">
        <v>2</v>
      </c>
      <c r="D20" s="56">
        <v>46257</v>
      </c>
      <c r="E20" s="55">
        <v>0</v>
      </c>
      <c r="F20" s="55">
        <f t="shared" ca="1" si="0"/>
        <v>97</v>
      </c>
      <c r="G20" s="64"/>
    </row>
    <row r="21" spans="2:7" x14ac:dyDescent="0.3">
      <c r="B21" s="55" t="s">
        <v>246</v>
      </c>
      <c r="C21" s="55">
        <v>3</v>
      </c>
      <c r="D21" s="56">
        <v>46257</v>
      </c>
      <c r="E21" s="55">
        <v>2</v>
      </c>
      <c r="F21" s="55">
        <f t="shared" ca="1" si="0"/>
        <v>96</v>
      </c>
      <c r="G21" s="64"/>
    </row>
    <row r="22" spans="2:7" x14ac:dyDescent="0.3">
      <c r="B22" s="55" t="s">
        <v>96</v>
      </c>
      <c r="C22" s="55">
        <v>1</v>
      </c>
      <c r="D22" s="56">
        <v>46257</v>
      </c>
      <c r="E22" s="55">
        <v>0</v>
      </c>
      <c r="F22" s="55">
        <f t="shared" ca="1" si="0"/>
        <v>96</v>
      </c>
      <c r="G22" s="64"/>
    </row>
    <row r="23" spans="2:7" x14ac:dyDescent="0.3">
      <c r="B23" s="55" t="s">
        <v>320</v>
      </c>
      <c r="C23" s="55">
        <v>5</v>
      </c>
      <c r="D23" s="56">
        <v>46300</v>
      </c>
      <c r="E23" s="55">
        <v>0</v>
      </c>
      <c r="F23" s="55">
        <f t="shared" ca="1" si="0"/>
        <v>57</v>
      </c>
      <c r="G23" s="64"/>
    </row>
    <row r="24" spans="2:7" x14ac:dyDescent="0.3">
      <c r="B24" s="189" t="s">
        <v>314</v>
      </c>
      <c r="C24" s="189">
        <v>5</v>
      </c>
      <c r="D24" s="190">
        <v>46300</v>
      </c>
      <c r="E24" s="189">
        <v>5</v>
      </c>
      <c r="F24" s="189">
        <f t="shared" ca="1" si="0"/>
        <v>52</v>
      </c>
      <c r="G24" s="191" t="s">
        <v>313</v>
      </c>
    </row>
    <row r="25" spans="2:7" x14ac:dyDescent="0.3">
      <c r="B25" s="188" t="s">
        <v>295</v>
      </c>
      <c r="C25" s="55">
        <v>5</v>
      </c>
      <c r="D25" s="56">
        <v>46314</v>
      </c>
      <c r="E25" s="55">
        <v>0</v>
      </c>
      <c r="F25" s="55">
        <f t="shared" ca="1" si="0"/>
        <v>43</v>
      </c>
      <c r="G25" s="64" t="s">
        <v>296</v>
      </c>
    </row>
    <row r="26" spans="2:7" x14ac:dyDescent="0.3">
      <c r="B26" s="55" t="s">
        <v>321</v>
      </c>
      <c r="C26" s="55">
        <v>3</v>
      </c>
      <c r="D26" s="56">
        <v>46357</v>
      </c>
      <c r="E26" s="55">
        <v>0</v>
      </c>
      <c r="F26" s="55">
        <f t="shared" ca="1" si="0"/>
        <v>13</v>
      </c>
      <c r="G26" s="64" t="s">
        <v>322</v>
      </c>
    </row>
    <row r="27" spans="2:7" x14ac:dyDescent="0.3">
      <c r="B27" s="55" t="s">
        <v>325</v>
      </c>
      <c r="C27" s="209">
        <v>5</v>
      </c>
      <c r="D27" s="56">
        <v>46405</v>
      </c>
      <c r="E27" s="209">
        <v>0</v>
      </c>
      <c r="F27" s="55">
        <f ca="1">C27 + MAX(0, (30-_xlfn.DAYS(D27, TODAY()))) + (10-E27)</f>
        <v>15</v>
      </c>
      <c r="G27" s="64" t="s">
        <v>326</v>
      </c>
    </row>
  </sheetData>
  <conditionalFormatting sqref="F2:G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6"/>
      <c r="W2" s="206"/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206"/>
      <c r="BH2" s="206"/>
      <c r="BI2" s="206"/>
      <c r="BJ2" s="206"/>
      <c r="BK2" s="206"/>
      <c r="BL2" s="206"/>
      <c r="BM2" s="206"/>
      <c r="BN2" s="206"/>
      <c r="BO2" s="206"/>
      <c r="BP2" s="206"/>
      <c r="BQ2" s="206"/>
      <c r="BR2" s="206"/>
      <c r="BS2" s="206"/>
      <c r="BT2" s="206"/>
      <c r="BU2" s="206"/>
      <c r="BV2" s="206"/>
      <c r="BW2" s="206"/>
      <c r="BX2" s="206"/>
      <c r="BY2" s="206"/>
      <c r="BZ2" s="206"/>
      <c r="CA2" s="206"/>
      <c r="CB2" s="206"/>
      <c r="CC2" s="206"/>
      <c r="CD2" s="206"/>
      <c r="CE2" s="206"/>
      <c r="CF2" s="206"/>
      <c r="CG2" s="206"/>
      <c r="CH2" s="206"/>
      <c r="CI2" s="206"/>
      <c r="CJ2" s="206"/>
      <c r="CK2" s="206"/>
      <c r="CL2" s="206"/>
      <c r="CM2" s="206"/>
      <c r="CN2" s="206"/>
      <c r="CO2" s="206"/>
      <c r="CP2" s="206"/>
      <c r="CQ2" s="206"/>
      <c r="CR2" s="206"/>
      <c r="CS2" s="206"/>
      <c r="CT2" s="206"/>
      <c r="CU2" s="206"/>
      <c r="CV2" s="206"/>
      <c r="CW2" s="206"/>
      <c r="CX2" s="206"/>
      <c r="CY2" s="206"/>
      <c r="CZ2" s="206"/>
      <c r="DA2" s="206"/>
      <c r="DB2" s="206"/>
      <c r="DC2" s="206"/>
      <c r="DD2" s="206"/>
      <c r="DE2" s="206"/>
      <c r="DF2" s="206"/>
      <c r="DG2" s="206"/>
      <c r="DH2" s="206"/>
      <c r="DI2" s="206"/>
      <c r="DJ2" s="206"/>
      <c r="DK2" s="206"/>
      <c r="DL2" s="206"/>
      <c r="DM2" s="206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6"/>
      <c r="GA2" s="206"/>
      <c r="GB2" s="206"/>
      <c r="GC2" s="206"/>
      <c r="GD2" s="206"/>
      <c r="GE2" s="206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4" t="s">
        <v>202</v>
      </c>
      <c r="E4" s="205"/>
      <c r="F4" s="205"/>
      <c r="G4" s="205"/>
      <c r="H4" s="205"/>
      <c r="I4" s="205" t="s">
        <v>203</v>
      </c>
      <c r="J4" s="205"/>
      <c r="K4" s="205"/>
      <c r="L4" s="205"/>
      <c r="M4" s="205"/>
      <c r="N4" s="205" t="s">
        <v>204</v>
      </c>
      <c r="O4" s="205"/>
      <c r="P4" s="205"/>
      <c r="Q4" s="205"/>
      <c r="R4" s="205"/>
    </row>
    <row r="5" spans="2:187" x14ac:dyDescent="0.3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sheetPr codeName="Sheet11"/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7" t="s">
        <v>201</v>
      </c>
      <c r="D3" s="207"/>
      <c r="E3" s="207"/>
      <c r="F3" s="207"/>
      <c r="G3" s="207"/>
    </row>
    <row r="4" spans="3:7" x14ac:dyDescent="0.3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8" t="s">
        <v>13</v>
      </c>
      <c r="C2" s="208"/>
      <c r="D2" s="208"/>
      <c r="F2" s="208" t="s">
        <v>14</v>
      </c>
      <c r="G2" s="208"/>
      <c r="H2" s="208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2026-10-17T17:57:48Z</dcterms:modified>
</cp:coreProperties>
</file>