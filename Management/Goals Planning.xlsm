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87" documentId="13_ncr:1_{31399611-A72B-479F-B6BD-BAF938C2611F}" xr6:coauthVersionLast="47" xr6:coauthVersionMax="47" xr10:uidLastSave="{4D1466AD-4F99-44D9-A21F-36B16F83966E}"/>
  <bookViews>
    <workbookView xWindow="-108" yWindow="-108" windowWidth="23256" windowHeight="13896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5" l="1"/>
  <c r="F25" i="5" l="1"/>
  <c r="F23" i="5"/>
  <c r="I32" i="2"/>
  <c r="G31" i="2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42" i="3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20" i="11"/>
  <c r="F17" i="11"/>
  <c r="E22" i="11"/>
  <c r="D28" i="11"/>
  <c r="C40" i="11" a="1"/>
  <c r="F41" i="11"/>
  <c r="G43" i="11"/>
  <c r="D50" i="11"/>
  <c r="E15" i="11"/>
  <c r="E47" i="11"/>
  <c r="G37" i="11"/>
  <c r="G49" i="11"/>
  <c r="E34" i="11"/>
  <c r="G26" i="11"/>
  <c r="E50" i="11"/>
  <c r="C49" i="11" a="1"/>
  <c r="C10" i="11" a="1"/>
  <c r="C15" i="11" a="1"/>
  <c r="C54" i="11" a="1"/>
  <c r="E52" i="11"/>
  <c r="D27" i="11"/>
  <c r="G52" i="11"/>
  <c r="F53" i="11"/>
  <c r="C19" i="11" a="1"/>
  <c r="D44" i="11"/>
  <c r="D56" i="11"/>
  <c r="G15" i="11"/>
  <c r="G33" i="11"/>
  <c r="F24" i="11"/>
  <c r="D48" i="11"/>
  <c r="G54" i="11"/>
  <c r="G39" i="11"/>
  <c r="D47" i="11"/>
  <c r="C20" i="11" a="1"/>
  <c r="G5" i="11"/>
  <c r="E20" i="11"/>
  <c r="C38" i="11" a="1"/>
  <c r="C26" i="11" a="1"/>
  <c r="F37" i="11"/>
  <c r="D34" i="11"/>
  <c r="C18" i="11" a="1"/>
  <c r="E48" i="11"/>
  <c r="F39" i="11"/>
  <c r="G44" i="11"/>
  <c r="E32" i="11"/>
  <c r="E5" i="11"/>
  <c r="F43" i="11"/>
  <c r="D17" i="11"/>
  <c r="D23" i="11"/>
  <c r="G16" i="11"/>
  <c r="G19" i="11"/>
  <c r="E56" i="11"/>
  <c r="F23" i="11"/>
  <c r="E49" i="11"/>
  <c r="D5" i="11"/>
  <c r="E17" i="11"/>
  <c r="D24" i="11"/>
  <c r="D35" i="11"/>
  <c r="D33" i="11"/>
  <c r="G28" i="11"/>
  <c r="G55" i="11"/>
  <c r="G57" i="11"/>
  <c r="C23" i="11" a="1"/>
  <c r="D18" i="11"/>
  <c r="D38" i="11"/>
  <c r="E19" i="11"/>
  <c r="C21" i="11" a="1"/>
  <c r="F31" i="11"/>
  <c r="G45" i="11"/>
  <c r="D19" i="11"/>
  <c r="G30" i="11"/>
  <c r="D54" i="11"/>
  <c r="G17" i="11"/>
  <c r="G27" i="11"/>
  <c r="D15" i="11"/>
  <c r="C48" i="11" a="1"/>
  <c r="G53" i="11"/>
  <c r="F26" i="11"/>
  <c r="C46" i="11" a="1"/>
  <c r="C53" i="11" a="1"/>
  <c r="G47" i="11"/>
  <c r="F52" i="11"/>
  <c r="C41" i="11" a="1"/>
  <c r="C45" i="11" a="1"/>
  <c r="F21" i="11"/>
  <c r="C12" i="11" a="1"/>
  <c r="C27" i="11" a="1"/>
  <c r="E57" i="11"/>
  <c r="F35" i="11"/>
  <c r="E21" i="11"/>
  <c r="D29" i="11"/>
  <c r="C28" i="11" a="1"/>
  <c r="D45" i="11"/>
  <c r="C30" i="11" a="1"/>
  <c r="C17" i="11" a="1"/>
  <c r="G35" i="11"/>
  <c r="E26" i="11"/>
  <c r="F14" i="11"/>
  <c r="F27" i="11"/>
  <c r="G18" i="11"/>
  <c r="G50" i="11"/>
  <c r="C43" i="11" a="1"/>
  <c r="D31" i="11"/>
  <c r="E53" i="11"/>
  <c r="G32" i="11"/>
  <c r="C51" i="11" a="1"/>
  <c r="C35" i="11" a="1"/>
  <c r="G21" i="11"/>
  <c r="E36" i="11"/>
  <c r="F57" i="11"/>
  <c r="F50" i="11"/>
  <c r="G48" i="11"/>
  <c r="D57" i="11"/>
  <c r="C7" i="11" a="1"/>
  <c r="D52" i="11"/>
  <c r="F34" i="11"/>
  <c r="E23" i="11"/>
  <c r="E27" i="11"/>
  <c r="E41" i="11"/>
  <c r="F22" i="11"/>
  <c r="E42" i="11"/>
  <c r="C39" i="11" a="1"/>
  <c r="C55" i="11" a="1"/>
  <c r="C25" i="11" a="1"/>
  <c r="C16" i="11" a="1"/>
  <c r="E31" i="11"/>
  <c r="D36" i="11"/>
  <c r="C9" i="11" a="1"/>
  <c r="D43" i="11"/>
  <c r="D21" i="11"/>
  <c r="E39" i="11"/>
  <c r="D39" i="11"/>
  <c r="C22" i="11" a="1"/>
  <c r="G36" i="11"/>
  <c r="G40" i="11"/>
  <c r="F47" i="11"/>
  <c r="C47" i="11" a="1"/>
  <c r="E43" i="11"/>
  <c r="E55" i="11"/>
  <c r="G24" i="11"/>
  <c r="C31" i="11" a="1"/>
  <c r="E14" i="11"/>
  <c r="F15" i="11"/>
  <c r="E44" i="11"/>
  <c r="C34" i="11" a="1"/>
  <c r="D51" i="11"/>
  <c r="D25" i="11"/>
  <c r="D53" i="11"/>
  <c r="G29" i="11"/>
  <c r="C33" i="11" a="1"/>
  <c r="F5" i="11"/>
  <c r="G51" i="11"/>
  <c r="F54" i="11"/>
  <c r="E30" i="11"/>
  <c r="F51" i="11"/>
  <c r="C57" i="11" a="1"/>
  <c r="C42" i="11" a="1"/>
  <c r="F40" i="11"/>
  <c r="C37" i="11" a="1"/>
  <c r="E38" i="11"/>
  <c r="C5" i="11" a="1"/>
  <c r="E54" i="11"/>
  <c r="E35" i="11"/>
  <c r="E24" i="11"/>
  <c r="D16" i="11"/>
  <c r="D37" i="11"/>
  <c r="F25" i="11"/>
  <c r="C36" i="11" a="1"/>
  <c r="D46" i="11"/>
  <c r="D22" i="11"/>
  <c r="D49" i="11"/>
  <c r="C24" i="11" a="1"/>
  <c r="E37" i="11"/>
  <c r="E33" i="11"/>
  <c r="C56" i="11" a="1"/>
  <c r="D30" i="11"/>
  <c r="F20" i="11"/>
  <c r="G38" i="11"/>
  <c r="D41" i="11"/>
  <c r="E46" i="11"/>
  <c r="E18" i="11"/>
  <c r="C11" i="11" a="1"/>
  <c r="C32" i="11" a="1"/>
  <c r="G34" i="11"/>
  <c r="F33" i="11"/>
  <c r="G31" i="11"/>
  <c r="C44" i="11" a="1"/>
  <c r="F55" i="11"/>
  <c r="C52" i="11" a="1"/>
  <c r="D14" i="11"/>
  <c r="G56" i="11"/>
  <c r="G42" i="11"/>
  <c r="E45" i="11"/>
  <c r="F29" i="11"/>
  <c r="F32" i="11"/>
  <c r="D26" i="11"/>
  <c r="C6" i="11" a="1"/>
  <c r="D32" i="11"/>
  <c r="C14" i="11" a="1"/>
  <c r="E25" i="11"/>
  <c r="F18" i="11"/>
  <c r="F49" i="11"/>
  <c r="F36" i="11"/>
  <c r="E29" i="11"/>
  <c r="C13" i="11" a="1"/>
  <c r="G20" i="11"/>
  <c r="C29" i="11" a="1"/>
  <c r="F44" i="11"/>
  <c r="F48" i="11"/>
  <c r="D55" i="11"/>
  <c r="E16" i="11"/>
  <c r="F16" i="11"/>
  <c r="G46" i="11"/>
  <c r="F19" i="11"/>
  <c r="F45" i="11"/>
  <c r="G41" i="11"/>
  <c r="F42" i="11"/>
  <c r="F30" i="11"/>
  <c r="F46" i="11"/>
  <c r="E51" i="11"/>
  <c r="G23" i="11"/>
  <c r="F38" i="11"/>
  <c r="C8" i="11" a="1"/>
  <c r="F28" i="11"/>
  <c r="D42" i="11"/>
  <c r="G14" i="11"/>
  <c r="E40" i="11"/>
  <c r="F56" i="11"/>
  <c r="G22" i="11"/>
  <c r="G25" i="11"/>
  <c r="D40" i="11"/>
  <c r="C50" i="11" a="1"/>
  <c r="E28" i="11"/>
  <c r="L9" i="10" l="1" a="1"/>
  <c r="L9" i="10" s="1"/>
  <c r="L8" i="10" a="1"/>
  <c r="L8" i="10" s="1"/>
  <c r="L10" i="10" a="1"/>
  <c r="L10" i="10" s="1"/>
  <c r="L3" i="10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9" i="11"/>
  <c r="F13" i="11"/>
  <c r="G9" i="11"/>
  <c r="G8" i="11"/>
  <c r="D12" i="11"/>
  <c r="E9" i="11"/>
  <c r="F11" i="11"/>
  <c r="G12" i="11"/>
  <c r="F9" i="11"/>
  <c r="D11" i="11"/>
  <c r="D13" i="11"/>
  <c r="G11" i="11"/>
  <c r="D10" i="11"/>
  <c r="D8" i="11"/>
  <c r="E13" i="11"/>
  <c r="E8" i="11"/>
  <c r="F10" i="11"/>
  <c r="F12" i="11"/>
  <c r="E12" i="11"/>
  <c r="G13" i="11"/>
  <c r="G10" i="11"/>
  <c r="F8" i="11"/>
  <c r="E11" i="11"/>
  <c r="E10" i="11"/>
  <c r="E17" i="7" l="1"/>
  <c r="E15" i="7"/>
  <c r="E8" i="7"/>
  <c r="E13" i="7"/>
  <c r="D13" i="7"/>
  <c r="G7" i="11"/>
  <c r="F7" i="11"/>
  <c r="E7" i="11"/>
  <c r="D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H132" i="8"/>
  <c r="H131" i="8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64" i="3"/>
  <c r="E63" i="3"/>
  <c r="F3" i="5"/>
  <c r="F2" i="5"/>
  <c r="E10" i="7"/>
  <c r="E9" i="7"/>
  <c r="B10" i="8" l="1"/>
  <c r="C9" i="8"/>
  <c r="A8" i="1"/>
  <c r="B8" i="1" s="1"/>
  <c r="D17" i="7"/>
  <c r="D16" i="7"/>
  <c r="D9" i="7"/>
  <c r="D10" i="7"/>
  <c r="D8" i="7"/>
  <c r="D15" i="7"/>
  <c r="D18" i="7"/>
  <c r="D14" i="7"/>
  <c r="D3" i="7"/>
  <c r="D7" i="7"/>
  <c r="D6" i="7"/>
  <c r="D12" i="7"/>
  <c r="D11" i="7"/>
  <c r="D5" i="7"/>
  <c r="D4" i="7"/>
  <c r="E3" i="7"/>
  <c r="E36" i="3"/>
  <c r="E37" i="3"/>
  <c r="E38" i="3"/>
  <c r="E39" i="3"/>
  <c r="E40" i="3"/>
  <c r="E35" i="3"/>
  <c r="E41" i="3"/>
  <c r="E74" i="3"/>
  <c r="E75" i="3"/>
  <c r="E76" i="3"/>
  <c r="E77" i="3"/>
  <c r="E78" i="3"/>
  <c r="E73" i="3"/>
  <c r="E71" i="3"/>
  <c r="E70" i="3"/>
  <c r="E67" i="3"/>
  <c r="E68" i="3"/>
  <c r="E69" i="3"/>
  <c r="E66" i="3"/>
  <c r="E27" i="3"/>
  <c r="E28" i="3"/>
  <c r="E29" i="3"/>
  <c r="E30" i="3"/>
  <c r="E31" i="3"/>
  <c r="E32" i="3"/>
  <c r="E33" i="3"/>
  <c r="E34" i="3"/>
  <c r="E58" i="3"/>
  <c r="E59" i="3"/>
  <c r="E60" i="3"/>
  <c r="E61" i="3"/>
  <c r="E62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1" i="7"/>
  <c r="E12" i="7"/>
  <c r="E18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14" i="7"/>
  <c r="E7" i="7"/>
  <c r="E6" i="7"/>
  <c r="E5" i="7"/>
  <c r="E4" i="7"/>
  <c r="E16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 l="1"/>
  <c r="F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<sst xmlns="http://schemas.openxmlformats.org/spreadsheetml/2006/main" count="5215" uniqueCount="324">
  <si>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</si>
  <si>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</si>
  <si>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</si>
  <si>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</si>
  <si>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</si>
  <si>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</si>
  <si>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</si>
  <si>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</si>
  <si>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</si>
  <si>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</si>
  <si>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</si>
  <si>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</si>
  <si>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</si>
  <si>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</si>
  <si>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</si>
  <si>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</si>
  <si>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</si>
  <si>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</si>
  <si>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</si>
  <si>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</si>
  <si>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</si>
  <si>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</si>
  <si>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</si>
  <si>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</si>
  <si>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</si>
  <si>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</si>
  <si>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</si>
  <si>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</si>
  <si>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</si>
  <si>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</si>
  <si>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</si>
  <si>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</si>
  <si>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</si>
  <si>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</si>
  <si>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</si>
  <si>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</si>
  <si>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</si>
  <si>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</si>
  <si>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</si>
  <si>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</si>
  <si>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</si>
  <si>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</si>
  <si>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</si>
  <si>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</si>
  <si>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</si>
  <si>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</si>
  <si>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</si>
  <si>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</si>
  <si>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</si>
  <si>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</si>
  <si>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</si>
  <si>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</si>
  <si>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</si>
  <si>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</si>
  <si>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</si>
  <si>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</si>
  <si>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</si>
  <si>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</si>
  <si>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</si>
  <si>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</si>
  <si>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</si>
  <si>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</si>
  <si>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</si>
  <si>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</si>
  <si>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</si>
  <si>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</si>
  <si>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</si>
  <si>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</si>
  <si>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</si>
  <si>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</si>
  <si>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</si>
  <si>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</si>
  <si>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</si>
  <si>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</si>
  <si>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</si>
  <si>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</si>
  <si>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</si>
  <si>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</si>
  <si>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</si>
  <si>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</si>
  <si>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</si>
  <si>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</si>
  <si>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</si>
  <si>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</si>
  <si>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</si>
  <si>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</si>
  <si>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</si>
  <si>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</si>
  <si>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</si>
  <si>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</si>
  <si>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</si>
  <si>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</si>
  <si>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</si>
  <si>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</si>
  <si>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</si>
  <si>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</si>
  <si>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</si>
  <si>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</si>
  <si>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</si>
  <si>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</si>
  <si>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</si>
  <si>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</si>
  <si>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</si>
  <si>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</si>
  <si>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</si>
  <si>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</si>
  <si>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</si>
  <si>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</si>
  <si>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</si>
  <si>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</si>
  <si>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</si>
  <si>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</si>
  <si>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</si>
  <si>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</si>
  <si>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</si>
  <si>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</si>
  <si>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</si>
  <si>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</si>
  <si>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</si>
  <si>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</si>
  <si>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</si>
  <si>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</si>
  <si>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</si>
  <si>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</si>
  <si>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</si>
  <si>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</si>
  <si>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</si>
  <si>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</si>
  <si>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</si>
  <si>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</si>
  <si>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</si>
  <si>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</si>
  <si>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</si>
  <si>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</si>
  <si>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</si>
  <si>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</si>
  <si>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</si>
  <si>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</si>
  <si>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</si>
  <si>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</si>
  <si>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</si>
  <si>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</si>
  <si>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</si>
  <si>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</si>
  <si>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</si>
  <si>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</si>
  <si>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</si>
  <si>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</si>
  <si>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</si>
  <si>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</si>
  <si>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</si>
  <si>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</si>
  <si>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</si>
  <si>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</si>
  <si>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</si>
  <si>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</si>
  <si>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</si>
  <si>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</si>
  <si>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</si>
  <si>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</si>
  <si>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</si>
  <si>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</si>
  <si>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</si>
  <si>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</si>
  <si>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</si>
  <si>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</si>
  <si>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</si>
  <si>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</si>
  <si>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</si>
  <si>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</si>
  <si>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</si>
  <si>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</si>
  <si>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</si>
  <si>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</si>
  <si>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</si>
  <si>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</si>
  <si>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</si>
  <si>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</si>
  <si>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</si>
  <si>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</si>
  <si>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</si>
  <si>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</si>
  <si>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</si>
  <si>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</si>
  <si>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</si>
  <si>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</si>
  <si>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</si>
  <si>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</si>
  <si>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</si>
  <si>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</si>
  <si>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</si>
  <si>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</si>
  <si>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</si>
  <si>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</si>
  <si>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</si>
  <si>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</si>
  <si>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</si>
  <si>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</si>
  <si>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</si>
  <si>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</si>
  <si>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</si>
  <si>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</si>
  <si>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</si>
  <si>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</si>
  <si>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</si>
  <si>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</si>
  <si>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</si>
  <si>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</si>
  <si>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</si>
  <si>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</si>
  <si>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</si>
  <si>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</si>
  <si>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</si>
  <si>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</si>
  <si>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</si>
  <si>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</si>
  <si>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</si>
  <si>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</si>
  <si>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</si>
  <si>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</si>
  <si>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</si>
  <si>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</si>
  <si>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</si>
  <si>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</si>
  <si>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</si>
  <si>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</si>
  <si>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</si>
  <si>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</si>
  <si>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</si>
  <si>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</si>
  <si>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</si>
  <si>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</si>
  <si>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</si>
  <si>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</si>
  <si>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</si>
  <si>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</si>
  <si>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</si>
  <si>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</si>
  <si>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</si>
  <si>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</si>
  <si>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</si>
  <si>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</si>
  <si>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</si>
  <si>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</si>
  <si>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</si>
  <si>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</si>
  <si>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</si>
  <si>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</si>
  <si>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</si>
  <si>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</si>
  <si>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</si>
  <si>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</si>
  <si>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</si>
  <si>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</si>
  <si>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</si>
  <si>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</si>
  <si>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</si>
  <si>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</si>
  <si>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</si>
  <si>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</si>
  <si>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</si>
  <si>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</si>
  <si>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</si>
  <si>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</si>
  <si>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</si>
  <si>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</si>
  <si>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</si>
  <si>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</si>
  <si>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</si>
  <si>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</si>
  <si>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</si>
  <si>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</si>
  <si>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</si>
  <si>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</si>
  <si>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</si>
  <si>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</si>
  <si>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</si>
  <si>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</si>
  <si>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</si>
  <si>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</si>
  <si>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</si>
  <si>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</si>
  <si>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</si>
  <si>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</si>
  <si>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</si>
  <si>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</si>
  <si>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</si>
  <si>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</si>
  <si>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</si>
  <si>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</si>
  <si>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</si>
  <si>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</si>
  <si>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</si>
  <si>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</si>
  <si>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</si>
  <si>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</si>
  <si>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</si>
  <si>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</si>
  <si>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</si>
  <si>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</si>
  <si>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</si>
  <si>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</si>
  <si>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</si>
  <si>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</si>
  <si>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</si>
  <si>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</si>
  <si>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</si>
  <si>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</si>
  <si>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</si>
  <si>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</si>
  <si>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</si>
  <si>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</si>
  <si>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</si>
  <si>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</si>
  <si>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</si>
  <si>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</si>
  <si>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</si>
  <si>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</si>
  <si>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</si>
  <si>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</si>
  <si>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</si>
  <si>
    <t>Recharge Transport Card (56.800)</t>
  </si>
  <si>
    <t>CDT Banco Santander</t>
  </si>
  <si>
    <t>Vence el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</si>
</sst>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4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164" fontId="0" fillId="2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0" fontId="13" fillId="10" borderId="10" xfId="1" applyFont="1" applyBorder="1" applyAlignment="1">
      <alignment horizontal="center" vertical="center"/>
    </xf>
    <xf numFmtId="16" fontId="13" fillId="10" borderId="10" xfId="1" applyNumberFormat="1" applyFont="1" applyBorder="1" applyAlignment="1">
      <alignment horizontal="center" vertical="center"/>
    </xf>
    <xf numFmtId="1" fontId="13" fillId="10" borderId="10" xfId="1" applyNumberFormat="1" applyFont="1" applyBorder="1" applyAlignment="1">
      <alignment horizontal="center" vertical="center"/>
    </xf>
    <xf numFmtId="0" fontId="19" fillId="24" borderId="7" xfId="4" applyBorder="1" applyAlignment="1">
      <alignment horizontal="center" vertical="center"/>
    </xf>
    <xf numFmtId="16" fontId="19" fillId="24" borderId="7" xfId="4" applyNumberFormat="1" applyBorder="1" applyAlignment="1">
      <alignment horizontal="center" vertical="center"/>
    </xf>
    <xf numFmtId="1" fontId="19" fillId="24" borderId="7" xfId="4" applyNumberFormat="1" applyBorder="1" applyAlignment="1">
      <alignment horizontal="center" vertical="center"/>
    </xf>
    <xf numFmtId="0" fontId="19" fillId="24" borderId="1" xfId="4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26, 2026 to Nov 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1" dataDxfId="60">
  <autoFilter ref="B1:G26" xr:uid="{6D30F8FA-BB4E-4693-A0C5-CD0454701FBA}"/>
  <sortState xmlns:xlrd2="http://schemas.microsoft.com/office/spreadsheetml/2017/richdata2" ref="B2:G25">
    <sortCondition descending="1" ref="F1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activeCell="M8" sqref="M8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6" t="s">
        <v>247</v>
      </c>
      <c r="B1" s="186"/>
      <c r="C1" s="186"/>
      <c r="D1" s="186"/>
      <c r="E1" s="186"/>
      <c r="F1" s="186"/>
      <c r="G1" s="186"/>
      <c r="H1" s="186"/>
      <c r="I1" s="186"/>
      <c r="J1" s="186"/>
    </row>
    <row r="2" spans="1:10" ht="22.2" customHeight="1" x14ac:dyDescent="0.3">
      <c r="A2" s="187" t="s">
        <v>248</v>
      </c>
      <c r="B2" s="187"/>
      <c r="C2" s="187"/>
      <c r="D2" s="187"/>
      <c r="E2" s="187"/>
      <c r="F2" s="187"/>
      <c r="G2" s="187"/>
      <c r="H2" s="187"/>
      <c r="I2" s="187"/>
      <c r="J2" s="187"/>
    </row>
    <row r="4" spans="1:10" ht="24" customHeight="1" x14ac:dyDescent="0.3">
      <c r="A4" s="188" t="s">
        <v>249</v>
      </c>
      <c r="B4" s="188"/>
      <c r="C4" s="188"/>
      <c r="D4" s="188"/>
      <c r="E4" s="188"/>
      <c r="F4" s="188"/>
      <c r="G4" s="188"/>
      <c r="H4" s="188"/>
      <c r="I4" s="188"/>
      <c r="J4" s="188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9"/>
      <c r="B21" s="189"/>
      <c r="C21" s="189"/>
      <c r="D21" s="189"/>
      <c r="E21" s="189"/>
      <c r="F21" s="189"/>
      <c r="G21" s="189"/>
      <c r="H21" s="189"/>
      <c r="I21" s="189"/>
      <c r="J21" s="189"/>
    </row>
    <row r="22" spans="1:10" ht="21" customHeight="1" x14ac:dyDescent="0.3">
      <c r="A22" s="189"/>
      <c r="B22" s="189"/>
      <c r="C22" s="189"/>
      <c r="D22" s="189"/>
      <c r="E22" s="189"/>
      <c r="F22" s="189"/>
      <c r="G22" s="189"/>
      <c r="H22" s="189"/>
      <c r="I22" s="189"/>
      <c r="J22" s="189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0" t="s">
        <v>64</v>
      </c>
      <c r="C2" s="191"/>
      <c r="D2" s="191"/>
      <c r="E2" s="191"/>
      <c r="F2" s="191"/>
      <c r="G2" s="191"/>
      <c r="H2" s="191"/>
      <c r="I2" s="191"/>
      <c r="J2" s="191"/>
      <c r="K2" s="191"/>
      <c r="L2" s="192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78"/>
  <sheetViews>
    <sheetView tabSelected="1" zoomScale="86" zoomScaleNormal="115" workbookViewId="0">
      <pane ySplit="1" topLeftCell="A24" activePane="bottomLeft" state="frozen"/>
      <selection pane="bottomLeft" activeCell="G31" sqref="G3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85" t="s">
        <v>155</v>
      </c>
      <c r="H10" s="185"/>
      <c r="I10" s="185"/>
    </row>
    <row r="11" spans="2:11" ht="15.6" x14ac:dyDescent="0.3">
      <c r="B11" s="183" t="s">
        <v>69</v>
      </c>
      <c r="C11" s="184"/>
      <c r="D11" s="184"/>
      <c r="E11" s="184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3" t="s">
        <v>79</v>
      </c>
      <c r="C16" s="184"/>
      <c r="D16" s="184"/>
      <c r="E16" s="184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3" t="s">
        <v>178</v>
      </c>
      <c r="C21" s="184"/>
      <c r="D21" s="184"/>
      <c r="E21" s="184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3" t="s">
        <v>196</v>
      </c>
      <c r="C25" s="184"/>
      <c r="D25" s="184"/>
      <c r="E25" s="184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2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1" t="s">
        <v>294</v>
      </c>
      <c r="C41" s="172">
        <v>46272</v>
      </c>
      <c r="D41" s="172">
        <v>46278</v>
      </c>
      <c r="E41" s="116">
        <f t="shared" si="3"/>
        <v>7</v>
      </c>
    </row>
    <row r="42" spans="2:5" ht="15" thickBot="1" x14ac:dyDescent="0.35">
      <c r="B42" s="176" t="s">
        <v>295</v>
      </c>
      <c r="C42" s="177">
        <v>46278</v>
      </c>
      <c r="D42" s="177">
        <v>46305</v>
      </c>
      <c r="E42" s="178">
        <f t="shared" si="3"/>
        <v>28</v>
      </c>
    </row>
    <row r="43" spans="2:5" x14ac:dyDescent="0.3">
      <c r="B43" s="108" t="s">
        <v>296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298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297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299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300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301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302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303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08" t="s">
        <v>304</v>
      </c>
      <c r="C51" s="109">
        <v>46278</v>
      </c>
      <c r="D51" s="109">
        <v>46284</v>
      </c>
      <c r="E51" s="115">
        <f t="shared" si="3"/>
        <v>7</v>
      </c>
    </row>
    <row r="52" spans="2:5" x14ac:dyDescent="0.3">
      <c r="B52" s="108" t="s">
        <v>306</v>
      </c>
      <c r="C52" s="109">
        <v>46285</v>
      </c>
      <c r="D52" s="109">
        <v>46291</v>
      </c>
      <c r="E52" s="115">
        <f t="shared" si="3"/>
        <v>7</v>
      </c>
    </row>
    <row r="53" spans="2:5" x14ac:dyDescent="0.3">
      <c r="B53" s="108" t="s">
        <v>305</v>
      </c>
      <c r="C53" s="109">
        <v>46292</v>
      </c>
      <c r="D53" s="109">
        <v>46298</v>
      </c>
      <c r="E53" s="115">
        <f t="shared" si="3"/>
        <v>7</v>
      </c>
    </row>
    <row r="54" spans="2:5" ht="15" thickBot="1" x14ac:dyDescent="0.35">
      <c r="B54" s="112" t="s">
        <v>307</v>
      </c>
      <c r="C54" s="113">
        <v>46299</v>
      </c>
      <c r="D54" s="113">
        <v>46305</v>
      </c>
      <c r="E54" s="114">
        <f t="shared" si="3"/>
        <v>7</v>
      </c>
    </row>
    <row r="55" spans="2:5" x14ac:dyDescent="0.3">
      <c r="B55" s="179" t="s">
        <v>187</v>
      </c>
      <c r="C55" s="180">
        <v>46305</v>
      </c>
      <c r="D55" s="180">
        <v>46305</v>
      </c>
      <c r="E55" s="181">
        <f t="shared" ref="E55:E57" si="4">_xlfn.DAYS(D55, C55)+1</f>
        <v>1</v>
      </c>
    </row>
    <row r="56" spans="2:5" x14ac:dyDescent="0.3">
      <c r="B56" s="182" t="s">
        <v>188</v>
      </c>
      <c r="C56" s="180">
        <v>46312</v>
      </c>
      <c r="D56" s="180">
        <v>46312</v>
      </c>
      <c r="E56" s="181">
        <f t="shared" si="4"/>
        <v>1</v>
      </c>
    </row>
    <row r="57" spans="2:5" x14ac:dyDescent="0.3">
      <c r="B57" s="99" t="s">
        <v>308</v>
      </c>
      <c r="C57" s="100">
        <v>46326</v>
      </c>
      <c r="D57" s="100">
        <v>46326</v>
      </c>
      <c r="E57" s="101">
        <f t="shared" si="4"/>
        <v>1</v>
      </c>
    </row>
    <row r="58" spans="2:5" ht="15" thickBot="1" x14ac:dyDescent="0.35">
      <c r="B58" s="102" t="s">
        <v>309</v>
      </c>
      <c r="C58" s="103">
        <v>46327</v>
      </c>
      <c r="D58" s="103">
        <v>46336</v>
      </c>
      <c r="E58" s="104">
        <f t="shared" si="3"/>
        <v>10</v>
      </c>
    </row>
    <row r="59" spans="2:5" x14ac:dyDescent="0.3">
      <c r="B59" s="105" t="s">
        <v>75</v>
      </c>
      <c r="C59" s="106">
        <v>46146</v>
      </c>
      <c r="D59" s="106">
        <v>46148</v>
      </c>
      <c r="E59" s="107">
        <f t="shared" si="3"/>
        <v>3</v>
      </c>
    </row>
    <row r="60" spans="2:5" x14ac:dyDescent="0.3">
      <c r="B60" s="94" t="s">
        <v>76</v>
      </c>
      <c r="C60" s="89">
        <v>46169</v>
      </c>
      <c r="D60" s="89">
        <v>46169</v>
      </c>
      <c r="E60" s="95">
        <f t="shared" si="3"/>
        <v>1</v>
      </c>
    </row>
    <row r="61" spans="2:5" x14ac:dyDescent="0.3">
      <c r="B61" s="105" t="s">
        <v>78</v>
      </c>
      <c r="C61" s="106">
        <v>46174</v>
      </c>
      <c r="D61" s="106">
        <v>46176</v>
      </c>
      <c r="E61" s="107">
        <f t="shared" si="3"/>
        <v>3</v>
      </c>
    </row>
    <row r="62" spans="2:5" x14ac:dyDescent="0.3">
      <c r="B62" s="105" t="s">
        <v>77</v>
      </c>
      <c r="C62" s="106">
        <v>46197</v>
      </c>
      <c r="D62" s="106">
        <v>46197</v>
      </c>
      <c r="E62" s="107">
        <f t="shared" si="3"/>
        <v>1</v>
      </c>
    </row>
    <row r="63" spans="2:5" ht="15" thickBot="1" x14ac:dyDescent="0.35">
      <c r="B63" s="102" t="s">
        <v>194</v>
      </c>
      <c r="C63" s="103">
        <v>46314</v>
      </c>
      <c r="D63" s="103">
        <v>46316</v>
      </c>
      <c r="E63" s="104">
        <f t="shared" ref="E63:E64" si="5">_xlfn.DAYS(D63, C63)+1</f>
        <v>3</v>
      </c>
    </row>
    <row r="64" spans="2:5" x14ac:dyDescent="0.3">
      <c r="B64" s="79" t="s">
        <v>195</v>
      </c>
      <c r="C64" s="123">
        <v>46337</v>
      </c>
      <c r="D64" s="123">
        <v>46337</v>
      </c>
      <c r="E64" s="124">
        <f t="shared" si="5"/>
        <v>1</v>
      </c>
    </row>
    <row r="65" spans="2:5" x14ac:dyDescent="0.3">
      <c r="B65" s="183" t="s">
        <v>38</v>
      </c>
      <c r="C65" s="184"/>
      <c r="D65" s="184"/>
      <c r="E65" s="184"/>
    </row>
    <row r="66" spans="2:5" x14ac:dyDescent="0.3">
      <c r="B66" s="96" t="s">
        <v>74</v>
      </c>
      <c r="C66" s="85">
        <v>46024</v>
      </c>
      <c r="D66" s="85">
        <v>46053</v>
      </c>
      <c r="E66" s="91">
        <f>_xlfn.DAYS(D66, C66)+1</f>
        <v>30</v>
      </c>
    </row>
    <row r="67" spans="2:5" x14ac:dyDescent="0.3">
      <c r="B67" s="96" t="s">
        <v>72</v>
      </c>
      <c r="C67" s="85">
        <v>46053</v>
      </c>
      <c r="D67" s="85">
        <v>46098</v>
      </c>
      <c r="E67" s="91">
        <f t="shared" ref="E67:E69" si="6">_xlfn.DAYS(D67, C67)+1</f>
        <v>46</v>
      </c>
    </row>
    <row r="68" spans="2:5" x14ac:dyDescent="0.3">
      <c r="B68" s="96" t="s">
        <v>75</v>
      </c>
      <c r="C68" s="85">
        <v>46041</v>
      </c>
      <c r="D68" s="85">
        <v>46069</v>
      </c>
      <c r="E68" s="91">
        <f t="shared" si="6"/>
        <v>29</v>
      </c>
    </row>
    <row r="69" spans="2:5" x14ac:dyDescent="0.3">
      <c r="B69" s="98" t="s">
        <v>76</v>
      </c>
      <c r="C69" s="88">
        <v>46100</v>
      </c>
      <c r="D69" s="88">
        <v>46100</v>
      </c>
      <c r="E69" s="91">
        <f t="shared" si="6"/>
        <v>1</v>
      </c>
    </row>
    <row r="70" spans="2:5" x14ac:dyDescent="0.3">
      <c r="B70" s="94" t="s">
        <v>78</v>
      </c>
      <c r="C70" s="89">
        <v>46139</v>
      </c>
      <c r="D70" s="89">
        <v>46165</v>
      </c>
      <c r="E70" s="90">
        <f>_xlfn.DAYS(D70, C70)+1</f>
        <v>27</v>
      </c>
    </row>
    <row r="71" spans="2:5" x14ac:dyDescent="0.3">
      <c r="B71" s="94" t="s">
        <v>77</v>
      </c>
      <c r="C71" s="89">
        <v>46191</v>
      </c>
      <c r="D71" s="89">
        <v>46191</v>
      </c>
      <c r="E71" s="90">
        <f>_xlfn.DAYS(D71, C71)+1</f>
        <v>1</v>
      </c>
    </row>
    <row r="72" spans="2:5" x14ac:dyDescent="0.3">
      <c r="B72" s="183" t="s">
        <v>83</v>
      </c>
      <c r="C72" s="184"/>
      <c r="D72" s="184"/>
      <c r="E72" s="184"/>
    </row>
    <row r="73" spans="2:5" x14ac:dyDescent="0.3">
      <c r="B73" s="57" t="s">
        <v>71</v>
      </c>
      <c r="C73" s="31"/>
      <c r="D73" s="31"/>
      <c r="E73" s="87">
        <f>_xlfn.DAYS(D73, C73)+1</f>
        <v>1</v>
      </c>
    </row>
    <row r="74" spans="2:5" x14ac:dyDescent="0.3">
      <c r="B74" s="57" t="s">
        <v>72</v>
      </c>
      <c r="C74" s="31"/>
      <c r="D74" s="31"/>
      <c r="E74" s="87">
        <f t="shared" ref="E74:E78" si="7">_xlfn.DAYS(D74, C74)+1</f>
        <v>1</v>
      </c>
    </row>
    <row r="75" spans="2:5" x14ac:dyDescent="0.3">
      <c r="B75" s="57" t="s">
        <v>75</v>
      </c>
      <c r="C75" s="31"/>
      <c r="D75" s="31"/>
      <c r="E75" s="87">
        <f t="shared" si="7"/>
        <v>1</v>
      </c>
    </row>
    <row r="76" spans="2:5" x14ac:dyDescent="0.3">
      <c r="B76" s="57" t="s">
        <v>76</v>
      </c>
      <c r="C76" s="31"/>
      <c r="D76" s="31"/>
      <c r="E76" s="87">
        <f t="shared" si="7"/>
        <v>1</v>
      </c>
    </row>
    <row r="77" spans="2:5" x14ac:dyDescent="0.3">
      <c r="B77" s="57" t="s">
        <v>78</v>
      </c>
      <c r="C77" s="31"/>
      <c r="D77" s="31"/>
      <c r="E77" s="87">
        <f t="shared" si="7"/>
        <v>1</v>
      </c>
    </row>
    <row r="78" spans="2:5" x14ac:dyDescent="0.3">
      <c r="B78" s="57" t="s">
        <v>77</v>
      </c>
      <c r="C78" s="31"/>
      <c r="D78" s="31"/>
      <c r="E78" s="87">
        <f t="shared" si="7"/>
        <v>1</v>
      </c>
    </row>
  </sheetData>
  <mergeCells count="7">
    <mergeCell ref="B25:E25"/>
    <mergeCell ref="B65:E65"/>
    <mergeCell ref="B72:E72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287</v>
      </c>
      <c r="I4" s="11" t="s">
        <v>287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288</v>
      </c>
      <c r="I5" s="26" t="s">
        <v>312</v>
      </c>
      <c r="J5" s="41"/>
      <c r="K5" s="42"/>
    </row>
    <row r="6" spans="3:11" ht="57" x14ac:dyDescent="0.3">
      <c r="C6" s="13" t="s">
        <v>26</v>
      </c>
      <c r="D6" s="13" t="s">
        <v>254</v>
      </c>
      <c r="E6" s="13" t="s">
        <v>265</v>
      </c>
      <c r="F6" s="13" t="s">
        <v>26</v>
      </c>
      <c r="G6" s="13" t="s">
        <v>26</v>
      </c>
      <c r="H6" s="169" t="s">
        <v>289</v>
      </c>
      <c r="I6" s="27" t="s">
        <v>313</v>
      </c>
      <c r="J6" s="41"/>
      <c r="K6" s="42"/>
    </row>
    <row r="7" spans="3:11" ht="41.4" x14ac:dyDescent="0.3">
      <c r="C7" s="14" t="s">
        <v>27</v>
      </c>
      <c r="D7" s="14" t="s">
        <v>255</v>
      </c>
      <c r="E7" s="14" t="s">
        <v>266</v>
      </c>
      <c r="F7" s="14" t="s">
        <v>270</v>
      </c>
      <c r="G7" s="14" t="s">
        <v>27</v>
      </c>
      <c r="H7" s="10" t="s">
        <v>290</v>
      </c>
      <c r="I7" s="28" t="s">
        <v>315</v>
      </c>
      <c r="J7" s="41"/>
      <c r="K7" s="42"/>
    </row>
    <row r="8" spans="3:11" ht="41.4" x14ac:dyDescent="0.3">
      <c r="C8" s="15" t="s">
        <v>276</v>
      </c>
      <c r="D8" s="15" t="s">
        <v>253</v>
      </c>
      <c r="E8" s="15" t="s">
        <v>16</v>
      </c>
      <c r="F8" s="15" t="s">
        <v>275</v>
      </c>
      <c r="G8" s="15" t="s">
        <v>276</v>
      </c>
      <c r="H8" s="2" t="s">
        <v>291</v>
      </c>
      <c r="I8" s="27" t="s">
        <v>316</v>
      </c>
      <c r="J8" s="41"/>
      <c r="K8" s="42"/>
    </row>
    <row r="9" spans="3:11" ht="41.4" x14ac:dyDescent="0.3">
      <c r="C9" s="14" t="s">
        <v>277</v>
      </c>
      <c r="D9" s="14" t="s">
        <v>286</v>
      </c>
      <c r="E9" s="14" t="s">
        <v>163</v>
      </c>
      <c r="F9" s="14" t="s">
        <v>278</v>
      </c>
      <c r="G9" s="14" t="s">
        <v>278</v>
      </c>
      <c r="H9" s="10" t="s">
        <v>292</v>
      </c>
      <c r="I9" s="28" t="s">
        <v>140</v>
      </c>
      <c r="J9" s="41"/>
      <c r="K9" s="42"/>
    </row>
    <row r="10" spans="3:11" ht="41.4" x14ac:dyDescent="0.3">
      <c r="C10" s="15" t="s">
        <v>250</v>
      </c>
      <c r="D10" s="15" t="s">
        <v>164</v>
      </c>
      <c r="E10" s="15" t="s">
        <v>164</v>
      </c>
      <c r="F10" s="15" t="s">
        <v>271</v>
      </c>
      <c r="G10" s="15" t="s">
        <v>250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251</v>
      </c>
      <c r="D11" s="10" t="s">
        <v>165</v>
      </c>
      <c r="E11" s="10" t="s">
        <v>165</v>
      </c>
      <c r="F11" s="10" t="s">
        <v>272</v>
      </c>
      <c r="G11" s="10" t="s">
        <v>251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282</v>
      </c>
      <c r="D12" s="2" t="s">
        <v>285</v>
      </c>
      <c r="E12" s="2" t="s">
        <v>285</v>
      </c>
      <c r="F12" s="2" t="s">
        <v>282</v>
      </c>
      <c r="G12" s="2" t="s">
        <v>282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281</v>
      </c>
      <c r="D13" s="14" t="s">
        <v>281</v>
      </c>
      <c r="E13" s="14" t="s">
        <v>281</v>
      </c>
      <c r="F13" s="14" t="s">
        <v>283</v>
      </c>
      <c r="G13" s="14" t="s">
        <v>281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273</v>
      </c>
      <c r="G14" s="2" t="s">
        <v>19</v>
      </c>
      <c r="H14" s="2" t="s">
        <v>161</v>
      </c>
      <c r="I14" s="167" t="s">
        <v>279</v>
      </c>
      <c r="J14" s="41"/>
      <c r="K14" s="42"/>
    </row>
    <row r="15" spans="3:11" ht="41.4" x14ac:dyDescent="0.3">
      <c r="C15" s="10" t="s">
        <v>252</v>
      </c>
      <c r="D15" s="10" t="s">
        <v>256</v>
      </c>
      <c r="E15" s="10" t="s">
        <v>252</v>
      </c>
      <c r="F15" s="10" t="s">
        <v>274</v>
      </c>
      <c r="G15" s="10" t="s">
        <v>252</v>
      </c>
      <c r="H15" s="10" t="s">
        <v>22</v>
      </c>
      <c r="I15" s="168" t="s">
        <v>314</v>
      </c>
      <c r="J15" s="41"/>
      <c r="K15" s="42"/>
    </row>
    <row r="16" spans="3:11" ht="41.4" x14ac:dyDescent="0.3">
      <c r="C16" s="16" t="s">
        <v>279</v>
      </c>
      <c r="D16" s="16" t="s">
        <v>257</v>
      </c>
      <c r="E16" s="16" t="s">
        <v>267</v>
      </c>
      <c r="F16" s="16" t="s">
        <v>284</v>
      </c>
      <c r="G16" s="16" t="s">
        <v>279</v>
      </c>
      <c r="H16" s="7"/>
      <c r="I16" s="2" t="s">
        <v>161</v>
      </c>
      <c r="J16" s="41"/>
      <c r="K16" s="42"/>
    </row>
    <row r="17" spans="2:11" ht="41.4" x14ac:dyDescent="0.3">
      <c r="C17" s="12" t="s">
        <v>280</v>
      </c>
      <c r="D17" s="12" t="s">
        <v>258</v>
      </c>
      <c r="E17" s="12" t="s">
        <v>268</v>
      </c>
      <c r="F17" s="12" t="s">
        <v>21</v>
      </c>
      <c r="G17" s="12" t="s">
        <v>280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260</v>
      </c>
      <c r="E18" s="13" t="s">
        <v>269</v>
      </c>
      <c r="F18" s="13" t="s">
        <v>262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259</v>
      </c>
      <c r="E19" s="14" t="s">
        <v>161</v>
      </c>
      <c r="F19" s="14" t="s">
        <v>263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261</v>
      </c>
      <c r="E20" s="15" t="s">
        <v>22</v>
      </c>
      <c r="F20" s="15" t="s">
        <v>264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262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263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264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85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232</v>
      </c>
      <c r="J89" s="141" t="s">
        <v>231</v>
      </c>
      <c r="K89" s="141" t="s">
        <v>231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232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232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232</v>
      </c>
      <c r="E93" s="141" t="s">
        <v>232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232</v>
      </c>
      <c r="L93" s="141" t="s">
        <v>232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232</v>
      </c>
      <c r="E94" s="141" t="s">
        <v>232</v>
      </c>
      <c r="F94" s="141" t="s">
        <v>231</v>
      </c>
      <c r="G94" s="141" t="s">
        <v>231</v>
      </c>
      <c r="H94" s="141" t="s">
        <v>231</v>
      </c>
      <c r="I94" s="141" t="s">
        <v>232</v>
      </c>
      <c r="J94" s="141" t="s">
        <v>231</v>
      </c>
      <c r="K94" s="141" t="s">
        <v>232</v>
      </c>
      <c r="L94" s="141" t="s">
        <v>232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232</v>
      </c>
      <c r="L95" s="141" t="s">
        <v>232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232</v>
      </c>
      <c r="D96" s="141" t="s">
        <v>232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232</v>
      </c>
      <c r="L96" s="141" t="s">
        <v>232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232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232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232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232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232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232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232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232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232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232</v>
      </c>
      <c r="L101" s="141" t="s">
        <v>232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>
      <selection activeCell="A6" sqref="A6"/>
    </sheetView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v>1.583</v>
      </c>
      <c r="I3" s="163">
        <f>_xlfn.NUMBERVALUE(LEFT(Schedule!G26,FIND(" ",Schedule!G26)-1),",",".")</f>
        <v>1.583</v>
      </c>
      <c r="J3" s="163">
        <v>1.583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0</v>
      </c>
      <c r="M3" s="148">
        <f ca="1">TODAY()-WEEKDAY(TODAY(),2)+1</f>
        <v>46321</v>
      </c>
      <c r="N3" s="148">
        <f ca="1">TODAY()-WEEKDAY(TODAY(),2)+7</f>
        <v>46327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26, 2026 to Nov 1,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5</v>
      </c>
      <c r="M4" s="148">
        <f t="shared" ref="M4:M9" ca="1" si="0">TODAY()-WEEKDAY(TODAY(),2)+1</f>
        <v>46321</v>
      </c>
      <c r="N4" s="148">
        <f t="shared" ref="N4:N9" ca="1" si="1">TODAY()-WEEKDAY(TODAY(),2)+7</f>
        <v>46327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</v>
      </c>
      <c r="M5" s="148">
        <f t="shared" ca="1" si="0"/>
        <v>46321</v>
      </c>
      <c r="N5" s="148">
        <f t="shared" ca="1" si="1"/>
        <v>46327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46321</v>
      </c>
      <c r="N6" s="148">
        <f t="shared" ca="1" si="1"/>
        <v>46327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</v>
      </c>
      <c r="M7" s="148">
        <f t="shared" ca="1" si="0"/>
        <v>46321</v>
      </c>
      <c r="N7" s="148">
        <f t="shared" ca="1" si="1"/>
        <v>46327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0</v>
      </c>
      <c r="M8" s="148">
        <f t="shared" ca="1" si="0"/>
        <v>46321</v>
      </c>
      <c r="N8" s="148">
        <f t="shared" ca="1" si="1"/>
        <v>46327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46321</v>
      </c>
      <c r="N9" s="148">
        <f t="shared" ca="1" si="1"/>
        <v>46327</v>
      </c>
    </row>
    <row r="10" spans="3:15" x14ac:dyDescent="0.3">
      <c r="C10" s="149" t="s">
        <v>293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2</v>
      </c>
      <c r="M10" s="170">
        <f ca="1">TODAY()-WEEKDAY(TODAY(),2)+1</f>
        <v>46321</v>
      </c>
      <c r="N10" s="170">
        <f ca="1">TODAY()-WEEKDAY(TODAY(),2)+7</f>
        <v>46327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3" sqref="B3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237</v>
      </c>
      <c r="C3" s="55" t="s">
        <v>141</v>
      </c>
      <c r="D3" s="56">
        <f ca="1">$B$1048562+_xlfn.CEILING.MATH((TODAY()-$B$1048562)/5, 1)*5-5</f>
        <v>46319</v>
      </c>
      <c r="E3" s="56">
        <f ca="1">$B$1048562+_xlfn.CEILING.MATH((TODAY()-$B$1048562)/5, 1)*5</f>
        <v>46324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46319</v>
      </c>
      <c r="E4" s="56">
        <f ca="1">TODAY()+MOD(6-WEEKDAY(TODAY(),2),7)</f>
        <v>46326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46319</v>
      </c>
      <c r="E5" s="56">
        <f ca="1">TODAY()+MOD(6-WEEKDAY(TODAY(),2),7)</f>
        <v>46326</v>
      </c>
    </row>
    <row r="6" spans="2:5" x14ac:dyDescent="0.3">
      <c r="B6" s="55" t="s">
        <v>145</v>
      </c>
      <c r="C6" s="55" t="s">
        <v>147</v>
      </c>
      <c r="D6" s="56">
        <f ca="1">TODAY()+MOD(7-WEEKDAY(TODAY(),2),7)-7</f>
        <v>46320</v>
      </c>
      <c r="E6" s="56">
        <f ca="1">TODAY()+MOD(7-WEEKDAY(TODAY(),2),7)</f>
        <v>46327</v>
      </c>
    </row>
    <row r="7" spans="2:5" x14ac:dyDescent="0.3">
      <c r="B7" s="55" t="s">
        <v>146</v>
      </c>
      <c r="C7" s="55" t="s">
        <v>147</v>
      </c>
      <c r="D7" s="56">
        <f ca="1">TODAY()+MOD(7-WEEKDAY(TODAY(),2),7)-7</f>
        <v>46320</v>
      </c>
      <c r="E7" s="56">
        <f ca="1">TODAY()+MOD(7-WEEKDAY(TODAY(),2),7)</f>
        <v>46327</v>
      </c>
    </row>
    <row r="8" spans="2:5" x14ac:dyDescent="0.3">
      <c r="B8" s="55" t="s">
        <v>136</v>
      </c>
      <c r="C8" s="55" t="s">
        <v>152</v>
      </c>
      <c r="D8" s="56">
        <f ca="1">$B$1048570+_xlfn.CEILING.MATH((TODAY()-$B$1048570)/40, 1)*40-40</f>
        <v>46287</v>
      </c>
      <c r="E8" s="56">
        <f ca="1">$B$1048570+_xlfn.CEILING.MATH((TODAY()-$B$1048570)/40, 1)*40</f>
        <v>46327</v>
      </c>
    </row>
    <row r="9" spans="2:5" x14ac:dyDescent="0.3">
      <c r="B9" s="55" t="s">
        <v>320</v>
      </c>
      <c r="C9" s="55" t="s">
        <v>190</v>
      </c>
      <c r="D9" s="56">
        <f ca="1">IF(DAY(TODAY())&gt;5,
   DATE(YEAR(TODAY()),MONTH(TODAY()),5),
   DATE(YEAR(TODAY()),MONTH(TODAY())-1,5))</f>
        <v>46300</v>
      </c>
      <c r="E9" s="56">
        <f ca="1">IF(DAY(TODAY())&lt;=5,
   DATE(YEAR(TODAY()),MONTH(TODAY()),5),
   DATE(YEAR(TODAY()),MONTH(TODAY())+1,5))</f>
        <v>46331</v>
      </c>
    </row>
    <row r="10" spans="2:5" x14ac:dyDescent="0.3">
      <c r="B10" s="55" t="s">
        <v>149</v>
      </c>
      <c r="C10" s="55" t="s">
        <v>190</v>
      </c>
      <c r="D10" s="56">
        <f ca="1">IF(DAY(TODAY())&gt;5,
   DATE(YEAR(TODAY()),MONTH(TODAY()),5),
   DATE(YEAR(TODAY()),MONTH(TODAY())-1,5))</f>
        <v>46300</v>
      </c>
      <c r="E10" s="56">
        <f ca="1">IF(DAY(TODAY())&lt;=5,
   DATE(YEAR(TODAY()),MONTH(TODAY()),5),
   DATE(YEAR(TODAY()),MONTH(TODAY())+1,5))</f>
        <v>46331</v>
      </c>
    </row>
    <row r="11" spans="2:5" x14ac:dyDescent="0.3">
      <c r="B11" s="55" t="s">
        <v>130</v>
      </c>
      <c r="C11" s="55" t="s">
        <v>143</v>
      </c>
      <c r="D11" s="56">
        <f ca="1">$B$1048565+_xlfn.CEILING.MATH((TODAY()-$B$1048565)/14, 1)*14-14</f>
        <v>46319</v>
      </c>
      <c r="E11" s="56">
        <f ca="1">$B$1048565+_xlfn.CEILING.MATH((TODAY()-$B$1048565)/14, 1)*14</f>
        <v>46333</v>
      </c>
    </row>
    <row r="12" spans="2:5" x14ac:dyDescent="0.3">
      <c r="B12" s="55" t="s">
        <v>135</v>
      </c>
      <c r="C12" s="55" t="s">
        <v>143</v>
      </c>
      <c r="D12" s="56">
        <f ca="1">$B$1048569+_xlfn.CEILING.MATH((TODAY()-$B$1048569)/14, 1)*14-14</f>
        <v>46319</v>
      </c>
      <c r="E12" s="56">
        <f ca="1">$B$1048569+_xlfn.CEILING.MATH((TODAY()-$B$1048569)/14, 1)*14</f>
        <v>46333</v>
      </c>
    </row>
    <row r="13" spans="2:5" x14ac:dyDescent="0.3">
      <c r="B13" s="55" t="s">
        <v>235</v>
      </c>
      <c r="C13" s="55" t="s">
        <v>236</v>
      </c>
      <c r="D13" s="56">
        <f ca="1">IF(DAY(TODAY())&gt;10,
   DATE(YEAR(TODAY()),MONTH(TODAY()),10),
   DATE(YEAR(TODAY()),MONTH(TODAY())-1,10))</f>
        <v>46305</v>
      </c>
      <c r="E13" s="56">
        <f ca="1">IF(DAY(TODAY())&lt;=10,
   DATE(YEAR(TODAY()),MONTH(TODAY()),10),
   DATE(YEAR(TODAY()),MONTH(TODAY())+1,10))</f>
        <v>46336</v>
      </c>
    </row>
    <row r="14" spans="2:5" x14ac:dyDescent="0.3">
      <c r="B14" s="55" t="s">
        <v>321</v>
      </c>
      <c r="C14" s="55" t="s">
        <v>153</v>
      </c>
      <c r="D14" s="56">
        <f ca="1">$B$1048576+_xlfn.CEILING.MATH((TODAY()-$B$1048576)/21, 1)*21-21</f>
        <v>46316</v>
      </c>
      <c r="E14" s="56">
        <f ca="1">$B$1048576+_xlfn.CEILING.MATH((TODAY()-$B$1048576)/21, 1)*21</f>
        <v>46337</v>
      </c>
    </row>
    <row r="15" spans="2:5" x14ac:dyDescent="0.3">
      <c r="B15" s="55" t="s">
        <v>132</v>
      </c>
      <c r="C15" s="55" t="s">
        <v>151</v>
      </c>
      <c r="D15" s="56">
        <f ca="1">$B$1048568+_xlfn.CEILING.MATH((TODAY()-$B$1048568)/90, 1)*90-90</f>
        <v>46247</v>
      </c>
      <c r="E15" s="56">
        <f ca="1">$B$1048568+_xlfn.CEILING.MATH((TODAY()-$B$1048568)/90, 1)*90</f>
        <v>46337</v>
      </c>
    </row>
    <row r="16" spans="2:5" x14ac:dyDescent="0.3">
      <c r="B16" s="55" t="s">
        <v>238</v>
      </c>
      <c r="C16" s="55" t="s">
        <v>144</v>
      </c>
      <c r="D16" s="56">
        <f ca="1">IF(DAY(TODAY())&gt;15,
   DATE(YEAR(TODAY()),MONTH(TODAY()),15),
   DATE(YEAR(TODAY()),MONTH(TODAY())-1,15))</f>
        <v>46310</v>
      </c>
      <c r="E16" s="56">
        <f ca="1">IF(DAY(TODAY())&lt;=15,
   DATE(YEAR(TODAY()),MONTH(TODAY()),15),
   DATE(YEAR(TODAY()),MONTH(TODAY())+1,15))</f>
        <v>46341</v>
      </c>
    </row>
    <row r="17" spans="2:5" x14ac:dyDescent="0.3">
      <c r="B17" s="55" t="s">
        <v>131</v>
      </c>
      <c r="C17" s="55" t="s">
        <v>192</v>
      </c>
      <c r="D17" s="56">
        <f ca="1">IF(DAY(TODAY())&gt;23,
   DATE(YEAR(TODAY()),MONTH(TODAY()),23),
   DATE(YEAR(TODAY()),MONTH(TODAY())-1,23))</f>
        <v>46318</v>
      </c>
      <c r="E17" s="56">
        <f ca="1">IF(DAY(TODAY())&lt;=23,
   DATE(YEAR(TODAY()),MONTH(TODAY()),23),
   DATE(YEAR(TODAY()),MONTH(TODAY())+1,23))</f>
        <v>46349</v>
      </c>
    </row>
    <row r="18" spans="2:5" x14ac:dyDescent="0.3">
      <c r="B18" s="55" t="s">
        <v>139</v>
      </c>
      <c r="C18" s="55" t="s">
        <v>154</v>
      </c>
      <c r="D18" s="56">
        <f ca="1">$B$1048571+_xlfn.CEILING.MATH((TODAY()-$B$1048571)/28, 1)*28-28</f>
        <v>46321</v>
      </c>
      <c r="E18" s="56">
        <f ca="1">$B$1048571+_xlfn.CEILING.MATH((TODAY()-$B$1048571)/28, 1)*28</f>
        <v>46349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5" ca="1" si="0">C2 + MAX(0, (30-_xlfn.DAYS(D2, TODAY()))) + (10-E2)</f>
        <v>138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138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137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134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131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130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129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128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128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128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123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123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123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121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121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121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115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115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108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107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107</v>
      </c>
      <c r="G22" s="64"/>
    </row>
    <row r="23" spans="2:7" x14ac:dyDescent="0.3">
      <c r="B23" s="173" t="s">
        <v>317</v>
      </c>
      <c r="C23" s="173">
        <v>5</v>
      </c>
      <c r="D23" s="174">
        <v>46300</v>
      </c>
      <c r="E23" s="173">
        <v>0</v>
      </c>
      <c r="F23" s="173">
        <f t="shared" ca="1" si="0"/>
        <v>68</v>
      </c>
      <c r="G23" s="175"/>
    </row>
    <row r="24" spans="2:7" x14ac:dyDescent="0.3">
      <c r="B24" s="173" t="s">
        <v>311</v>
      </c>
      <c r="C24" s="173">
        <v>5</v>
      </c>
      <c r="D24" s="174">
        <v>46300</v>
      </c>
      <c r="E24" s="173">
        <v>5</v>
      </c>
      <c r="F24" s="173">
        <f t="shared" ca="1" si="0"/>
        <v>63</v>
      </c>
      <c r="G24" s="175" t="s">
        <v>310</v>
      </c>
    </row>
    <row r="25" spans="2:7" x14ac:dyDescent="0.3">
      <c r="B25" s="55" t="s">
        <v>318</v>
      </c>
      <c r="C25" s="55">
        <v>3</v>
      </c>
      <c r="D25" s="56">
        <v>46357</v>
      </c>
      <c r="E25" s="55">
        <v>0</v>
      </c>
      <c r="F25" s="55">
        <f t="shared" ca="1" si="0"/>
        <v>13</v>
      </c>
      <c r="G25" s="64" t="s">
        <v>319</v>
      </c>
    </row>
    <row r="26" spans="2:7" x14ac:dyDescent="0.3">
      <c r="B26" s="55" t="s">
        <v>322</v>
      </c>
      <c r="C26" s="55">
        <v>5</v>
      </c>
      <c r="D26" s="56">
        <v>46405</v>
      </c>
      <c r="E26" s="55">
        <v>0</v>
      </c>
      <c r="F26" s="55">
        <f ca="1">C26 + MAX(0, (30-_xlfn.DAYS(D26, TODAY()))) + (10-E26)</f>
        <v>15</v>
      </c>
      <c r="G26" s="64" t="s">
        <v>323</v>
      </c>
    </row>
  </sheetData>
  <conditionalFormatting sqref="F2:G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122" activePane="bottomRight" state="frozen"/>
      <selection pane="topRight" activeCell="D1" sqref="D1"/>
      <selection pane="bottomLeft" activeCell="A6" sqref="A6"/>
      <selection pane="bottomRight"/>
    </sheetView>
  </sheetViews>
  <sheetFormatPr defaultRowHeight="14.4" x14ac:dyDescent="0.3"/>
  <cols>
    <col min="2" max="2" width="11.44140625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5"/>
      <c r="BO2" s="195"/>
      <c r="BP2" s="195"/>
      <c r="BQ2" s="195"/>
      <c r="BR2" s="195"/>
      <c r="BS2" s="195"/>
      <c r="BT2" s="195"/>
      <c r="BU2" s="195"/>
      <c r="BV2" s="195"/>
      <c r="BW2" s="195"/>
      <c r="BX2" s="195"/>
      <c r="BY2" s="195"/>
      <c r="BZ2" s="195"/>
      <c r="CA2" s="195"/>
      <c r="CB2" s="195"/>
      <c r="CC2" s="195"/>
      <c r="CD2" s="195"/>
      <c r="CE2" s="195"/>
      <c r="CF2" s="195"/>
      <c r="CG2" s="195"/>
      <c r="CH2" s="195"/>
      <c r="CI2" s="195"/>
      <c r="CJ2" s="195"/>
      <c r="CK2" s="195"/>
      <c r="CL2" s="195"/>
      <c r="CM2" s="195"/>
      <c r="CN2" s="195"/>
      <c r="CO2" s="195"/>
      <c r="CP2" s="195"/>
      <c r="CQ2" s="195"/>
      <c r="CR2" s="195"/>
      <c r="CS2" s="195"/>
      <c r="CT2" s="195"/>
      <c r="CU2" s="195"/>
      <c r="CV2" s="195"/>
      <c r="CW2" s="195"/>
      <c r="CX2" s="195"/>
      <c r="CY2" s="195"/>
      <c r="CZ2" s="195"/>
      <c r="DA2" s="195"/>
      <c r="DB2" s="195"/>
      <c r="DC2" s="195"/>
      <c r="DD2" s="195"/>
      <c r="DE2" s="195"/>
      <c r="DF2" s="195"/>
      <c r="DG2" s="195"/>
      <c r="DH2" s="195"/>
      <c r="DI2" s="195"/>
      <c r="DJ2" s="195"/>
      <c r="DK2" s="195"/>
      <c r="DL2" s="195"/>
      <c r="DM2" s="195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5"/>
      <c r="GA2" s="195"/>
      <c r="GB2" s="195"/>
      <c r="GC2" s="195"/>
      <c r="GD2" s="195"/>
      <c r="GE2" s="195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7" t="s">
        <v>202</v>
      </c>
      <c r="E4" s="196"/>
      <c r="F4" s="196"/>
      <c r="G4" s="196"/>
      <c r="H4" s="196"/>
      <c r="I4" s="196" t="s">
        <v>203</v>
      </c>
      <c r="J4" s="196"/>
      <c r="K4" s="196"/>
      <c r="L4" s="196"/>
      <c r="M4" s="196"/>
      <c r="N4" s="196" t="s">
        <v>204</v>
      </c>
      <c r="O4" s="196"/>
      <c r="P4" s="196"/>
      <c r="Q4" s="196"/>
      <c r="R4" s="196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199</v>
      </c>
      <c r="E131" s="129"/>
      <c r="F131" s="129"/>
      <c r="G131" s="129">
        <v>120</v>
      </c>
      <c r="H131" s="129" t="str">
        <f t="shared" si="15"/>
        <v>2h0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120</v>
      </c>
      <c r="T131" s="129" t="str">
        <f t="shared" si="14"/>
        <v>2h0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199</v>
      </c>
      <c r="E132" s="129"/>
      <c r="F132" s="129"/>
      <c r="G132" s="129">
        <v>125</v>
      </c>
      <c r="H132" s="129" t="str">
        <f t="shared" si="15"/>
        <v>2h6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125</v>
      </c>
      <c r="T132" s="129" t="str">
        <f t="shared" si="14"/>
        <v>2h6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201</v>
      </c>
      <c r="D3" s="198"/>
      <c r="E3" s="198"/>
      <c r="F3" s="198"/>
      <c r="G3" s="198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2026-10-28T14:23:15Z</dcterms:modified>
</cp:coreProperties>
</file>