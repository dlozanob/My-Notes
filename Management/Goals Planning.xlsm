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MyAssets\My-Notes\Management\"/>
    </mc:Choice>
  </mc:AlternateContent>
  <xr:revisionPtr revIDLastSave="0" documentId="13_ncr:1_{1183A19D-4398-49B4-9D87-8AEBBD3D4E5A}" xr6:coauthVersionLast="47" xr6:coauthVersionMax="47" xr10:uidLastSave="{00000000-0000-0000-0000-000000000000}"/>
  <bookViews>
    <workbookView xWindow="20370" yWindow="-3000" windowWidth="29040" windowHeight="15720" activeTab="7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" i="5" l="1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46" i="11"/>
  <c r="E50" i="11"/>
  <c r="G18" i="11"/>
  <c r="G50" i="11"/>
  <c r="C39" i="11" a="1"/>
  <c r="E5" i="11"/>
  <c r="C57" i="11" a="1"/>
  <c r="G26" i="11"/>
  <c r="E19" i="11"/>
  <c r="E22" i="11"/>
  <c r="F33" i="11"/>
  <c r="F53" i="11"/>
  <c r="F43" i="11"/>
  <c r="F45" i="11"/>
  <c r="G37" i="11"/>
  <c r="D40" i="11"/>
  <c r="E15" i="11"/>
  <c r="C30" i="11" a="1"/>
  <c r="E35" i="11"/>
  <c r="C40" i="11" a="1"/>
  <c r="C28" i="11" a="1"/>
  <c r="G36" i="11"/>
  <c r="C31" i="11" a="1"/>
  <c r="C13" i="11" a="1"/>
  <c r="G42" i="11"/>
  <c r="F41" i="11"/>
  <c r="C45" i="11" a="1"/>
  <c r="G43" i="11"/>
  <c r="G38" i="11"/>
  <c r="C6" i="11" a="1"/>
  <c r="C52" i="11" a="1"/>
  <c r="F57" i="11"/>
  <c r="D57" i="11"/>
  <c r="D55" i="11"/>
  <c r="E17" i="11"/>
  <c r="C9" i="11" a="1"/>
  <c r="F52" i="11"/>
  <c r="G16" i="11"/>
  <c r="G53" i="11"/>
  <c r="D51" i="11"/>
  <c r="E37" i="11"/>
  <c r="C48" i="11" a="1"/>
  <c r="E16" i="11"/>
  <c r="G29" i="11"/>
  <c r="F30" i="11"/>
  <c r="F5" i="11"/>
  <c r="D54" i="11"/>
  <c r="E28" i="11"/>
  <c r="E18" i="11"/>
  <c r="E26" i="11"/>
  <c r="C5" i="11" a="1"/>
  <c r="E45" i="11"/>
  <c r="C14" i="11" a="1"/>
  <c r="F37" i="11"/>
  <c r="C8" i="11" a="1"/>
  <c r="C19" i="11" a="1"/>
  <c r="F19" i="11"/>
  <c r="C26" i="11" a="1"/>
  <c r="E33" i="11"/>
  <c r="C42" i="11" a="1"/>
  <c r="C33" i="11" a="1"/>
  <c r="E34" i="11"/>
  <c r="G57" i="11"/>
  <c r="F55" i="11"/>
  <c r="F48" i="11"/>
  <c r="G31" i="11"/>
  <c r="F21" i="11"/>
  <c r="F32" i="11"/>
  <c r="D27" i="11"/>
  <c r="F39" i="11"/>
  <c r="E40" i="11"/>
  <c r="C25" i="11" a="1"/>
  <c r="D14" i="11"/>
  <c r="D28" i="11"/>
  <c r="G21" i="11"/>
  <c r="D48" i="11"/>
  <c r="G56" i="11"/>
  <c r="C41" i="11" a="1"/>
  <c r="G54" i="11"/>
  <c r="G27" i="11"/>
  <c r="G48" i="11"/>
  <c r="D31" i="11"/>
  <c r="D35" i="11"/>
  <c r="C15" i="11" a="1"/>
  <c r="C51" i="11" a="1"/>
  <c r="G51" i="11"/>
  <c r="E20" i="11"/>
  <c r="G46" i="11"/>
  <c r="D47" i="11"/>
  <c r="E46" i="11"/>
  <c r="C55" i="11" a="1"/>
  <c r="F27" i="11"/>
  <c r="G33" i="11"/>
  <c r="D15" i="11"/>
  <c r="C32" i="11" a="1"/>
  <c r="G15" i="11"/>
  <c r="D20" i="11"/>
  <c r="E38" i="11"/>
  <c r="G5" i="11"/>
  <c r="D16" i="11"/>
  <c r="D42" i="11"/>
  <c r="G19" i="11"/>
  <c r="C10" i="11" a="1"/>
  <c r="E43" i="11"/>
  <c r="E56" i="11"/>
  <c r="C16" i="11" a="1"/>
  <c r="D25" i="11"/>
  <c r="D36" i="11"/>
  <c r="G25" i="11"/>
  <c r="D23" i="11"/>
  <c r="C49" i="11" a="1"/>
  <c r="F40" i="11"/>
  <c r="E21" i="11"/>
  <c r="F14" i="11"/>
  <c r="C46" i="11" a="1"/>
  <c r="F31" i="11"/>
  <c r="D38" i="11"/>
  <c r="E52" i="11"/>
  <c r="G45" i="11"/>
  <c r="E47" i="11"/>
  <c r="D18" i="11"/>
  <c r="E49" i="11"/>
  <c r="E53" i="11"/>
  <c r="C17" i="11" a="1"/>
  <c r="F50" i="11"/>
  <c r="D44" i="11"/>
  <c r="F16" i="11"/>
  <c r="E25" i="11"/>
  <c r="E41" i="11"/>
  <c r="C23" i="11" a="1"/>
  <c r="F36" i="11"/>
  <c r="G23" i="11"/>
  <c r="C11" i="11" a="1"/>
  <c r="F23" i="11"/>
  <c r="C36" i="11" a="1"/>
  <c r="C54" i="11" a="1"/>
  <c r="D37" i="11"/>
  <c r="E51" i="11"/>
  <c r="E29" i="11"/>
  <c r="E14" i="11"/>
  <c r="D34" i="11"/>
  <c r="D43" i="11"/>
  <c r="F26" i="11"/>
  <c r="D29" i="11"/>
  <c r="F20" i="11"/>
  <c r="D49" i="11"/>
  <c r="C34" i="11" a="1"/>
  <c r="D52" i="11"/>
  <c r="E55" i="11"/>
  <c r="D30" i="11"/>
  <c r="E48" i="11"/>
  <c r="D24" i="11"/>
  <c r="G22" i="11"/>
  <c r="C50" i="11" a="1"/>
  <c r="F15" i="11"/>
  <c r="E23" i="11"/>
  <c r="F29" i="11"/>
  <c r="F42" i="11"/>
  <c r="F49" i="11"/>
  <c r="E36" i="11"/>
  <c r="C35" i="11" a="1"/>
  <c r="G32" i="11"/>
  <c r="F46" i="11"/>
  <c r="G14" i="11"/>
  <c r="D26" i="11"/>
  <c r="F22" i="11"/>
  <c r="D17" i="11"/>
  <c r="F51" i="11"/>
  <c r="C29" i="11" a="1"/>
  <c r="E42" i="11"/>
  <c r="G55" i="11"/>
  <c r="E57" i="11"/>
  <c r="G41" i="11"/>
  <c r="G49" i="11"/>
  <c r="F47" i="11"/>
  <c r="G52" i="11"/>
  <c r="G20" i="11"/>
  <c r="D53" i="11"/>
  <c r="F56" i="11"/>
  <c r="E44" i="11"/>
  <c r="E54" i="11"/>
  <c r="D41" i="11"/>
  <c r="C37" i="11" a="1"/>
  <c r="F18" i="11"/>
  <c r="C12" i="11" a="1"/>
  <c r="C7" i="11" a="1"/>
  <c r="E39" i="11"/>
  <c r="D22" i="11"/>
  <c r="E24" i="11"/>
  <c r="G35" i="11"/>
  <c r="D21" i="11"/>
  <c r="E27" i="11"/>
  <c r="D32" i="11"/>
  <c r="G47" i="11"/>
  <c r="G44" i="11"/>
  <c r="C20" i="11" a="1"/>
  <c r="G28" i="11"/>
  <c r="D19" i="11"/>
  <c r="F44" i="11"/>
  <c r="C47" i="11" a="1"/>
  <c r="C18" i="11" a="1"/>
  <c r="D33" i="11"/>
  <c r="G17" i="11"/>
  <c r="F35" i="11"/>
  <c r="F34" i="11"/>
  <c r="E30" i="11"/>
  <c r="D45" i="11"/>
  <c r="F28" i="11"/>
  <c r="E31" i="11"/>
  <c r="G34" i="11"/>
  <c r="C53" i="11" a="1"/>
  <c r="D50" i="11"/>
  <c r="F54" i="11"/>
  <c r="F25" i="11"/>
  <c r="C38" i="11" a="1"/>
  <c r="C22" i="11" a="1"/>
  <c r="D5" i="11"/>
  <c r="C44" i="11" a="1"/>
  <c r="C24" i="11" a="1"/>
  <c r="C56" i="11" a="1"/>
  <c r="C21" i="11" a="1"/>
  <c r="G30" i="11"/>
  <c r="F38" i="11"/>
  <c r="F24" i="11"/>
  <c r="D39" i="11"/>
  <c r="E32" i="11"/>
  <c r="G39" i="11"/>
  <c r="D56" i="11"/>
  <c r="G40" i="11"/>
  <c r="G24" i="11"/>
  <c r="F17" i="11"/>
  <c r="C43" i="11" a="1"/>
  <c r="C27" i="11" a="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E8" i="11"/>
  <c r="G9" i="11"/>
  <c r="D12" i="11"/>
  <c r="F10" i="11"/>
  <c r="G8" i="11"/>
  <c r="D13" i="11"/>
  <c r="F7" i="11" s="1"/>
  <c r="D8" i="11"/>
  <c r="E10" i="11"/>
  <c r="D11" i="11"/>
  <c r="E9" i="11"/>
  <c r="F12" i="11"/>
  <c r="F9" i="11"/>
  <c r="G12" i="11"/>
  <c r="E13" i="11"/>
  <c r="D9" i="11"/>
  <c r="E11" i="11"/>
  <c r="G11" i="11"/>
  <c r="G10" i="11"/>
  <c r="F8" i="11"/>
  <c r="F11" i="11"/>
  <c r="G13" i="11"/>
  <c r="D10" i="11"/>
  <c r="F13" i="11"/>
  <c r="E12" i="11"/>
  <c r="E4" i="7" l="1"/>
  <c r="E18" i="7"/>
  <c r="E3" i="7"/>
  <c r="E16" i="7"/>
  <c r="D16" i="7"/>
  <c r="G7" i="11"/>
  <c r="E7" i="11"/>
  <c r="D7" i="11"/>
  <c r="F21" i="5" l="1"/>
  <c r="F22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5" i="7"/>
  <c r="E14" i="7"/>
  <c r="B10" i="8" l="1"/>
  <c r="C9" i="8"/>
  <c r="A8" i="1"/>
  <c r="B8" i="1" s="1"/>
  <c r="D4" i="7"/>
  <c r="D17" i="7"/>
  <c r="D14" i="7"/>
  <c r="D15" i="7"/>
  <c r="D3" i="7"/>
  <c r="D18" i="7"/>
  <c r="D12" i="7"/>
  <c r="D13" i="7"/>
  <c r="D5" i="7"/>
  <c r="D11" i="7"/>
  <c r="D10" i="7"/>
  <c r="D9" i="7"/>
  <c r="D8" i="7"/>
  <c r="D7" i="7"/>
  <c r="D6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8" i="7"/>
  <c r="E9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3" i="7"/>
  <c r="E11" i="7"/>
  <c r="E10" i="7"/>
  <c r="E7" i="7"/>
  <c r="E6" i="7"/>
  <c r="E17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G6" i="11"/>
  <c r="D6" i="11"/>
  <c r="E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<sst xmlns="http://schemas.openxmlformats.org/spreadsheetml/2006/main" count="5220" uniqueCount="322">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</sst>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21, 2026 to Sep 27,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1.583</c:v>
                </c:pt>
                <c:pt idx="1">
                  <c:v>3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7" dataDxfId="96">
  <autoFilter ref="A1:L368" xr:uid="{B8EDE20C-CB7F-4EF3-B4C7-DEE7F6A4F11C}"/>
  <tableColumns count="12">
    <tableColumn id="1" xr3:uid="{AC74041C-0D51-466A-8989-E76B8DEFD438}" name="Date" dataDxfId="95"/>
    <tableColumn id="2" xr3:uid="{0AD3397B-F72F-4A30-A7C9-1258DE821AD0}" name="Day" dataDxfId="94">
      <calculatedColumnFormula>CHOOSE(WEEKDAY(A2,2),"Monday","Tuesday","Wednesday","Thursday","Friday","Saturday","Sunday")</calculatedColumnFormula>
    </tableColumn>
    <tableColumn id="3" xr3:uid="{5962303B-7BAF-451A-AFDE-BEBC012C72A8}" name="Gym Training" dataDxfId="93"/>
    <tableColumn id="4" xr3:uid="{24CAEC62-68E5-4280-AAAB-EE68058C65AC}" name="Deutsch Lernen" dataDxfId="92"/>
    <tableColumn id="5" xr3:uid="{29713649-9C40-4A41-AA9B-38F1D74948C1}" name="Deutsch Flashcards (20 min)" dataDxfId="91"/>
    <tableColumn id="6" xr3:uid="{37486B5C-4C23-43D9-8735-09EB742C21A8}" name="Tasks" dataDxfId="90"/>
    <tableColumn id="7" xr3:uid="{3034ABE1-AAEC-417D-AA07-BA607F90D21A}" name="Career Development" dataDxfId="89"/>
    <tableColumn id="8" xr3:uid="{B60BDB65-58C4-4074-A625-D7DC35E6DEB0}" name="Calisthenics" dataDxfId="88"/>
    <tableColumn id="9" xr3:uid="{E419CAC6-0EDA-4339-9D8B-745FCBCD1397}" name="Kung Fu Training" dataDxfId="87"/>
    <tableColumn id="10" xr3:uid="{CC58E3C5-5764-4B28-A387-5DAB2E7CE225}" name="Guitar Practice" dataDxfId="86"/>
    <tableColumn id="11" xr3:uid="{C6972EC0-9D21-4990-9D11-F65D73DE82EF}" name="No Scrolling" dataDxfId="85"/>
    <tableColumn id="12" xr3:uid="{16D58CC7-4101-4A5E-9AB5-2C4C10C8DB88}" name="No Videogames" dataDxfId="8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3" dataDxfId="82" tableBorderDxfId="81">
  <autoFilter ref="C2:N10" xr:uid="{7362C473-E08F-4975-BA6B-A1DBE7616197}"/>
  <tableColumns count="12">
    <tableColumn id="1" xr3:uid="{F9B0BAAF-006E-476C-B218-FD4598D0501D}" name="Activity" dataDxfId="80"/>
    <tableColumn id="2" xr3:uid="{660ADDE9-88BA-4530-B394-7F5384C7B677}" name="Count" dataDxfId="79"/>
    <tableColumn id="3" xr3:uid="{C0DC861A-3B3F-4C70-9AE6-F67AA6D3D0C6}" name="Monday" dataDxfId="78"/>
    <tableColumn id="4" xr3:uid="{DA5B8548-6DD9-445D-9722-197202CA6AD9}" name="Tuesday" dataDxfId="77"/>
    <tableColumn id="5" xr3:uid="{3722C7D1-49D8-4742-B0CD-BF746C712E01}" name="Wednesday" dataDxfId="76"/>
    <tableColumn id="6" xr3:uid="{2387A70D-C48D-4A82-9C54-7259B7D6C857}" name="Thursday" dataDxfId="75"/>
    <tableColumn id="7" xr3:uid="{FA6FA3AE-EA62-41B3-8671-2919F7110155}" name="Friday" dataDxfId="74"/>
    <tableColumn id="8" xr3:uid="{326131E1-9AFE-4C5F-8C82-58C6BAA02C46}" name="Saturday" dataDxfId="73"/>
    <tableColumn id="9" xr3:uid="{7B473873-766C-48EF-AB58-9EC3902C799C}" name="Sunday" dataDxfId="72"/>
    <tableColumn id="10" xr3:uid="{4E7596FA-D42A-4A12-B855-35E0C1EF8F08}" name="Weekly Hours" dataDxfId="71"/>
    <tableColumn id="11" xr3:uid="{EB378DAD-B8B8-4DD9-B8E2-5A8C60B22432}" name="Week Start" dataDxfId="70">
      <calculatedColumnFormula>TODAY()-WEEKDAY(TODAY(),2)+1</calculatedColumnFormula>
    </tableColumn>
    <tableColumn id="12" xr3:uid="{06B03854-E6C1-4AA5-A148-1ED7A029477F}" name="Week End" dataDxfId="69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8" dataDxfId="67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6"/>
    <tableColumn id="2" xr3:uid="{01AABBA1-86AF-4CDD-8059-B6B90931FA25}" name="Frequency" dataDxfId="65"/>
    <tableColumn id="4" xr3:uid="{7E9972C0-1274-4C43-9D4F-294C74FAC42E}" name="Previous Check" dataDxfId="64"/>
    <tableColumn id="3" xr3:uid="{FF1D2EE6-735A-4AB4-9038-F2B4580252C7}" name="Next Check" dataDxfId="63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2" dataDxfId="61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C3 + MAX(0, (30-_xlfn.DAYS(D3, TODAY()))) + (10-E3)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5" x14ac:dyDescent="0.25"/>
  <cols>
    <col min="1" max="1" width="4.42578125" customWidth="1"/>
    <col min="2" max="5" width="13.28515625" customWidth="1"/>
    <col min="6" max="6" width="4.42578125" customWidth="1"/>
    <col min="7" max="10" width="13.28515625" customWidth="1"/>
  </cols>
  <sheetData>
    <row r="1" spans="1:10" ht="31.9" customHeight="1" x14ac:dyDescent="0.25">
      <c r="A1" s="188" t="s">
        <v>247</v>
      </c>
      <c r="B1" s="188"/>
      <c r="C1" s="188"/>
      <c r="D1" s="188"/>
      <c r="E1" s="188"/>
      <c r="F1" s="188"/>
      <c r="G1" s="188"/>
      <c r="H1" s="188"/>
      <c r="I1" s="188"/>
      <c r="J1" s="188"/>
    </row>
    <row r="2" spans="1:10" ht="22.15" customHeight="1" x14ac:dyDescent="0.25">
      <c r="A2" s="189" t="s">
        <v>248</v>
      </c>
      <c r="B2" s="189"/>
      <c r="C2" s="189"/>
      <c r="D2" s="189"/>
      <c r="E2" s="189"/>
      <c r="F2" s="189"/>
      <c r="G2" s="189"/>
      <c r="H2" s="189"/>
      <c r="I2" s="189"/>
      <c r="J2" s="189"/>
    </row>
    <row r="4" spans="1:10" ht="24" customHeight="1" x14ac:dyDescent="0.25">
      <c r="A4" s="190" t="s">
        <v>249</v>
      </c>
      <c r="B4" s="190"/>
      <c r="C4" s="190"/>
      <c r="D4" s="190"/>
      <c r="E4" s="190"/>
      <c r="F4" s="190"/>
      <c r="G4" s="190"/>
      <c r="H4" s="190"/>
      <c r="I4" s="190"/>
      <c r="J4" s="190"/>
    </row>
    <row r="5" spans="1:10" ht="22.15" customHeight="1" x14ac:dyDescent="0.25"/>
    <row r="6" spans="1:10" ht="22.15" customHeight="1" x14ac:dyDescent="0.25"/>
    <row r="7" spans="1:10" ht="22.15" customHeight="1" x14ac:dyDescent="0.25"/>
    <row r="8" spans="1:10" ht="12" customHeight="1" x14ac:dyDescent="0.25"/>
    <row r="9" spans="1:10" ht="22.15" customHeight="1" x14ac:dyDescent="0.25"/>
    <row r="10" spans="1:10" ht="22.15" customHeight="1" x14ac:dyDescent="0.25"/>
    <row r="11" spans="1:10" ht="22.15" customHeight="1" x14ac:dyDescent="0.25"/>
    <row r="12" spans="1:10" ht="12" customHeight="1" x14ac:dyDescent="0.25"/>
    <row r="13" spans="1:10" ht="22.15" customHeight="1" x14ac:dyDescent="0.25"/>
    <row r="14" spans="1:10" ht="22.15" customHeight="1" x14ac:dyDescent="0.25"/>
    <row r="15" spans="1:10" ht="22.15" customHeight="1" x14ac:dyDescent="0.25"/>
    <row r="16" spans="1:10" ht="12" customHeight="1" x14ac:dyDescent="0.25"/>
    <row r="17" spans="1:10" ht="22.15" customHeight="1" x14ac:dyDescent="0.25"/>
    <row r="18" spans="1:10" ht="22.15" customHeight="1" x14ac:dyDescent="0.25"/>
    <row r="19" spans="1:10" ht="22.15" customHeight="1" x14ac:dyDescent="0.25"/>
    <row r="20" spans="1:10" ht="12" customHeight="1" x14ac:dyDescent="0.25"/>
    <row r="21" spans="1:10" ht="21" customHeight="1" x14ac:dyDescent="0.25">
      <c r="A21" s="191"/>
      <c r="B21" s="191"/>
      <c r="C21" s="191"/>
      <c r="D21" s="191"/>
      <c r="E21" s="191"/>
      <c r="F21" s="191"/>
      <c r="G21" s="191"/>
      <c r="H21" s="191"/>
      <c r="I21" s="191"/>
      <c r="J21" s="191"/>
    </row>
    <row r="22" spans="1:10" ht="21" customHeight="1" x14ac:dyDescent="0.25">
      <c r="A22" s="191"/>
      <c r="B22" s="191"/>
      <c r="C22" s="191"/>
      <c r="D22" s="191"/>
      <c r="E22" s="191"/>
      <c r="F22" s="191"/>
      <c r="G22" s="191"/>
      <c r="H22" s="191"/>
      <c r="I22" s="191"/>
      <c r="J22" s="191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2578125" defaultRowHeight="15" x14ac:dyDescent="0.25"/>
  <cols>
    <col min="1" max="3" width="11.42578125" style="1"/>
    <col min="4" max="4" width="19" style="1" bestFit="1" customWidth="1"/>
    <col min="5" max="6" width="11.42578125" style="1"/>
    <col min="7" max="7" width="36.5703125" style="1" bestFit="1" customWidth="1"/>
    <col min="8" max="9" width="11.42578125" style="1"/>
    <col min="10" max="10" width="26.85546875" style="1" bestFit="1" customWidth="1"/>
    <col min="11" max="16384" width="11.42578125" style="1"/>
  </cols>
  <sheetData>
    <row r="1" spans="2:12" ht="15.75" thickBot="1" x14ac:dyDescent="0.3"/>
    <row r="2" spans="2:12" ht="29.25" thickBot="1" x14ac:dyDescent="0.3">
      <c r="B2" s="192" t="s">
        <v>64</v>
      </c>
      <c r="C2" s="193"/>
      <c r="D2" s="193"/>
      <c r="E2" s="193"/>
      <c r="F2" s="193"/>
      <c r="G2" s="193"/>
      <c r="H2" s="193"/>
      <c r="I2" s="193"/>
      <c r="J2" s="193"/>
      <c r="K2" s="193"/>
      <c r="L2" s="194"/>
    </row>
    <row r="3" spans="2:12" x14ac:dyDescent="0.25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25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25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25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25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25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25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25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25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25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25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25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25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25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25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25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25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25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25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25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25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.75" thickBot="1" x14ac:dyDescent="0.3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60" workbookViewId="0">
      <pane ySplit="1" topLeftCell="A41" activePane="bottomLeft" state="frozen"/>
      <selection pane="bottomLeft" activeCell="B51" sqref="B51"/>
    </sheetView>
  </sheetViews>
  <sheetFormatPr defaultColWidth="11.5703125" defaultRowHeight="15" x14ac:dyDescent="0.25"/>
  <cols>
    <col min="2" max="2" width="28.28515625" bestFit="1" customWidth="1"/>
    <col min="3" max="3" width="17.42578125" bestFit="1" customWidth="1"/>
    <col min="4" max="4" width="14.42578125" bestFit="1" customWidth="1"/>
    <col min="5" max="5" width="21.7109375" bestFit="1" customWidth="1"/>
    <col min="6" max="6" width="35.42578125" customWidth="1"/>
    <col min="7" max="7" width="36.42578125" bestFit="1" customWidth="1"/>
    <col min="8" max="8" width="33.42578125" bestFit="1" customWidth="1"/>
    <col min="9" max="9" width="28" bestFit="1" customWidth="1"/>
    <col min="10" max="10" width="28.5703125" customWidth="1"/>
    <col min="11" max="11" width="29.28515625" bestFit="1" customWidth="1"/>
  </cols>
  <sheetData>
    <row r="4" spans="2:11" x14ac:dyDescent="0.25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25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25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25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.75" x14ac:dyDescent="0.25">
      <c r="B10" s="84" t="s">
        <v>174</v>
      </c>
      <c r="C10" s="84" t="s">
        <v>175</v>
      </c>
      <c r="D10" s="84" t="s">
        <v>176</v>
      </c>
      <c r="E10" s="84" t="s">
        <v>177</v>
      </c>
      <c r="G10" s="197" t="s">
        <v>155</v>
      </c>
      <c r="H10" s="197"/>
      <c r="I10" s="197"/>
    </row>
    <row r="11" spans="2:11" ht="15.75" x14ac:dyDescent="0.25">
      <c r="B11" s="195" t="s">
        <v>69</v>
      </c>
      <c r="C11" s="196"/>
      <c r="D11" s="196"/>
      <c r="E11" s="196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25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25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25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25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25">
      <c r="B16" s="195" t="s">
        <v>79</v>
      </c>
      <c r="C16" s="196"/>
      <c r="D16" s="196"/>
      <c r="E16" s="196"/>
      <c r="F16" s="30"/>
      <c r="G16" s="30"/>
      <c r="H16" s="30"/>
      <c r="I16" s="30"/>
      <c r="J16" s="30"/>
      <c r="K16" s="30"/>
    </row>
    <row r="17" spans="2:5" x14ac:dyDescent="0.25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25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25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25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25">
      <c r="B21" s="195" t="s">
        <v>178</v>
      </c>
      <c r="C21" s="196"/>
      <c r="D21" s="196"/>
      <c r="E21" s="196"/>
    </row>
    <row r="22" spans="2:5" x14ac:dyDescent="0.25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25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25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25">
      <c r="B25" s="195" t="s">
        <v>196</v>
      </c>
      <c r="C25" s="196"/>
      <c r="D25" s="196"/>
      <c r="E25" s="196"/>
    </row>
    <row r="26" spans="2:5" ht="15.75" thickBot="1" x14ac:dyDescent="0.3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25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25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25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25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25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25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25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.75" thickBot="1" x14ac:dyDescent="0.3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.75" thickBot="1" x14ac:dyDescent="0.3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25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25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25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25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.75" thickBot="1" x14ac:dyDescent="0.3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.75" thickBot="1" x14ac:dyDescent="0.3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.75" thickBot="1" x14ac:dyDescent="0.3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25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25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25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25">
      <c r="B46" s="176" t="s">
        <v>302</v>
      </c>
      <c r="C46" s="177">
        <v>46287</v>
      </c>
      <c r="D46" s="177">
        <v>46289</v>
      </c>
      <c r="E46" s="178">
        <f t="shared" si="3"/>
        <v>3</v>
      </c>
    </row>
    <row r="47" spans="2:5" x14ac:dyDescent="0.25">
      <c r="B47" s="99" t="s">
        <v>303</v>
      </c>
      <c r="C47" s="100">
        <v>46290</v>
      </c>
      <c r="D47" s="100">
        <v>46292</v>
      </c>
      <c r="E47" s="101">
        <f t="shared" si="3"/>
        <v>3</v>
      </c>
    </row>
    <row r="48" spans="2:5" x14ac:dyDescent="0.25">
      <c r="B48" s="99" t="s">
        <v>304</v>
      </c>
      <c r="C48" s="100">
        <v>46293</v>
      </c>
      <c r="D48" s="100">
        <v>46295</v>
      </c>
      <c r="E48" s="101">
        <f t="shared" si="3"/>
        <v>3</v>
      </c>
    </row>
    <row r="49" spans="2:5" x14ac:dyDescent="0.25">
      <c r="B49" s="99" t="s">
        <v>305</v>
      </c>
      <c r="C49" s="100">
        <v>46296</v>
      </c>
      <c r="D49" s="100">
        <v>46298</v>
      </c>
      <c r="E49" s="101">
        <f t="shared" si="3"/>
        <v>3</v>
      </c>
    </row>
    <row r="50" spans="2:5" x14ac:dyDescent="0.25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25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25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25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.75" thickBot="1" x14ac:dyDescent="0.3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.75" thickBot="1" x14ac:dyDescent="0.3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25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25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25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25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25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.75" thickBot="1" x14ac:dyDescent="0.3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25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25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25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.75" thickBot="1" x14ac:dyDescent="0.3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25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25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25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25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.75" thickBot="1" x14ac:dyDescent="0.3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25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25">
      <c r="B72" s="195" t="s">
        <v>38</v>
      </c>
      <c r="C72" s="196"/>
      <c r="D72" s="196"/>
      <c r="E72" s="196"/>
    </row>
    <row r="73" spans="2:5" x14ac:dyDescent="0.25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25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25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25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25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25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25">
      <c r="B79" s="195" t="s">
        <v>83</v>
      </c>
      <c r="C79" s="196"/>
      <c r="D79" s="196"/>
      <c r="E79" s="196"/>
    </row>
    <row r="80" spans="2:5" x14ac:dyDescent="0.25">
      <c r="B80" s="57" t="s">
        <v>71</v>
      </c>
      <c r="C80" s="31"/>
      <c r="D80" s="31"/>
      <c r="E80" s="87">
        <f>_xlfn.DAYS(D80, C80)+1</f>
        <v>1</v>
      </c>
    </row>
    <row r="81" spans="2:5" x14ac:dyDescent="0.25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25">
      <c r="B82" s="57" t="s">
        <v>75</v>
      </c>
      <c r="C82" s="31"/>
      <c r="D82" s="31"/>
      <c r="E82" s="87">
        <f t="shared" si="8"/>
        <v>1</v>
      </c>
    </row>
    <row r="83" spans="2:5" x14ac:dyDescent="0.25">
      <c r="B83" s="57" t="s">
        <v>76</v>
      </c>
      <c r="C83" s="31"/>
      <c r="D83" s="31"/>
      <c r="E83" s="87">
        <f t="shared" si="8"/>
        <v>1</v>
      </c>
    </row>
    <row r="84" spans="2:5" x14ac:dyDescent="0.25">
      <c r="B84" s="57" t="s">
        <v>78</v>
      </c>
      <c r="C84" s="31"/>
      <c r="D84" s="31"/>
      <c r="E84" s="87">
        <f t="shared" si="8"/>
        <v>1</v>
      </c>
    </row>
    <row r="85" spans="2:5" x14ac:dyDescent="0.25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15" activePane="bottomRight" state="frozen"/>
      <selection pane="topRight" activeCell="C1" sqref="C1"/>
      <selection pane="bottomLeft" activeCell="A4" sqref="A4"/>
      <selection pane="bottomRight" activeCell="K31" sqref="K31"/>
    </sheetView>
  </sheetViews>
  <sheetFormatPr defaultColWidth="11.5703125" defaultRowHeight="15" x14ac:dyDescent="0.25"/>
  <cols>
    <col min="2" max="2" width="26.42578125" bestFit="1" customWidth="1"/>
    <col min="3" max="3" width="20.7109375" bestFit="1" customWidth="1"/>
    <col min="4" max="4" width="28" bestFit="1" customWidth="1"/>
    <col min="5" max="5" width="28.7109375" bestFit="1" customWidth="1"/>
    <col min="6" max="6" width="30" bestFit="1" customWidth="1"/>
    <col min="7" max="9" width="28.7109375" bestFit="1" customWidth="1"/>
    <col min="10" max="10" width="30.7109375" bestFit="1" customWidth="1"/>
    <col min="11" max="13" width="29.42578125" bestFit="1" customWidth="1"/>
  </cols>
  <sheetData>
    <row r="2" spans="3:11" ht="15.75" thickBot="1" x14ac:dyDescent="0.3"/>
    <row r="3" spans="3:11" ht="21.75" thickBot="1" x14ac:dyDescent="0.3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8" t="s">
        <v>25</v>
      </c>
      <c r="K3" s="199"/>
    </row>
    <row r="4" spans="3:11" ht="42" x14ac:dyDescent="0.25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2" x14ac:dyDescent="0.25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8.5" x14ac:dyDescent="0.25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2.75" x14ac:dyDescent="0.25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2.75" x14ac:dyDescent="0.25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2.75" x14ac:dyDescent="0.25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2.75" x14ac:dyDescent="0.25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2.75" x14ac:dyDescent="0.25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2.75" x14ac:dyDescent="0.25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2.75" x14ac:dyDescent="0.25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2.75" x14ac:dyDescent="0.25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2.75" x14ac:dyDescent="0.25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2.75" x14ac:dyDescent="0.25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2.75" x14ac:dyDescent="0.25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2.75" x14ac:dyDescent="0.25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25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25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25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25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25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25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25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25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25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25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25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25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25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75" thickBot="1" x14ac:dyDescent="0.3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42" activePane="bottomRight" state="frozen"/>
      <selection pane="topRight" activeCell="C1" sqref="C1"/>
      <selection pane="bottomLeft" activeCell="A2" sqref="A2"/>
      <selection pane="bottomRight"/>
    </sheetView>
  </sheetViews>
  <sheetFormatPr defaultColWidth="13.7109375" defaultRowHeight="15" x14ac:dyDescent="0.25"/>
  <cols>
    <col min="1" max="1" width="13.42578125" bestFit="1" customWidth="1"/>
    <col min="2" max="2" width="11.28515625" bestFit="1" customWidth="1"/>
    <col min="3" max="3" width="17.5703125" bestFit="1" customWidth="1"/>
    <col min="4" max="4" width="20.140625" customWidth="1"/>
    <col min="5" max="5" width="31" bestFit="1" customWidth="1"/>
    <col min="6" max="6" width="10.7109375" bestFit="1" customWidth="1"/>
    <col min="7" max="7" width="25" bestFit="1" customWidth="1"/>
    <col min="8" max="8" width="16.28515625" bestFit="1" customWidth="1"/>
    <col min="9" max="9" width="20.7109375" bestFit="1" customWidth="1"/>
    <col min="10" max="10" width="19.140625" bestFit="1" customWidth="1"/>
    <col min="11" max="11" width="15.42578125" bestFit="1" customWidth="1"/>
    <col min="12" max="12" width="18.7109375" bestFit="1" customWidth="1"/>
    <col min="13" max="13" width="19.7109375" bestFit="1" customWidth="1"/>
    <col min="14" max="14" width="19.85546875" customWidth="1"/>
    <col min="15" max="15" width="11.140625" bestFit="1" customWidth="1"/>
    <col min="16" max="22" width="12.85546875" bestFit="1" customWidth="1"/>
    <col min="23" max="23" width="17.7109375" bestFit="1" customWidth="1"/>
    <col min="24" max="24" width="15.5703125" bestFit="1" customWidth="1"/>
    <col min="25" max="25" width="14.42578125" bestFit="1" customWidth="1"/>
    <col min="26" max="26" width="31.7109375" bestFit="1" customWidth="1"/>
  </cols>
  <sheetData>
    <row r="1" spans="1:12" x14ac:dyDescent="0.25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.75" x14ac:dyDescent="0.25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.75" x14ac:dyDescent="0.25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.75" x14ac:dyDescent="0.25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.75" x14ac:dyDescent="0.25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.75" x14ac:dyDescent="0.25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.75" x14ac:dyDescent="0.25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.75" x14ac:dyDescent="0.25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.75" x14ac:dyDescent="0.25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.75" x14ac:dyDescent="0.25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.75" x14ac:dyDescent="0.25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.75" x14ac:dyDescent="0.25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.75" x14ac:dyDescent="0.25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.75" x14ac:dyDescent="0.25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.75" x14ac:dyDescent="0.25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.75" x14ac:dyDescent="0.25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.75" x14ac:dyDescent="0.25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.75" x14ac:dyDescent="0.25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.75" x14ac:dyDescent="0.25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.75" x14ac:dyDescent="0.25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.75" x14ac:dyDescent="0.25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.75" x14ac:dyDescent="0.25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.75" x14ac:dyDescent="0.25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.75" x14ac:dyDescent="0.25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.75" x14ac:dyDescent="0.25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.75" x14ac:dyDescent="0.25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.75" x14ac:dyDescent="0.25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.75" x14ac:dyDescent="0.25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.75" x14ac:dyDescent="0.25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.75" x14ac:dyDescent="0.25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.75" x14ac:dyDescent="0.25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.75" x14ac:dyDescent="0.25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.75" x14ac:dyDescent="0.25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.75" x14ac:dyDescent="0.25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.75" x14ac:dyDescent="0.25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.75" x14ac:dyDescent="0.25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.75" x14ac:dyDescent="0.25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.75" x14ac:dyDescent="0.25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.75" x14ac:dyDescent="0.25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.75" x14ac:dyDescent="0.25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.75" x14ac:dyDescent="0.25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.75" x14ac:dyDescent="0.25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.75" x14ac:dyDescent="0.25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.75" x14ac:dyDescent="0.25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.75" x14ac:dyDescent="0.25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.75" x14ac:dyDescent="0.25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.75" x14ac:dyDescent="0.25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.75" x14ac:dyDescent="0.25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.75" x14ac:dyDescent="0.25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.75" x14ac:dyDescent="0.25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.75" x14ac:dyDescent="0.25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.75" x14ac:dyDescent="0.25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.75" x14ac:dyDescent="0.25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.75" x14ac:dyDescent="0.25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.75" x14ac:dyDescent="0.25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.75" x14ac:dyDescent="0.25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.75" x14ac:dyDescent="0.25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.75" x14ac:dyDescent="0.25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.75" x14ac:dyDescent="0.25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.75" x14ac:dyDescent="0.25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.75" x14ac:dyDescent="0.25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.75" x14ac:dyDescent="0.25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.75" x14ac:dyDescent="0.25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.75" x14ac:dyDescent="0.25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.75" x14ac:dyDescent="0.25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.75" x14ac:dyDescent="0.25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231</v>
      </c>
      <c r="D66" s="141" t="s">
        <v>231</v>
      </c>
      <c r="E66" s="141" t="s">
        <v>231</v>
      </c>
      <c r="F66" s="141" t="s">
        <v>231</v>
      </c>
      <c r="G66" s="141" t="s">
        <v>231</v>
      </c>
      <c r="H66" s="141" t="s">
        <v>231</v>
      </c>
      <c r="I66" s="141" t="s">
        <v>231</v>
      </c>
      <c r="J66" s="141" t="s">
        <v>231</v>
      </c>
      <c r="K66" s="141" t="s">
        <v>231</v>
      </c>
      <c r="L66" s="141" t="s">
        <v>231</v>
      </c>
    </row>
    <row r="67" spans="1:12" ht="18.75" x14ac:dyDescent="0.25">
      <c r="A67" s="125">
        <f t="shared" si="1"/>
        <v>46288</v>
      </c>
      <c r="B67" s="140" t="str">
        <f t="shared" si="2"/>
        <v>Wednesday</v>
      </c>
      <c r="C67" s="141" t="s">
        <v>231</v>
      </c>
      <c r="D67" s="141" t="s">
        <v>231</v>
      </c>
      <c r="E67" s="141" t="s">
        <v>231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231</v>
      </c>
      <c r="L67" s="141" t="s">
        <v>231</v>
      </c>
    </row>
    <row r="68" spans="1:12" ht="18.75" x14ac:dyDescent="0.25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231</v>
      </c>
      <c r="E68" s="141" t="s">
        <v>231</v>
      </c>
      <c r="F68" s="141" t="s">
        <v>231</v>
      </c>
      <c r="G68" s="141" t="s">
        <v>231</v>
      </c>
      <c r="H68" s="141" t="s">
        <v>231</v>
      </c>
      <c r="I68" s="141" t="s">
        <v>231</v>
      </c>
      <c r="J68" s="141" t="s">
        <v>231</v>
      </c>
      <c r="K68" s="141" t="s">
        <v>231</v>
      </c>
      <c r="L68" s="141" t="s">
        <v>231</v>
      </c>
    </row>
    <row r="69" spans="1:12" ht="18.75" x14ac:dyDescent="0.25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231</v>
      </c>
      <c r="L69" s="141" t="s">
        <v>231</v>
      </c>
    </row>
    <row r="70" spans="1:12" ht="18.75" x14ac:dyDescent="0.25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231</v>
      </c>
      <c r="L70" s="141" t="s">
        <v>231</v>
      </c>
    </row>
    <row r="71" spans="1:12" ht="18.75" x14ac:dyDescent="0.25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231</v>
      </c>
      <c r="L71" s="141" t="s">
        <v>231</v>
      </c>
    </row>
    <row r="72" spans="1:12" ht="18.75" x14ac:dyDescent="0.25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231</v>
      </c>
      <c r="L72" s="141" t="s">
        <v>231</v>
      </c>
    </row>
    <row r="73" spans="1:12" ht="18.75" x14ac:dyDescent="0.25">
      <c r="A73" s="125">
        <f t="shared" si="3"/>
        <v>46294</v>
      </c>
      <c r="B73" s="140" t="str">
        <f t="shared" si="2"/>
        <v>Tuesday</v>
      </c>
      <c r="C73" s="141" t="s">
        <v>231</v>
      </c>
      <c r="D73" s="141" t="s">
        <v>231</v>
      </c>
      <c r="E73" s="141" t="s">
        <v>231</v>
      </c>
      <c r="F73" s="141" t="s">
        <v>231</v>
      </c>
      <c r="G73" s="141" t="s">
        <v>231</v>
      </c>
      <c r="H73" s="141" t="s">
        <v>231</v>
      </c>
      <c r="I73" s="141" t="s">
        <v>231</v>
      </c>
      <c r="J73" s="141" t="s">
        <v>231</v>
      </c>
      <c r="K73" s="141" t="s">
        <v>231</v>
      </c>
      <c r="L73" s="141" t="s">
        <v>231</v>
      </c>
    </row>
    <row r="74" spans="1:12" ht="18.75" x14ac:dyDescent="0.25">
      <c r="A74" s="125">
        <f t="shared" si="3"/>
        <v>46295</v>
      </c>
      <c r="B74" s="140" t="str">
        <f t="shared" si="2"/>
        <v>Wednesday</v>
      </c>
      <c r="C74" s="141" t="s">
        <v>231</v>
      </c>
      <c r="D74" s="141" t="s">
        <v>231</v>
      </c>
      <c r="E74" s="141" t="s">
        <v>231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231</v>
      </c>
      <c r="L74" s="141" t="s">
        <v>231</v>
      </c>
    </row>
    <row r="75" spans="1:12" ht="18.75" x14ac:dyDescent="0.25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231</v>
      </c>
      <c r="E75" s="141" t="s">
        <v>231</v>
      </c>
      <c r="F75" s="141" t="s">
        <v>231</v>
      </c>
      <c r="G75" s="141" t="s">
        <v>231</v>
      </c>
      <c r="H75" s="141" t="s">
        <v>231</v>
      </c>
      <c r="I75" s="141" t="s">
        <v>231</v>
      </c>
      <c r="J75" s="141" t="s">
        <v>231</v>
      </c>
      <c r="K75" s="141" t="s">
        <v>231</v>
      </c>
      <c r="L75" s="141" t="s">
        <v>231</v>
      </c>
    </row>
    <row r="76" spans="1:12" ht="18.75" x14ac:dyDescent="0.25">
      <c r="A76" s="125">
        <f t="shared" si="3"/>
        <v>46297</v>
      </c>
      <c r="B76" s="140" t="str">
        <f t="shared" si="2"/>
        <v>Friday</v>
      </c>
      <c r="C76" s="141" t="s">
        <v>231</v>
      </c>
      <c r="D76" s="141" t="s">
        <v>231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231</v>
      </c>
      <c r="L76" s="141" t="s">
        <v>231</v>
      </c>
    </row>
    <row r="77" spans="1:12" ht="18.75" x14ac:dyDescent="0.25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231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231</v>
      </c>
      <c r="L77" s="141" t="s">
        <v>231</v>
      </c>
    </row>
    <row r="78" spans="1:12" ht="18.75" x14ac:dyDescent="0.25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.75" x14ac:dyDescent="0.25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.75" x14ac:dyDescent="0.25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.75" x14ac:dyDescent="0.25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.75" x14ac:dyDescent="0.25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.75" x14ac:dyDescent="0.25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.75" x14ac:dyDescent="0.25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.75" x14ac:dyDescent="0.25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.75" x14ac:dyDescent="0.25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.75" x14ac:dyDescent="0.25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.75" x14ac:dyDescent="0.25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.75" x14ac:dyDescent="0.25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.75" x14ac:dyDescent="0.25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.75" x14ac:dyDescent="0.25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.75" x14ac:dyDescent="0.25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.75" x14ac:dyDescent="0.25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.75" x14ac:dyDescent="0.25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.75" x14ac:dyDescent="0.25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.75" x14ac:dyDescent="0.25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.75" x14ac:dyDescent="0.25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.75" x14ac:dyDescent="0.25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.75" x14ac:dyDescent="0.25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.75" x14ac:dyDescent="0.25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.75" x14ac:dyDescent="0.25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.75" x14ac:dyDescent="0.25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.75" x14ac:dyDescent="0.25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.75" x14ac:dyDescent="0.25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.75" x14ac:dyDescent="0.25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.75" x14ac:dyDescent="0.25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.75" x14ac:dyDescent="0.25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.75" x14ac:dyDescent="0.25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.75" x14ac:dyDescent="0.25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.75" x14ac:dyDescent="0.25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.75" x14ac:dyDescent="0.25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.75" x14ac:dyDescent="0.25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.75" x14ac:dyDescent="0.25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.75" x14ac:dyDescent="0.25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.75" x14ac:dyDescent="0.25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.75" x14ac:dyDescent="0.25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.75" x14ac:dyDescent="0.25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.75" x14ac:dyDescent="0.25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.75" x14ac:dyDescent="0.25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.75" x14ac:dyDescent="0.25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.75" x14ac:dyDescent="0.25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.75" x14ac:dyDescent="0.25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.75" x14ac:dyDescent="0.25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.75" x14ac:dyDescent="0.25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.75" x14ac:dyDescent="0.25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.75" x14ac:dyDescent="0.25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.75" x14ac:dyDescent="0.25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.75" x14ac:dyDescent="0.25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.75" x14ac:dyDescent="0.25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.75" x14ac:dyDescent="0.25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.75" x14ac:dyDescent="0.25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.75" x14ac:dyDescent="0.25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.75" x14ac:dyDescent="0.25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.75" x14ac:dyDescent="0.25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.75" x14ac:dyDescent="0.25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.75" x14ac:dyDescent="0.25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.75" x14ac:dyDescent="0.25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.75" x14ac:dyDescent="0.25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.75" x14ac:dyDescent="0.25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.75" x14ac:dyDescent="0.25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.75" x14ac:dyDescent="0.25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.75" x14ac:dyDescent="0.25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.75" x14ac:dyDescent="0.25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.75" x14ac:dyDescent="0.25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.75" x14ac:dyDescent="0.25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.75" x14ac:dyDescent="0.25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.75" x14ac:dyDescent="0.25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.75" x14ac:dyDescent="0.25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.75" x14ac:dyDescent="0.25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.75" x14ac:dyDescent="0.25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.75" x14ac:dyDescent="0.25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.75" x14ac:dyDescent="0.25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.75" x14ac:dyDescent="0.25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.75" x14ac:dyDescent="0.25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.75" x14ac:dyDescent="0.25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.75" x14ac:dyDescent="0.25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.75" x14ac:dyDescent="0.25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.75" x14ac:dyDescent="0.25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.75" x14ac:dyDescent="0.25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.75" x14ac:dyDescent="0.25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.75" x14ac:dyDescent="0.25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.75" x14ac:dyDescent="0.25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.75" x14ac:dyDescent="0.25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.75" x14ac:dyDescent="0.25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.75" x14ac:dyDescent="0.25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.75" x14ac:dyDescent="0.25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.75" x14ac:dyDescent="0.25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.75" x14ac:dyDescent="0.25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.75" x14ac:dyDescent="0.25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.75" x14ac:dyDescent="0.25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.75" x14ac:dyDescent="0.25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.75" x14ac:dyDescent="0.25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.75" x14ac:dyDescent="0.25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.75" x14ac:dyDescent="0.25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.75" x14ac:dyDescent="0.25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.75" x14ac:dyDescent="0.25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.75" x14ac:dyDescent="0.25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.75" x14ac:dyDescent="0.25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.75" x14ac:dyDescent="0.25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.75" x14ac:dyDescent="0.25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.75" x14ac:dyDescent="0.25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.75" x14ac:dyDescent="0.25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.75" x14ac:dyDescent="0.25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.75" x14ac:dyDescent="0.25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.75" x14ac:dyDescent="0.25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.75" x14ac:dyDescent="0.25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.75" x14ac:dyDescent="0.25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.75" x14ac:dyDescent="0.25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.75" x14ac:dyDescent="0.25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.75" x14ac:dyDescent="0.25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.75" x14ac:dyDescent="0.25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.75" x14ac:dyDescent="0.25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.75" x14ac:dyDescent="0.25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.75" x14ac:dyDescent="0.25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.75" x14ac:dyDescent="0.25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.75" x14ac:dyDescent="0.25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.75" x14ac:dyDescent="0.25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.75" x14ac:dyDescent="0.25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.75" x14ac:dyDescent="0.25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.75" x14ac:dyDescent="0.25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.75" x14ac:dyDescent="0.25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.75" x14ac:dyDescent="0.25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.75" x14ac:dyDescent="0.25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.75" x14ac:dyDescent="0.25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.75" x14ac:dyDescent="0.25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.75" x14ac:dyDescent="0.25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.75" x14ac:dyDescent="0.25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.75" x14ac:dyDescent="0.25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.75" x14ac:dyDescent="0.25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.75" x14ac:dyDescent="0.25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.75" x14ac:dyDescent="0.25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.75" x14ac:dyDescent="0.25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.75" x14ac:dyDescent="0.25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.75" x14ac:dyDescent="0.25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.75" x14ac:dyDescent="0.25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.75" x14ac:dyDescent="0.25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.75" x14ac:dyDescent="0.25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.75" x14ac:dyDescent="0.25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.75" x14ac:dyDescent="0.25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.75" x14ac:dyDescent="0.25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.75" x14ac:dyDescent="0.25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.75" x14ac:dyDescent="0.25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.75" x14ac:dyDescent="0.25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.75" x14ac:dyDescent="0.25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.75" x14ac:dyDescent="0.25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.75" x14ac:dyDescent="0.25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.75" x14ac:dyDescent="0.25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.75" x14ac:dyDescent="0.25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.75" x14ac:dyDescent="0.25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.75" x14ac:dyDescent="0.25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.75" x14ac:dyDescent="0.25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.75" x14ac:dyDescent="0.25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.75" x14ac:dyDescent="0.25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.75" x14ac:dyDescent="0.25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.75" x14ac:dyDescent="0.25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.75" x14ac:dyDescent="0.25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.75" x14ac:dyDescent="0.25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.75" x14ac:dyDescent="0.25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.75" x14ac:dyDescent="0.25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.75" x14ac:dyDescent="0.25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.75" x14ac:dyDescent="0.25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.75" x14ac:dyDescent="0.25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.75" x14ac:dyDescent="0.25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.75" x14ac:dyDescent="0.25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.75" x14ac:dyDescent="0.25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.75" x14ac:dyDescent="0.25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.75" x14ac:dyDescent="0.25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.75" x14ac:dyDescent="0.25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.75" x14ac:dyDescent="0.25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.75" x14ac:dyDescent="0.25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.75" x14ac:dyDescent="0.25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.75" x14ac:dyDescent="0.25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.75" x14ac:dyDescent="0.25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.75" x14ac:dyDescent="0.25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.75" x14ac:dyDescent="0.25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.75" x14ac:dyDescent="0.25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.75" x14ac:dyDescent="0.25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.75" x14ac:dyDescent="0.25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.75" x14ac:dyDescent="0.25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.75" x14ac:dyDescent="0.25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.75" x14ac:dyDescent="0.25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.75" x14ac:dyDescent="0.25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.75" x14ac:dyDescent="0.25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.75" x14ac:dyDescent="0.25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.75" x14ac:dyDescent="0.25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.75" x14ac:dyDescent="0.25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.75" x14ac:dyDescent="0.25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.75" x14ac:dyDescent="0.25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.75" x14ac:dyDescent="0.25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.75" x14ac:dyDescent="0.25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.75" x14ac:dyDescent="0.25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.75" x14ac:dyDescent="0.25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.75" x14ac:dyDescent="0.25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.75" x14ac:dyDescent="0.25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.75" x14ac:dyDescent="0.25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.75" x14ac:dyDescent="0.25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.75" x14ac:dyDescent="0.25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.75" x14ac:dyDescent="0.25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.75" x14ac:dyDescent="0.25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.75" x14ac:dyDescent="0.25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.75" x14ac:dyDescent="0.25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.75" x14ac:dyDescent="0.25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.75" x14ac:dyDescent="0.25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.75" x14ac:dyDescent="0.25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.75" x14ac:dyDescent="0.25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.75" x14ac:dyDescent="0.25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.75" x14ac:dyDescent="0.25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.75" x14ac:dyDescent="0.25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.75" x14ac:dyDescent="0.25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.75" x14ac:dyDescent="0.25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.75" x14ac:dyDescent="0.25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.75" x14ac:dyDescent="0.25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.75" x14ac:dyDescent="0.25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.75" x14ac:dyDescent="0.25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.75" x14ac:dyDescent="0.25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.75" x14ac:dyDescent="0.25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.75" x14ac:dyDescent="0.25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.75" x14ac:dyDescent="0.25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.75" x14ac:dyDescent="0.25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.75" x14ac:dyDescent="0.25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.75" x14ac:dyDescent="0.25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.75" x14ac:dyDescent="0.25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.75" x14ac:dyDescent="0.25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.75" x14ac:dyDescent="0.25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.75" x14ac:dyDescent="0.25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.75" x14ac:dyDescent="0.25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.75" x14ac:dyDescent="0.25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.75" x14ac:dyDescent="0.25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.75" x14ac:dyDescent="0.25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.75" x14ac:dyDescent="0.25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.75" x14ac:dyDescent="0.25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.75" x14ac:dyDescent="0.25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.75" x14ac:dyDescent="0.25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.75" x14ac:dyDescent="0.25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.75" x14ac:dyDescent="0.25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.75" x14ac:dyDescent="0.25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.75" x14ac:dyDescent="0.25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.75" x14ac:dyDescent="0.25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.75" x14ac:dyDescent="0.25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.75" x14ac:dyDescent="0.25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.75" x14ac:dyDescent="0.25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.75" x14ac:dyDescent="0.25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.75" x14ac:dyDescent="0.25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.75" x14ac:dyDescent="0.25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.75" x14ac:dyDescent="0.25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.75" x14ac:dyDescent="0.25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.75" x14ac:dyDescent="0.25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.75" x14ac:dyDescent="0.25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.75" x14ac:dyDescent="0.25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.75" x14ac:dyDescent="0.25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.75" x14ac:dyDescent="0.25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.75" x14ac:dyDescent="0.25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.75" x14ac:dyDescent="0.25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.75" x14ac:dyDescent="0.25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.75" x14ac:dyDescent="0.25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.75" x14ac:dyDescent="0.25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.75" x14ac:dyDescent="0.25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.75" x14ac:dyDescent="0.25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.75" x14ac:dyDescent="0.25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.75" x14ac:dyDescent="0.25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.75" x14ac:dyDescent="0.25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.75" x14ac:dyDescent="0.25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.75" x14ac:dyDescent="0.25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.75" x14ac:dyDescent="0.25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.75" x14ac:dyDescent="0.25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.75" x14ac:dyDescent="0.25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.75" x14ac:dyDescent="0.25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.75" x14ac:dyDescent="0.25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.75" x14ac:dyDescent="0.25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.75" x14ac:dyDescent="0.25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.75" x14ac:dyDescent="0.25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.75" x14ac:dyDescent="0.25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.75" x14ac:dyDescent="0.25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.75" x14ac:dyDescent="0.25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.75" x14ac:dyDescent="0.25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.75" x14ac:dyDescent="0.25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.75" x14ac:dyDescent="0.25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.75" x14ac:dyDescent="0.25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.75" x14ac:dyDescent="0.25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.75" x14ac:dyDescent="0.25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.75" x14ac:dyDescent="0.25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.75" x14ac:dyDescent="0.25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.75" x14ac:dyDescent="0.25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.75" x14ac:dyDescent="0.25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.75" x14ac:dyDescent="0.25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.75" x14ac:dyDescent="0.25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.75" x14ac:dyDescent="0.25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.75" x14ac:dyDescent="0.25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25">
      <c r="A1048575" t="s">
        <v>231</v>
      </c>
    </row>
    <row r="1048576" spans="1:1" x14ac:dyDescent="0.25">
      <c r="A1048576" t="s">
        <v>232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>
      <selection activeCell="H34" sqref="H34"/>
    </sheetView>
  </sheetViews>
  <sheetFormatPr defaultRowHeight="15" x14ac:dyDescent="0.25"/>
  <cols>
    <col min="3" max="3" width="19.7109375" bestFit="1" customWidth="1"/>
    <col min="4" max="4" width="10.7109375" bestFit="1" customWidth="1"/>
    <col min="5" max="6" width="12.7109375" bestFit="1" customWidth="1"/>
    <col min="7" max="7" width="15.5703125" bestFit="1" customWidth="1"/>
    <col min="8" max="8" width="13.42578125" bestFit="1" customWidth="1"/>
    <col min="9" max="9" width="10.7109375" bestFit="1" customWidth="1"/>
    <col min="10" max="10" width="13.28515625" bestFit="1" customWidth="1"/>
    <col min="11" max="11" width="11.85546875" bestFit="1" customWidth="1"/>
    <col min="12" max="12" width="17.28515625" bestFit="1" customWidth="1"/>
    <col min="13" max="13" width="14.85546875" bestFit="1" customWidth="1"/>
    <col min="14" max="14" width="14" bestFit="1" customWidth="1"/>
    <col min="15" max="15" width="42.5703125" bestFit="1" customWidth="1"/>
  </cols>
  <sheetData>
    <row r="2" spans="3:15" ht="15.75" thickBot="1" x14ac:dyDescent="0.3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.75" thickBot="1" x14ac:dyDescent="0.3">
      <c r="C3" s="145" t="s">
        <v>225</v>
      </c>
      <c r="D3" s="146" cm="1">
        <f t="array" aca="1" ref="D3" ca="1">SUMPRODUCT((Table7[Date]&gt;=$M$3)*(Table7[Date]&lt;=$N$3)*(Table7[Gym Training]="☑"))</f>
        <v>1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1.583</v>
      </c>
      <c r="M3" s="148">
        <f ca="1">TODAY()-WEEKDAY(TODAY(),2)+1</f>
        <v>46286</v>
      </c>
      <c r="N3" s="148">
        <f ca="1">TODAY()-WEEKDAY(TODAY(),2)+7</f>
        <v>46292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21, 2026 to Sep 27, 2026</v>
      </c>
    </row>
    <row r="4" spans="3:15" ht="15.75" thickBot="1" x14ac:dyDescent="0.3">
      <c r="C4" s="149" t="s">
        <v>226</v>
      </c>
      <c r="D4" s="150" cm="1">
        <f t="array" aca="1" ref="D4" ca="1">SUMPRODUCT((Table7[Date]&gt;=$M$3)*(Table7[Date]&lt;=$N$3)*(Table7[Deutsch Lernen]="☑"))</f>
        <v>1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3</v>
      </c>
      <c r="M4" s="148">
        <f t="shared" ref="M4:M9" ca="1" si="0">TODAY()-WEEKDAY(TODAY(),2)+1</f>
        <v>46286</v>
      </c>
      <c r="N4" s="148">
        <f t="shared" ref="N4:N9" ca="1" si="1">TODAY()-WEEKDAY(TODAY(),2)+7</f>
        <v>46292</v>
      </c>
    </row>
    <row r="5" spans="3:15" ht="15.75" thickBot="1" x14ac:dyDescent="0.3">
      <c r="C5" s="149" t="s">
        <v>241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0.33333333333333331</v>
      </c>
      <c r="M5" s="148">
        <f t="shared" ca="1" si="0"/>
        <v>46286</v>
      </c>
      <c r="N5" s="148">
        <f t="shared" ca="1" si="1"/>
        <v>46292</v>
      </c>
    </row>
    <row r="6" spans="3:15" ht="15.75" thickBot="1" x14ac:dyDescent="0.3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46286</v>
      </c>
      <c r="N6" s="148">
        <f t="shared" ca="1" si="1"/>
        <v>46292</v>
      </c>
    </row>
    <row r="7" spans="3:15" ht="15.75" thickBot="1" x14ac:dyDescent="0.3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46286</v>
      </c>
      <c r="N7" s="148">
        <f t="shared" ca="1" si="1"/>
        <v>46292</v>
      </c>
    </row>
    <row r="8" spans="3:15" ht="15.75" thickBot="1" x14ac:dyDescent="0.3">
      <c r="C8" s="149" t="s">
        <v>229</v>
      </c>
      <c r="D8" s="150" cm="1">
        <f t="array" aca="1" ref="D8" ca="1">SUMPRODUCT((Table7[Date]&gt;=$M$3)*(Table7[Date]&lt;=$N$3)*(Table7[Kung Fu Training]="☑"))</f>
        <v>0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0</v>
      </c>
      <c r="M8" s="148">
        <f t="shared" ca="1" si="0"/>
        <v>46286</v>
      </c>
      <c r="N8" s="148">
        <f t="shared" ca="1" si="1"/>
        <v>46292</v>
      </c>
    </row>
    <row r="9" spans="3:15" x14ac:dyDescent="0.25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46286</v>
      </c>
      <c r="N9" s="148">
        <f t="shared" ca="1" si="1"/>
        <v>46292</v>
      </c>
    </row>
    <row r="10" spans="3:15" x14ac:dyDescent="0.25">
      <c r="C10" s="149" t="s">
        <v>294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6</v>
      </c>
      <c r="M10" s="170">
        <f ca="1">TODAY()-WEEKDAY(TODAY(),2)+1</f>
        <v>46286</v>
      </c>
      <c r="N10" s="170">
        <f ca="1">TODAY()-WEEKDAY(TODAY(),2)+7</f>
        <v>46292</v>
      </c>
    </row>
    <row r="11" spans="3:15" x14ac:dyDescent="0.25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2578125" defaultRowHeight="15" x14ac:dyDescent="0.25"/>
  <cols>
    <col min="1" max="1" width="22.7109375" bestFit="1" customWidth="1"/>
    <col min="2" max="2" width="29.7109375" bestFit="1" customWidth="1"/>
    <col min="3" max="3" width="18.5703125" bestFit="1" customWidth="1"/>
    <col min="4" max="4" width="31.28515625" bestFit="1" customWidth="1"/>
    <col min="5" max="5" width="33.28515625" bestFit="1" customWidth="1"/>
    <col min="6" max="6" width="19.5703125" bestFit="1" customWidth="1"/>
  </cols>
  <sheetData>
    <row r="2" spans="2:5" x14ac:dyDescent="0.25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25">
      <c r="B3" s="55" t="s">
        <v>136</v>
      </c>
      <c r="C3" s="55" t="s">
        <v>152</v>
      </c>
      <c r="D3" s="56">
        <f ca="1">$B$1048570+_xlfn.CEILING.MATH((TODAY()-$B$1048570)/40, 1)*40-40</f>
        <v>46247</v>
      </c>
      <c r="E3" s="56">
        <f ca="1">$B$1048570+_xlfn.CEILING.MATH((TODAY()-$B$1048570)/40, 1)*40</f>
        <v>46287</v>
      </c>
    </row>
    <row r="4" spans="2:5" x14ac:dyDescent="0.25">
      <c r="B4" s="55" t="s">
        <v>131</v>
      </c>
      <c r="C4" s="55" t="s">
        <v>192</v>
      </c>
      <c r="D4" s="56">
        <f ca="1">IF(DAY(TODAY())&gt;23,
   DATE(YEAR(TODAY()),MONTH(TODAY()),23),
   DATE(YEAR(TODAY()),MONTH(TODAY())-1,23))</f>
        <v>46257</v>
      </c>
      <c r="E4" s="56">
        <f ca="1">IF(DAY(TODAY())&lt;=23,
   DATE(YEAR(TODAY()),MONTH(TODAY()),23),
   DATE(YEAR(TODAY()),MONTH(TODAY())+1,23))</f>
        <v>46288</v>
      </c>
    </row>
    <row r="5" spans="2:5" x14ac:dyDescent="0.25">
      <c r="B5" s="55" t="s">
        <v>237</v>
      </c>
      <c r="C5" s="55" t="s">
        <v>141</v>
      </c>
      <c r="D5" s="56">
        <f ca="1">$B$1048562+_xlfn.CEILING.MATH((TODAY()-$B$1048562)/5, 1)*5-5</f>
        <v>46284</v>
      </c>
      <c r="E5" s="56">
        <f ca="1">$B$1048562+_xlfn.CEILING.MATH((TODAY()-$B$1048562)/5, 1)*5</f>
        <v>46289</v>
      </c>
    </row>
    <row r="6" spans="2:5" x14ac:dyDescent="0.25">
      <c r="B6" s="55" t="s">
        <v>128</v>
      </c>
      <c r="C6" s="55" t="s">
        <v>142</v>
      </c>
      <c r="D6" s="56">
        <f ca="1">TODAY()+MOD(6-WEEKDAY(TODAY(),2),7)-7</f>
        <v>46284</v>
      </c>
      <c r="E6" s="56">
        <f ca="1">TODAY()+MOD(6-WEEKDAY(TODAY(),2),7)</f>
        <v>46291</v>
      </c>
    </row>
    <row r="7" spans="2:5" x14ac:dyDescent="0.25">
      <c r="B7" s="55" t="s">
        <v>129</v>
      </c>
      <c r="C7" s="55" t="s">
        <v>142</v>
      </c>
      <c r="D7" s="56">
        <f ca="1">TODAY()+MOD(6-WEEKDAY(TODAY(),2),7)-7</f>
        <v>46284</v>
      </c>
      <c r="E7" s="56">
        <f ca="1">TODAY()+MOD(6-WEEKDAY(TODAY(),2),7)</f>
        <v>46291</v>
      </c>
    </row>
    <row r="8" spans="2:5" x14ac:dyDescent="0.25">
      <c r="B8" s="55" t="s">
        <v>130</v>
      </c>
      <c r="C8" s="55" t="s">
        <v>143</v>
      </c>
      <c r="D8" s="56">
        <f ca="1">$B$1048565+_xlfn.CEILING.MATH((TODAY()-$B$1048565)/14, 1)*14-14</f>
        <v>46277</v>
      </c>
      <c r="E8" s="56">
        <f ca="1">$B$1048565+_xlfn.CEILING.MATH((TODAY()-$B$1048565)/14, 1)*14</f>
        <v>46291</v>
      </c>
    </row>
    <row r="9" spans="2:5" x14ac:dyDescent="0.25">
      <c r="B9" s="55" t="s">
        <v>135</v>
      </c>
      <c r="C9" s="55" t="s">
        <v>143</v>
      </c>
      <c r="D9" s="56">
        <f ca="1">$B$1048569+_xlfn.CEILING.MATH((TODAY()-$B$1048569)/14, 1)*14-14</f>
        <v>46277</v>
      </c>
      <c r="E9" s="56">
        <f ca="1">$B$1048569+_xlfn.CEILING.MATH((TODAY()-$B$1048569)/14, 1)*14</f>
        <v>46291</v>
      </c>
    </row>
    <row r="10" spans="2:5" x14ac:dyDescent="0.25">
      <c r="B10" s="55" t="s">
        <v>145</v>
      </c>
      <c r="C10" s="55" t="s">
        <v>147</v>
      </c>
      <c r="D10" s="56">
        <f ca="1">TODAY()+MOD(7-WEEKDAY(TODAY(),2),7)-7</f>
        <v>46285</v>
      </c>
      <c r="E10" s="56">
        <f ca="1">TODAY()+MOD(7-WEEKDAY(TODAY(),2),7)</f>
        <v>46292</v>
      </c>
    </row>
    <row r="11" spans="2:5" x14ac:dyDescent="0.25">
      <c r="B11" s="55" t="s">
        <v>146</v>
      </c>
      <c r="C11" s="55" t="s">
        <v>147</v>
      </c>
      <c r="D11" s="56">
        <f ca="1">TODAY()+MOD(7-WEEKDAY(TODAY(),2),7)-7</f>
        <v>46285</v>
      </c>
      <c r="E11" s="56">
        <f ca="1">TODAY()+MOD(7-WEEKDAY(TODAY(),2),7)</f>
        <v>46292</v>
      </c>
    </row>
    <row r="12" spans="2:5" x14ac:dyDescent="0.25">
      <c r="B12" s="55" t="s">
        <v>139</v>
      </c>
      <c r="C12" s="55" t="s">
        <v>154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25">
      <c r="B13" s="55" t="s">
        <v>250</v>
      </c>
      <c r="C13" s="55" t="s">
        <v>153</v>
      </c>
      <c r="D13" s="56">
        <f ca="1">$B$1048576+_xlfn.CEILING.MATH((TODAY()-$B$1048576)/21, 1)*21-21</f>
        <v>46279</v>
      </c>
      <c r="E13" s="56">
        <f ca="1">$B$1048576+_xlfn.CEILING.MATH((TODAY()-$B$1048576)/21, 1)*21</f>
        <v>46300</v>
      </c>
    </row>
    <row r="14" spans="2:5" x14ac:dyDescent="0.25">
      <c r="B14" s="55" t="s">
        <v>134</v>
      </c>
      <c r="C14" s="55" t="s">
        <v>190</v>
      </c>
      <c r="D14" s="56">
        <f ca="1">IF(DAY(TODAY())&gt;5,
   DATE(YEAR(TODAY()),MONTH(TODAY()),5),
   DATE(YEAR(TODAY()),MONTH(TODAY())-1,5))</f>
        <v>46270</v>
      </c>
      <c r="E14" s="56">
        <f ca="1">IF(DAY(TODAY())&lt;=5,
   DATE(YEAR(TODAY()),MONTH(TODAY()),5),
   DATE(YEAR(TODAY()),MONTH(TODAY())+1,5))</f>
        <v>46300</v>
      </c>
    </row>
    <row r="15" spans="2:5" x14ac:dyDescent="0.25">
      <c r="B15" s="55" t="s">
        <v>149</v>
      </c>
      <c r="C15" s="55" t="s">
        <v>190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25">
      <c r="B16" s="55" t="s">
        <v>235</v>
      </c>
      <c r="C16" s="55" t="s">
        <v>236</v>
      </c>
      <c r="D16" s="56">
        <f ca="1">IF(DAY(TODAY())&gt;10,
   DATE(YEAR(TODAY()),MONTH(TODAY()),10),
   DATE(YEAR(TODAY()),MONTH(TODAY())-1,10))</f>
        <v>46275</v>
      </c>
      <c r="E16" s="56">
        <f ca="1">IF(DAY(TODAY())&lt;=10,
   DATE(YEAR(TODAY()),MONTH(TODAY()),10),
   DATE(YEAR(TODAY()),MONTH(TODAY())+1,10))</f>
        <v>46305</v>
      </c>
    </row>
    <row r="17" spans="2:5" x14ac:dyDescent="0.25">
      <c r="B17" s="55" t="s">
        <v>238</v>
      </c>
      <c r="C17" s="55" t="s">
        <v>144</v>
      </c>
      <c r="D17" s="56">
        <f ca="1">IF(DAY(TODAY())&gt;15,
   DATE(YEAR(TODAY()),MONTH(TODAY()),15),
   DATE(YEAR(TODAY()),MONTH(TODAY())-1,15))</f>
        <v>46280</v>
      </c>
      <c r="E17" s="56">
        <f ca="1">IF(DAY(TODAY())&lt;=15,
   DATE(YEAR(TODAY()),MONTH(TODAY()),15),
   DATE(YEAR(TODAY()),MONTH(TODAY())+1,15))</f>
        <v>46310</v>
      </c>
    </row>
    <row r="18" spans="2:5" x14ac:dyDescent="0.25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25">
      <c r="A1048562" s="65" t="s">
        <v>126</v>
      </c>
      <c r="B1048562" s="56">
        <v>46064</v>
      </c>
    </row>
    <row r="1048563" spans="1:2" x14ac:dyDescent="0.25">
      <c r="A1048563" s="66" t="s">
        <v>127</v>
      </c>
      <c r="B1048563" s="56">
        <v>46042</v>
      </c>
    </row>
    <row r="1048564" spans="1:2" x14ac:dyDescent="0.25">
      <c r="A1048564" s="65" t="s">
        <v>128</v>
      </c>
      <c r="B1048564" s="56" t="s">
        <v>84</v>
      </c>
    </row>
    <row r="1048565" spans="1:2" x14ac:dyDescent="0.25">
      <c r="A1048565" s="66" t="s">
        <v>130</v>
      </c>
      <c r="B1048565" s="56">
        <v>46067</v>
      </c>
    </row>
    <row r="1048566" spans="1:2" x14ac:dyDescent="0.25">
      <c r="A1048566" s="65" t="s">
        <v>129</v>
      </c>
      <c r="B1048566" s="56" t="s">
        <v>84</v>
      </c>
    </row>
    <row r="1048567" spans="1:2" x14ac:dyDescent="0.25">
      <c r="A1048567" s="66" t="s">
        <v>131</v>
      </c>
      <c r="B1048567" s="56" t="s">
        <v>84</v>
      </c>
    </row>
    <row r="1048568" spans="1:2" x14ac:dyDescent="0.25">
      <c r="A1048568" s="65" t="s">
        <v>132</v>
      </c>
      <c r="B1048568" s="56">
        <v>46067</v>
      </c>
    </row>
    <row r="1048569" spans="1:2" x14ac:dyDescent="0.25">
      <c r="A1048569" s="66" t="s">
        <v>135</v>
      </c>
      <c r="B1048569" s="56">
        <v>46067</v>
      </c>
    </row>
    <row r="1048570" spans="1:2" x14ac:dyDescent="0.25">
      <c r="A1048570" s="65" t="s">
        <v>136</v>
      </c>
      <c r="B1048570" s="56">
        <v>46047</v>
      </c>
    </row>
    <row r="1048571" spans="1:2" x14ac:dyDescent="0.25">
      <c r="A1048571" s="66" t="s">
        <v>139</v>
      </c>
      <c r="B1048571" s="56">
        <v>46069</v>
      </c>
    </row>
    <row r="1048572" spans="1:2" x14ac:dyDescent="0.25">
      <c r="A1048572" s="65" t="s">
        <v>145</v>
      </c>
      <c r="B1048572" s="56" t="s">
        <v>84</v>
      </c>
    </row>
    <row r="1048573" spans="1:2" x14ac:dyDescent="0.25">
      <c r="A1048573" s="66" t="s">
        <v>146</v>
      </c>
      <c r="B1048573" s="56" t="s">
        <v>84</v>
      </c>
    </row>
    <row r="1048574" spans="1:2" x14ac:dyDescent="0.25">
      <c r="A1048574" s="65" t="s">
        <v>134</v>
      </c>
      <c r="B1048574" s="56" t="s">
        <v>84</v>
      </c>
    </row>
    <row r="1048575" spans="1:2" x14ac:dyDescent="0.25">
      <c r="A1048575" s="66" t="s">
        <v>149</v>
      </c>
      <c r="B1048575" s="56" t="s">
        <v>84</v>
      </c>
    </row>
    <row r="1048576" spans="1:2" x14ac:dyDescent="0.25">
      <c r="A1048576" s="65" t="s">
        <v>150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tabSelected="1" zoomScale="101" zoomScaleNormal="115" workbookViewId="0">
      <selection activeCell="B25" sqref="B25"/>
    </sheetView>
  </sheetViews>
  <sheetFormatPr defaultColWidth="11.42578125" defaultRowHeight="15" x14ac:dyDescent="0.25"/>
  <cols>
    <col min="2" max="2" width="89.5703125" bestFit="1" customWidth="1"/>
    <col min="3" max="3" width="28.7109375" bestFit="1" customWidth="1"/>
    <col min="4" max="4" width="31.7109375" bestFit="1" customWidth="1"/>
    <col min="5" max="5" width="25.85546875" bestFit="1" customWidth="1"/>
    <col min="6" max="6" width="17.28515625" bestFit="1" customWidth="1"/>
    <col min="7" max="7" width="31.28515625" bestFit="1" customWidth="1"/>
  </cols>
  <sheetData>
    <row r="2" spans="2:7" x14ac:dyDescent="0.25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25">
      <c r="B3" s="55" t="s">
        <v>99</v>
      </c>
      <c r="C3" s="55">
        <v>5</v>
      </c>
      <c r="D3" s="56">
        <v>46229</v>
      </c>
      <c r="E3" s="55">
        <v>1</v>
      </c>
      <c r="F3" s="55">
        <f t="shared" ref="F3:F26" ca="1" si="0">C3 + MAX(0, (30-_xlfn.DAYS(D3, TODAY()))) + (10-E3)</f>
        <v>102</v>
      </c>
      <c r="G3" s="64"/>
    </row>
    <row r="4" spans="2:7" x14ac:dyDescent="0.25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101</v>
      </c>
      <c r="G4" s="64"/>
    </row>
    <row r="5" spans="2:7" x14ac:dyDescent="0.25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102</v>
      </c>
      <c r="G5" s="64"/>
    </row>
    <row r="6" spans="2:7" x14ac:dyDescent="0.25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98</v>
      </c>
      <c r="G6" s="64"/>
    </row>
    <row r="7" spans="2:7" x14ac:dyDescent="0.25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95</v>
      </c>
      <c r="G7" s="64"/>
    </row>
    <row r="8" spans="2:7" x14ac:dyDescent="0.25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94</v>
      </c>
      <c r="G8" s="64"/>
    </row>
    <row r="9" spans="2:7" x14ac:dyDescent="0.25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93</v>
      </c>
      <c r="G9" s="64"/>
    </row>
    <row r="10" spans="2:7" x14ac:dyDescent="0.25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92</v>
      </c>
      <c r="G10" s="64"/>
    </row>
    <row r="11" spans="2:7" x14ac:dyDescent="0.25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92</v>
      </c>
      <c r="G11" s="64"/>
    </row>
    <row r="12" spans="2:7" x14ac:dyDescent="0.25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92</v>
      </c>
      <c r="G12" s="64"/>
    </row>
    <row r="13" spans="2:7" x14ac:dyDescent="0.25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87</v>
      </c>
      <c r="G13" s="64"/>
    </row>
    <row r="14" spans="2:7" x14ac:dyDescent="0.25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87</v>
      </c>
      <c r="G14" s="64"/>
    </row>
    <row r="15" spans="2:7" x14ac:dyDescent="0.25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87</v>
      </c>
      <c r="G15" s="64"/>
    </row>
    <row r="16" spans="2:7" x14ac:dyDescent="0.25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85</v>
      </c>
      <c r="G16" s="64"/>
    </row>
    <row r="17" spans="2:7" x14ac:dyDescent="0.25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85</v>
      </c>
      <c r="G17" s="64"/>
    </row>
    <row r="18" spans="2:7" x14ac:dyDescent="0.25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85</v>
      </c>
      <c r="G18" s="64"/>
    </row>
    <row r="19" spans="2:7" x14ac:dyDescent="0.25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79</v>
      </c>
      <c r="G19" s="64"/>
    </row>
    <row r="20" spans="2:7" x14ac:dyDescent="0.25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79</v>
      </c>
      <c r="G20" s="64"/>
    </row>
    <row r="21" spans="2:7" x14ac:dyDescent="0.25">
      <c r="B21" s="55" t="s">
        <v>239</v>
      </c>
      <c r="C21" s="55">
        <v>2</v>
      </c>
      <c r="D21" s="56">
        <v>46257</v>
      </c>
      <c r="E21" s="55">
        <v>0</v>
      </c>
      <c r="F21" s="55">
        <f t="shared" ca="1" si="0"/>
        <v>72</v>
      </c>
      <c r="G21" s="64"/>
    </row>
    <row r="22" spans="2:7" x14ac:dyDescent="0.25">
      <c r="B22" s="55" t="s">
        <v>246</v>
      </c>
      <c r="C22" s="55">
        <v>3</v>
      </c>
      <c r="D22" s="56">
        <v>46257</v>
      </c>
      <c r="E22" s="55">
        <v>2</v>
      </c>
      <c r="F22" s="55">
        <f t="shared" ca="1" si="0"/>
        <v>71</v>
      </c>
      <c r="G22" s="64"/>
    </row>
    <row r="23" spans="2:7" x14ac:dyDescent="0.25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71</v>
      </c>
      <c r="G23" s="64"/>
    </row>
    <row r="24" spans="2:7" x14ac:dyDescent="0.25">
      <c r="B24" s="55" t="s">
        <v>315</v>
      </c>
      <c r="C24" s="55">
        <v>5</v>
      </c>
      <c r="D24" s="56">
        <v>46300</v>
      </c>
      <c r="E24" s="55">
        <v>0</v>
      </c>
      <c r="F24" s="55">
        <f t="shared" ca="1" si="0"/>
        <v>32</v>
      </c>
      <c r="G24" s="64" t="s">
        <v>314</v>
      </c>
    </row>
    <row r="25" spans="2:7" x14ac:dyDescent="0.25">
      <c r="B25" s="55" t="s">
        <v>321</v>
      </c>
      <c r="C25" s="55">
        <v>5</v>
      </c>
      <c r="D25" s="56">
        <v>46300</v>
      </c>
      <c r="E25" s="55">
        <v>0</v>
      </c>
      <c r="F25" s="55">
        <f ca="1">C25 + MAX(0, (30-_xlfn.DAYS(D25, TODAY()))) + (10-E25)</f>
        <v>32</v>
      </c>
      <c r="G25" s="64"/>
    </row>
    <row r="26" spans="2:7" x14ac:dyDescent="0.25">
      <c r="B26" s="205" t="s">
        <v>296</v>
      </c>
      <c r="C26" s="55">
        <v>5</v>
      </c>
      <c r="D26" s="56">
        <v>46314</v>
      </c>
      <c r="E26" s="55">
        <v>0</v>
      </c>
      <c r="F26" s="55">
        <f t="shared" ca="1" si="0"/>
        <v>18</v>
      </c>
      <c r="G26" s="64" t="s">
        <v>297</v>
      </c>
    </row>
  </sheetData>
  <conditionalFormatting sqref="F3:G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5" x14ac:dyDescent="0.25"/>
  <cols>
    <col min="2" max="2" width="11" style="125" bestFit="1" customWidth="1"/>
    <col min="3" max="3" width="10.7109375" style="55" bestFit="1" customWidth="1"/>
    <col min="4" max="4" width="18" style="55" bestFit="1" customWidth="1"/>
    <col min="5" max="5" width="21.85546875" style="55" customWidth="1"/>
    <col min="6" max="6" width="24.85546875" style="55" bestFit="1" customWidth="1"/>
    <col min="7" max="7" width="23.28515625" style="55" bestFit="1" customWidth="1"/>
    <col min="8" max="8" width="17.85546875" style="55" bestFit="1" customWidth="1"/>
    <col min="9" max="9" width="18" style="55" bestFit="1" customWidth="1"/>
    <col min="10" max="10" width="21.85546875" style="55" bestFit="1" customWidth="1"/>
    <col min="11" max="11" width="24.85546875" style="55" bestFit="1" customWidth="1"/>
    <col min="12" max="12" width="23.28515625" style="55" bestFit="1" customWidth="1"/>
    <col min="13" max="13" width="17.85546875" style="55" bestFit="1" customWidth="1"/>
    <col min="14" max="14" width="18" style="55" bestFit="1" customWidth="1"/>
    <col min="15" max="15" width="21.85546875" style="55" bestFit="1" customWidth="1"/>
    <col min="16" max="16" width="24.85546875" style="55" bestFit="1" customWidth="1"/>
    <col min="17" max="17" width="23.28515625" style="55" bestFit="1" customWidth="1"/>
    <col min="18" max="18" width="17.85546875" style="55" bestFit="1" customWidth="1"/>
    <col min="19" max="19" width="21.28515625" bestFit="1" customWidth="1"/>
    <col min="20" max="20" width="15.7109375" bestFit="1" customWidth="1"/>
    <col min="22" max="22" width="22.28515625" customWidth="1"/>
    <col min="23" max="23" width="13" customWidth="1"/>
    <col min="24" max="24" width="22.85546875" bestFit="1" customWidth="1"/>
    <col min="25" max="25" width="19.85546875" bestFit="1" customWidth="1"/>
    <col min="26" max="26" width="20.85546875" bestFit="1" customWidth="1"/>
  </cols>
  <sheetData>
    <row r="2" spans="2:187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  <c r="BH2" s="202"/>
      <c r="BI2" s="202"/>
      <c r="BJ2" s="202"/>
      <c r="BK2" s="202"/>
      <c r="BL2" s="202"/>
      <c r="BM2" s="202"/>
      <c r="BN2" s="202"/>
      <c r="BO2" s="202"/>
      <c r="BP2" s="202"/>
      <c r="BQ2" s="202"/>
      <c r="BR2" s="202"/>
      <c r="BS2" s="202"/>
      <c r="BT2" s="202"/>
      <c r="BU2" s="202"/>
      <c r="BV2" s="202"/>
      <c r="BW2" s="202"/>
      <c r="BX2" s="202"/>
      <c r="BY2" s="202"/>
      <c r="BZ2" s="202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  <c r="DM2" s="202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2"/>
      <c r="GA2" s="202"/>
      <c r="GB2" s="202"/>
      <c r="GC2" s="202"/>
      <c r="GD2" s="202"/>
      <c r="GE2" s="202"/>
    </row>
    <row r="3" spans="2:187" ht="23.25" hidden="1" customHeight="1" x14ac:dyDescent="0.25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25">
      <c r="B4"/>
      <c r="C4"/>
      <c r="D4" s="200" t="s">
        <v>202</v>
      </c>
      <c r="E4" s="201"/>
      <c r="F4" s="201"/>
      <c r="G4" s="201"/>
      <c r="H4" s="201"/>
      <c r="I4" s="201" t="s">
        <v>203</v>
      </c>
      <c r="J4" s="201"/>
      <c r="K4" s="201"/>
      <c r="L4" s="201"/>
      <c r="M4" s="201"/>
      <c r="N4" s="201" t="s">
        <v>204</v>
      </c>
      <c r="O4" s="201"/>
      <c r="P4" s="201"/>
      <c r="Q4" s="201"/>
      <c r="R4" s="201"/>
    </row>
    <row r="5" spans="2:187" x14ac:dyDescent="0.25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25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25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25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25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25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25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25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25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25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25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25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25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25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25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25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25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25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25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25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25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25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25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25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25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25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25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25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25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25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25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25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25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25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25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25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25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25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25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25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25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25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25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25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25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25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25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25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25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25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25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25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25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25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25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25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25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25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25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25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25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25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25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25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25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25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25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25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25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25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25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25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25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25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25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25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25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25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25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25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25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25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25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25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25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25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25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25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25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25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25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25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25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25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25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25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25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25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25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25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25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25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25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25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25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25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25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25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25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25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25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25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25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25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25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25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25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25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25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25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25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25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25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25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25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25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25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25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25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25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25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25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25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25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25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25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25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25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25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25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25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25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25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25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25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25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25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25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25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25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25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25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25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25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25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25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25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25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25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25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25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25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25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25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25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25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25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25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25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25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25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25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25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25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25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25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25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25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25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25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25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25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25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25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25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25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25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25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25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25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25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25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25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25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25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25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25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25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25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25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25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25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25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25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25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25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25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25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25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25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25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25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25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25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25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25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25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25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25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25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25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25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25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25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25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25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25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25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25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25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25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25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25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25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25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25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25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25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25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25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25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25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25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25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25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25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25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25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25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25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25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25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25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25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25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25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25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25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25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25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25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25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25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25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25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25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25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25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25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25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25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25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25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25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25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25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25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25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25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25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25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25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25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25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25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25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25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25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25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25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25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25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25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25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25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25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25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25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25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25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25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25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25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25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25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25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25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25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25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25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25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25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25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25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25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25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25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25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25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25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25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25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25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25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25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25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25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25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25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25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25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25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25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25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25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25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25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25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25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25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25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25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25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25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25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25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25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25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25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25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25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25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25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25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25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25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25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25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25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25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25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25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25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25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25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25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25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25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5" x14ac:dyDescent="0.25"/>
  <cols>
    <col min="3" max="3" width="17.42578125" customWidth="1"/>
    <col min="4" max="4" width="12.28515625" bestFit="1" customWidth="1"/>
    <col min="5" max="5" width="22.42578125" bestFit="1" customWidth="1"/>
    <col min="6" max="6" width="19.5703125" bestFit="1" customWidth="1"/>
    <col min="7" max="7" width="20.7109375" bestFit="1" customWidth="1"/>
  </cols>
  <sheetData>
    <row r="3" spans="3:7" x14ac:dyDescent="0.25">
      <c r="C3" s="203" t="s">
        <v>201</v>
      </c>
      <c r="D3" s="203"/>
      <c r="E3" s="203"/>
      <c r="F3" s="203"/>
      <c r="G3" s="203"/>
    </row>
    <row r="4" spans="3:7" x14ac:dyDescent="0.25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25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25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00/dd/yy-00/dd/yy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25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00/dd/yy-00/dd/yy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25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00/dd/yy-00/dd/yy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25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00/dd/yy-00/dd/yy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25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00/dd/yy-00/dd/yy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25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00/dd/yy-00/dd/yy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25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00/dd/yy-00/dd/yy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25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00/dd/yy-00/dd/yy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25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00/dd/yy-00/dd/yy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25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00/dd/yy-00/dd/yy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25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00/dd/yy-00/dd/yy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25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00/dd/yy-00/dd/yy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25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00/dd/yy-00/dd/yy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25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00/dd/yy-00/dd/yy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25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00/dd/yy-00/dd/yy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25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00/dd/yy-00/dd/yy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25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00/dd/yy-00/dd/yy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25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00/dd/yy-00/dd/yy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25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00/dd/yy-00/dd/yy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25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00/dd/yy-00/dd/yy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25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00/dd/yy-00/dd/yy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25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00/dd/yy-00/dd/yy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25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00/dd/yy-00/dd/yy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25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00/dd/yy-00/dd/yy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25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00/dd/yy-00/dd/yy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25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00/dd/yy-00/dd/yy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25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00/dd/yy-00/dd/yy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25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00/dd/yy-00/dd/yy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25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00/dd/yy-00/dd/yy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25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00/dd/yy-00/dd/yy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25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00/dd/yy-00/dd/yy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25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00/dd/yy-00/dd/yy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25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00/dd/yy-00/dd/yy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25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00/dd/yy-00/dd/yy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25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00/dd/yy-00/dd/yy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25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00/dd/yy-00/dd/yy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25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00/dd/yy-00/dd/yy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25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00/dd/yy-00/dd/yy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25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00/dd/yy-00/dd/yy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25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00/dd/yy-00/dd/yy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25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00/dd/yy-00/dd/yy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25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00/dd/yy-00/dd/yy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25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00/dd/yy-00/dd/yy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25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00/dd/yy-00/dd/yy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25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00/dd/yy-00/dd/yy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25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00/dd/yy-00/dd/yy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25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00/dd/yy-00/dd/yy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25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00/dd/yy-00/dd/yy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25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00/dd/yy-00/dd/yy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25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00/dd/yy-00/dd/yy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25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00/dd/yy-00/dd/yy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25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00/dd/yy-00/dd/yy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2578125" defaultRowHeight="15" x14ac:dyDescent="0.25"/>
  <cols>
    <col min="2" max="2" width="24" bestFit="1" customWidth="1"/>
    <col min="3" max="3" width="14.5703125" customWidth="1"/>
    <col min="4" max="4" width="52.42578125" style="1" bestFit="1" customWidth="1"/>
    <col min="6" max="6" width="24" bestFit="1" customWidth="1"/>
    <col min="7" max="7" width="14.5703125" bestFit="1" customWidth="1"/>
    <col min="8" max="8" width="21.140625" bestFit="1" customWidth="1"/>
  </cols>
  <sheetData>
    <row r="1" spans="2:8" ht="24" customHeight="1" x14ac:dyDescent="0.25"/>
    <row r="2" spans="2:8" ht="18.75" x14ac:dyDescent="0.25">
      <c r="B2" s="204" t="s">
        <v>13</v>
      </c>
      <c r="C2" s="204"/>
      <c r="D2" s="204"/>
      <c r="F2" s="204" t="s">
        <v>14</v>
      </c>
      <c r="G2" s="204"/>
      <c r="H2" s="204"/>
    </row>
    <row r="3" spans="2:8" x14ac:dyDescent="0.25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75" x14ac:dyDescent="0.25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80" x14ac:dyDescent="0.25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25">
      <c r="B6" s="2">
        <v>45</v>
      </c>
      <c r="C6" s="2" t="s">
        <v>117</v>
      </c>
      <c r="D6" s="60" t="s">
        <v>114</v>
      </c>
    </row>
    <row r="7" spans="2:8" ht="30.75" thickBot="1" x14ac:dyDescent="0.3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Daniel Lozano Barrero</cp:lastModifiedBy>
  <dcterms:created xsi:type="dcterms:W3CDTF">2015-06-05T18:19:34Z</dcterms:created>
  <dcterms:modified xsi:type="dcterms:W3CDTF">2026-09-22T01:46:55Z</dcterms:modified>
</cp:coreProperties>
</file>