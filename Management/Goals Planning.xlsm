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05" documentId="13_ncr:1_{1183A19D-4398-49B4-9D87-8AEBBD3D4E5A}" xr6:coauthVersionLast="47" xr6:coauthVersionMax="47" xr10:uidLastSave="{4E972671-263A-44F7-A17D-AE1F6D608EFD}"/>
  <bookViews>
    <workbookView xWindow="-108" yWindow="-108" windowWidth="23256" windowHeight="13896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E44" i="11"/>
  <c r="G47" i="11"/>
  <c r="C35" i="11" a="1"/>
  <c r="D32" i="11"/>
  <c r="G27" i="11"/>
  <c r="F31" i="11"/>
  <c r="E5" i="11"/>
  <c r="F50" i="11"/>
  <c r="D20" i="11"/>
  <c r="F23" i="11"/>
  <c r="C6" i="11" a="1"/>
  <c r="G35" i="11"/>
  <c r="D50" i="11"/>
  <c r="G39" i="11"/>
  <c r="G38" i="11"/>
  <c r="E14" i="11"/>
  <c r="C13" i="11" a="1"/>
  <c r="G33" i="11"/>
  <c r="D23" i="11"/>
  <c r="E42" i="11"/>
  <c r="D22" i="11"/>
  <c r="F55" i="11"/>
  <c r="C30" i="11" a="1"/>
  <c r="F29" i="11"/>
  <c r="C55" i="11" a="1"/>
  <c r="C57" i="11" a="1"/>
  <c r="G15" i="11"/>
  <c r="G31" i="11"/>
  <c r="F38" i="11"/>
  <c r="F44" i="11"/>
  <c r="C18" i="11" a="1"/>
  <c r="F41" i="11"/>
  <c r="F15" i="11"/>
  <c r="F47" i="11"/>
  <c r="F52" i="11"/>
  <c r="E37" i="11"/>
  <c r="E38" i="11"/>
  <c r="E28" i="11"/>
  <c r="D34" i="11"/>
  <c r="F37" i="11"/>
  <c r="E50" i="11"/>
  <c r="D40" i="11"/>
  <c r="D35" i="11"/>
  <c r="E33" i="11"/>
  <c r="D55" i="11"/>
  <c r="F19" i="11"/>
  <c r="D51" i="11"/>
  <c r="E47" i="11"/>
  <c r="D41" i="11"/>
  <c r="G14" i="11"/>
  <c r="F32" i="11"/>
  <c r="E34" i="11"/>
  <c r="E23" i="11"/>
  <c r="F33" i="11"/>
  <c r="D54" i="11"/>
  <c r="G24" i="11"/>
  <c r="E45" i="11"/>
  <c r="C48" i="11" a="1"/>
  <c r="E46" i="11"/>
  <c r="C39" i="11" a="1"/>
  <c r="C25" i="11" a="1"/>
  <c r="C49" i="11" a="1"/>
  <c r="C33" i="11" a="1"/>
  <c r="G55" i="11"/>
  <c r="C41" i="11" a="1"/>
  <c r="E16" i="11"/>
  <c r="F28" i="11"/>
  <c r="F56" i="11"/>
  <c r="G23" i="11"/>
  <c r="G19" i="11"/>
  <c r="F17" i="11"/>
  <c r="F54" i="11"/>
  <c r="G48" i="11"/>
  <c r="C5" i="11" a="1"/>
  <c r="G25" i="11"/>
  <c r="F16" i="11"/>
  <c r="E15" i="11"/>
  <c r="F36" i="11"/>
  <c r="D28" i="11"/>
  <c r="D24" i="11"/>
  <c r="D37" i="11"/>
  <c r="E35" i="11"/>
  <c r="C11" i="11" a="1"/>
  <c r="C51" i="11" a="1"/>
  <c r="D52" i="11"/>
  <c r="D26" i="11"/>
  <c r="C56" i="11" a="1"/>
  <c r="G57" i="11"/>
  <c r="G42" i="11"/>
  <c r="D45" i="11"/>
  <c r="E24" i="11"/>
  <c r="G56" i="11"/>
  <c r="E30" i="11"/>
  <c r="F14" i="11"/>
  <c r="E17" i="11"/>
  <c r="C7" i="11" a="1"/>
  <c r="G43" i="11"/>
  <c r="F43" i="11"/>
  <c r="G26" i="11"/>
  <c r="E49" i="11"/>
  <c r="F26" i="11"/>
  <c r="D27" i="11"/>
  <c r="G37" i="11"/>
  <c r="G52" i="11"/>
  <c r="G54" i="11"/>
  <c r="G44" i="11"/>
  <c r="G51" i="11"/>
  <c r="C19" i="11" a="1"/>
  <c r="C9" i="11" a="1"/>
  <c r="G21" i="11"/>
  <c r="C42" i="11" a="1"/>
  <c r="C23" i="11" a="1"/>
  <c r="C22" i="11" a="1"/>
  <c r="F34" i="11"/>
  <c r="D57" i="11"/>
  <c r="C47" i="11" a="1"/>
  <c r="D43" i="11"/>
  <c r="G41" i="11"/>
  <c r="C37" i="11" a="1"/>
  <c r="F24" i="11"/>
  <c r="D39" i="11"/>
  <c r="E53" i="11"/>
  <c r="E39" i="11"/>
  <c r="E57" i="11"/>
  <c r="D56" i="11"/>
  <c r="F5" i="11"/>
  <c r="F57" i="11"/>
  <c r="G16" i="11"/>
  <c r="D14" i="11"/>
  <c r="G46" i="11"/>
  <c r="D42" i="11"/>
  <c r="F46" i="11"/>
  <c r="F40" i="11"/>
  <c r="C52" i="11" a="1"/>
  <c r="C27" i="11" a="1"/>
  <c r="D19" i="11"/>
  <c r="C12" i="11" a="1"/>
  <c r="G30" i="11"/>
  <c r="E32" i="11"/>
  <c r="D53" i="11"/>
  <c r="G40" i="11"/>
  <c r="F30" i="11"/>
  <c r="E52" i="11"/>
  <c r="G28" i="11"/>
  <c r="G29" i="11"/>
  <c r="E19" i="11"/>
  <c r="D44" i="11"/>
  <c r="D33" i="11"/>
  <c r="C40" i="11" a="1"/>
  <c r="D48" i="11"/>
  <c r="D29" i="11"/>
  <c r="C10" i="11" a="1"/>
  <c r="G17" i="11"/>
  <c r="C15" i="11" a="1"/>
  <c r="G18" i="11"/>
  <c r="G20" i="11"/>
  <c r="E18" i="11"/>
  <c r="E27" i="11"/>
  <c r="D47" i="11"/>
  <c r="D21" i="11"/>
  <c r="G5" i="11"/>
  <c r="G53" i="11"/>
  <c r="D16" i="11"/>
  <c r="E29" i="11"/>
  <c r="C45" i="11" a="1"/>
  <c r="E51" i="11"/>
  <c r="G49" i="11"/>
  <c r="C50" i="11" a="1"/>
  <c r="F48" i="11"/>
  <c r="E55" i="11"/>
  <c r="E36" i="11"/>
  <c r="C31" i="11" a="1"/>
  <c r="E48" i="11"/>
  <c r="C43" i="11" a="1"/>
  <c r="F35" i="11"/>
  <c r="G22" i="11"/>
  <c r="E40" i="11"/>
  <c r="E31" i="11"/>
  <c r="G32" i="11"/>
  <c r="C17" i="11" a="1"/>
  <c r="C20" i="11" a="1"/>
  <c r="C28" i="11" a="1"/>
  <c r="D30" i="11"/>
  <c r="E20" i="11"/>
  <c r="C44" i="11" a="1"/>
  <c r="C53" i="11" a="1"/>
  <c r="F21" i="11"/>
  <c r="E41" i="11"/>
  <c r="D15" i="11"/>
  <c r="D38" i="11"/>
  <c r="F45" i="11"/>
  <c r="G45" i="11"/>
  <c r="C36" i="11" a="1"/>
  <c r="F25" i="11"/>
  <c r="F49" i="11"/>
  <c r="C29" i="11" a="1"/>
  <c r="C32" i="11" a="1"/>
  <c r="C46" i="11" a="1"/>
  <c r="D46" i="11"/>
  <c r="E26" i="11"/>
  <c r="G36" i="11"/>
  <c r="E21" i="11"/>
  <c r="F51" i="11"/>
  <c r="D25" i="11"/>
  <c r="G50" i="11"/>
  <c r="C14" i="11" a="1"/>
  <c r="E25" i="11"/>
  <c r="F22" i="11"/>
  <c r="F27" i="11"/>
  <c r="F53" i="11"/>
  <c r="F39" i="11"/>
  <c r="G34" i="11"/>
  <c r="E22" i="11"/>
  <c r="D17" i="11"/>
  <c r="E54" i="11"/>
  <c r="C16" i="11" a="1"/>
  <c r="C8" i="11" a="1"/>
  <c r="C54" i="11" a="1"/>
  <c r="F18" i="11"/>
  <c r="C38" i="11" a="1"/>
  <c r="C26" i="11" a="1"/>
  <c r="E43" i="11"/>
  <c r="E56" i="11"/>
  <c r="F42" i="11"/>
  <c r="D31" i="11"/>
  <c r="D5" i="11"/>
  <c r="D36" i="11"/>
  <c r="D18" i="11"/>
  <c r="F20" i="11"/>
  <c r="D49" i="11"/>
  <c r="C34" i="11" a="1"/>
  <c r="C21" i="11" a="1"/>
  <c r="C24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0" i="11"/>
  <c r="E11" i="11"/>
  <c r="D10" i="11"/>
  <c r="G9" i="11"/>
  <c r="G11" i="11"/>
  <c r="G13" i="11"/>
  <c r="G12" i="11"/>
  <c r="F13" i="11"/>
  <c r="F11" i="11"/>
  <c r="D9" i="11"/>
  <c r="G8" i="11"/>
  <c r="E8" i="11"/>
  <c r="E9" i="11"/>
  <c r="F12" i="11"/>
  <c r="D8" i="11"/>
  <c r="D13" i="11"/>
  <c r="F9" i="11"/>
  <c r="D11" i="11"/>
  <c r="D12" i="11"/>
  <c r="G10" i="11"/>
  <c r="E12" i="11"/>
  <c r="E13" i="11"/>
  <c r="F8" i="11"/>
  <c r="E10" i="11"/>
  <c r="E15" i="7" l="1"/>
  <c r="E18" i="7"/>
  <c r="E17" i="7"/>
  <c r="E13" i="7"/>
  <c r="D13" i="7"/>
  <c r="D7" i="11"/>
  <c r="F7" i="11"/>
  <c r="E7" i="11"/>
  <c r="G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4" i="5"/>
  <c r="F3" i="5"/>
  <c r="E10" i="7"/>
  <c r="E9" i="7"/>
  <c r="B10" i="8" l="1"/>
  <c r="C9" i="8"/>
  <c r="A8" i="1"/>
  <c r="B8" i="1" s="1"/>
  <c r="D15" i="7"/>
  <c r="D14" i="7"/>
  <c r="D9" i="7"/>
  <c r="D10" i="7"/>
  <c r="D17" i="7"/>
  <c r="D18" i="7"/>
  <c r="D16" i="7"/>
  <c r="D3" i="7"/>
  <c r="D6" i="7"/>
  <c r="D8" i="7"/>
  <c r="D7" i="7"/>
  <c r="D12" i="7"/>
  <c r="D11" i="7"/>
  <c r="D5" i="7"/>
  <c r="D4" i="7"/>
  <c r="E6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1" i="7"/>
  <c r="E12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3" i="7"/>
  <c r="E8" i="7"/>
  <c r="E7" i="7"/>
  <c r="E5" i="7"/>
  <c r="E4" i="7"/>
  <c r="E14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<sst xmlns="http://schemas.openxmlformats.org/spreadsheetml/2006/main" count="5220" uniqueCount="322">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</sst>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</c:v>
                </c:pt>
                <c:pt idx="1">
                  <c:v>4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15" zoomScaleNormal="115" workbookViewId="0">
      <pane ySplit="1" topLeftCell="A36" activePane="bottomLeft" state="frozen"/>
      <selection pane="bottomLeft" activeCell="F52" sqref="F52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76" t="s">
        <v>304</v>
      </c>
      <c r="C48" s="177">
        <v>46293</v>
      </c>
      <c r="D48" s="177">
        <v>46295</v>
      </c>
      <c r="E48" s="178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6" activePane="bottomRight" state="frozen"/>
      <selection pane="topRight" activeCell="C1" sqref="C1"/>
      <selection pane="bottomLeft" activeCell="A2" sqref="A2"/>
      <selection pane="bottomRight" activeCell="C74" sqref="C74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4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3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4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21875" bestFit="1" customWidth="1"/>
    <col min="3" max="3" width="18.5546875" bestFit="1" customWidth="1"/>
    <col min="4" max="4" width="33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250</v>
      </c>
      <c r="C3" s="55" t="s">
        <v>153</v>
      </c>
      <c r="D3" s="56">
        <f ca="1">$B$1048576+_xlfn.CEILING.MATH((TODAY()-$B$1048576)/21, 1)*21-21</f>
        <v>46274</v>
      </c>
      <c r="E3" s="56">
        <f ca="1">$B$1048576+_xlfn.CEILING.MATH((TODAY()-$B$1048576)/21, 1)*21</f>
        <v>46295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46291</v>
      </c>
      <c r="E5" s="56">
        <f ca="1">TODAY()+MOD(6-WEEKDAY(TODAY(),2),7)</f>
        <v>46298</v>
      </c>
    </row>
    <row r="6" spans="2:5" x14ac:dyDescent="0.3">
      <c r="B6" s="55" t="s">
        <v>237</v>
      </c>
      <c r="C6" s="55" t="s">
        <v>141</v>
      </c>
      <c r="D6" s="56">
        <f ca="1">$B$1048562+_xlfn.CEILING.MATH((TODAY()-$B$1048562)/5, 1)*5-5</f>
        <v>46294</v>
      </c>
      <c r="E6" s="56">
        <f ca="1">$B$1048562+_xlfn.CEILING.MATH((TODAY()-$B$1048562)/5, 1)*5</f>
        <v>46299</v>
      </c>
    </row>
    <row r="7" spans="2:5" x14ac:dyDescent="0.3">
      <c r="B7" s="55" t="s">
        <v>145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3">
      <c r="B8" s="55" t="s">
        <v>146</v>
      </c>
      <c r="C8" s="55" t="s">
        <v>147</v>
      </c>
      <c r="D8" s="56">
        <f ca="1">TODAY()+MOD(7-WEEKDAY(TODAY(),2),7)-7</f>
        <v>46292</v>
      </c>
      <c r="E8" s="56">
        <f ca="1">TODAY()+MOD(7-WEEKDAY(TODAY(),2),7)</f>
        <v>46299</v>
      </c>
    </row>
    <row r="9" spans="2:5" x14ac:dyDescent="0.3">
      <c r="B9" s="55" t="s">
        <v>134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3">
      <c r="B10" s="55" t="s">
        <v>149</v>
      </c>
      <c r="C10" s="55" t="s">
        <v>190</v>
      </c>
      <c r="D10" s="56">
        <f ca="1">IF(DAY(TODAY())&gt;5,
   DATE(YEAR(TODAY()),MONTH(TODAY()),5),
   DATE(YEAR(TODAY()),MONTH(TODAY())-1,5))</f>
        <v>46270</v>
      </c>
      <c r="E10" s="56">
        <f ca="1">IF(DAY(TODAY())&lt;=5,
   DATE(YEAR(TODAY()),MONTH(TODAY()),5),
   DATE(YEAR(TODAY()),MONTH(TODAY())+1,5))</f>
        <v>46300</v>
      </c>
    </row>
    <row r="11" spans="2:5" x14ac:dyDescent="0.3">
      <c r="B11" s="55" t="s">
        <v>130</v>
      </c>
      <c r="C11" s="55" t="s">
        <v>143</v>
      </c>
      <c r="D11" s="56">
        <f ca="1">$B$1048565+_xlfn.CEILING.MATH((TODAY()-$B$1048565)/14, 1)*14-14</f>
        <v>46291</v>
      </c>
      <c r="E11" s="56">
        <f ca="1">$B$1048565+_xlfn.CEILING.MATH((TODAY()-$B$1048565)/14, 1)*14</f>
        <v>46305</v>
      </c>
    </row>
    <row r="12" spans="2:5" x14ac:dyDescent="0.3">
      <c r="B12" s="55" t="s">
        <v>135</v>
      </c>
      <c r="C12" s="55" t="s">
        <v>143</v>
      </c>
      <c r="D12" s="56">
        <f ca="1">$B$1048569+_xlfn.CEILING.MATH((TODAY()-$B$1048569)/14, 1)*14-14</f>
        <v>46291</v>
      </c>
      <c r="E12" s="56">
        <f ca="1">$B$1048569+_xlfn.CEILING.MATH((TODAY()-$B$1048569)/14, 1)*14</f>
        <v>46305</v>
      </c>
    </row>
    <row r="13" spans="2:5" x14ac:dyDescent="0.3">
      <c r="B13" s="55" t="s">
        <v>235</v>
      </c>
      <c r="C13" s="55" t="s">
        <v>236</v>
      </c>
      <c r="D13" s="56">
        <f ca="1">IF(DAY(TODAY())&gt;10,
   DATE(YEAR(TODAY()),MONTH(TODAY()),10),
   DATE(YEAR(TODAY()),MONTH(TODAY())-1,10))</f>
        <v>46275</v>
      </c>
      <c r="E13" s="56">
        <f ca="1">IF(DAY(TODAY())&lt;=10,
   DATE(YEAR(TODAY()),MONTH(TODAY()),10),
   DATE(YEAR(TODAY()),MONTH(TODAY())+1,10))</f>
        <v>46305</v>
      </c>
    </row>
    <row r="14" spans="2:5" x14ac:dyDescent="0.3">
      <c r="B14" s="55" t="s">
        <v>238</v>
      </c>
      <c r="C14" s="55" t="s">
        <v>144</v>
      </c>
      <c r="D14" s="56">
        <f ca="1">IF(DAY(TODAY())&gt;15,
   DATE(YEAR(TODAY()),MONTH(TODAY()),15),
   DATE(YEAR(TODAY()),MONTH(TODAY())-1,15))</f>
        <v>46280</v>
      </c>
      <c r="E14" s="56">
        <f ca="1">IF(DAY(TODAY())&lt;=15,
   DATE(YEAR(TODAY()),MONTH(TODAY()),15),
   DATE(YEAR(TODAY()),MONTH(TODAY())+1,15))</f>
        <v>46310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" sqref="B2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110</v>
      </c>
      <c r="G3" s="64"/>
    </row>
    <row r="4" spans="2:7" x14ac:dyDescent="0.3">
      <c r="B4" s="55" t="s">
        <v>97</v>
      </c>
      <c r="C4" s="55">
        <v>5</v>
      </c>
      <c r="D4" s="56">
        <v>46229</v>
      </c>
      <c r="E4" s="55">
        <v>1</v>
      </c>
      <c r="F4" s="55">
        <f t="shared" ca="1" si="0"/>
        <v>110</v>
      </c>
      <c r="G4" s="64"/>
    </row>
    <row r="5" spans="2:7" x14ac:dyDescent="0.3">
      <c r="B5" s="55" t="s">
        <v>92</v>
      </c>
      <c r="C5" s="55">
        <v>3</v>
      </c>
      <c r="D5" s="56">
        <v>46229</v>
      </c>
      <c r="E5" s="55">
        <v>0</v>
      </c>
      <c r="F5" s="55">
        <f t="shared" ca="1" si="0"/>
        <v>109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106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103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102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101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100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100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100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95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95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95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93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93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93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87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87</v>
      </c>
      <c r="G20" s="64"/>
    </row>
    <row r="21" spans="2:7" x14ac:dyDescent="0.3">
      <c r="B21" s="55" t="s">
        <v>239</v>
      </c>
      <c r="C21" s="55">
        <v>2</v>
      </c>
      <c r="D21" s="56">
        <v>46257</v>
      </c>
      <c r="E21" s="55">
        <v>0</v>
      </c>
      <c r="F21" s="55">
        <f t="shared" ca="1" si="0"/>
        <v>80</v>
      </c>
      <c r="G21" s="64"/>
    </row>
    <row r="22" spans="2:7" x14ac:dyDescent="0.3">
      <c r="B22" s="55" t="s">
        <v>246</v>
      </c>
      <c r="C22" s="55">
        <v>3</v>
      </c>
      <c r="D22" s="56">
        <v>46257</v>
      </c>
      <c r="E22" s="55">
        <v>2</v>
      </c>
      <c r="F22" s="55">
        <f t="shared" ca="1" si="0"/>
        <v>79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79</v>
      </c>
      <c r="G23" s="64"/>
    </row>
    <row r="24" spans="2:7" x14ac:dyDescent="0.3">
      <c r="B24" s="55" t="s">
        <v>315</v>
      </c>
      <c r="C24" s="55">
        <v>5</v>
      </c>
      <c r="D24" s="56">
        <v>46300</v>
      </c>
      <c r="E24" s="55">
        <v>0</v>
      </c>
      <c r="F24" s="55">
        <f t="shared" ca="1" si="0"/>
        <v>40</v>
      </c>
      <c r="G24" s="64" t="s">
        <v>314</v>
      </c>
    </row>
    <row r="25" spans="2:7" x14ac:dyDescent="0.3">
      <c r="B25" s="55" t="s">
        <v>321</v>
      </c>
      <c r="C25" s="55">
        <v>5</v>
      </c>
      <c r="D25" s="56">
        <v>46300</v>
      </c>
      <c r="E25" s="55">
        <v>0</v>
      </c>
      <c r="F25" s="55">
        <f t="shared" ca="1" si="0"/>
        <v>40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26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3"/>
      <c r="GA2" s="203"/>
      <c r="GB2" s="203"/>
      <c r="GC2" s="203"/>
      <c r="GD2" s="203"/>
      <c r="GE2" s="203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1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2026-10-01T01:23:40Z</dcterms:modified>
</cp:coreProperties>
</file>