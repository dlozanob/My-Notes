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3.xml" ContentType="application/vnd.openxmlformats-officedocument.spreadsheetml.table+xml"/>
  <Override PartName="/xl/drawings/drawing6.xml" ContentType="application/vnd.openxmlformats-officedocument.drawing+xml"/>
  <Override PartName="/xl/tables/table4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tables/table5.xml" ContentType="application/vnd.openxmlformats-officedocument.spreadsheetml.table+xml"/>
  <Override PartName="/xl/drawings/drawing8.xml" ContentType="application/vnd.openxmlformats-officedocument.drawing+xml"/>
  <Override PartName="/xl/tables/table6.xml" ContentType="application/vnd.openxmlformats-officedocument.spreadsheetml.table+xml"/>
  <Override PartName="/xl/drawings/drawing9.xml" ContentType="application/vnd.openxmlformats-officedocument.drawing+xml"/>
  <Override PartName="/xl/tables/table7.xml" ContentType="application/vnd.openxmlformats-officedocument.spreadsheetml.table+xml"/>
  <Override PartName="/xl/drawings/drawing10.xml" ContentType="application/vnd.openxmlformats-officedocument.drawing+xml"/>
  <Override PartName="/xl/tables/table8.xml" ContentType="application/vnd.openxmlformats-officedocument.spreadsheetml.table+xml"/>
  <Override PartName="/xl/drawings/drawing11.xml" ContentType="application/vnd.openxmlformats-officedocument.drawing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aciww-my.sharepoint.com/personal/daniel_lozanobarrero_aciworldwide_com/Documents/Documents/My-Notes/Management/"/>
    </mc:Choice>
  </mc:AlternateContent>
  <xr:revisionPtr revIDLastSave="74" documentId="13_ncr:1_{31399611-A72B-479F-B6BD-BAF938C2611F}" xr6:coauthVersionLast="47" xr6:coauthVersionMax="47" xr10:uidLastSave="{46DF04A2-B17C-40F2-9BC0-E39546E2D4C4}"/>
  <bookViews>
    <workbookView xWindow="-108" yWindow="-108" windowWidth="23256" windowHeight="13896" firstSheet="1" activeTab="2" xr2:uid="{00000000-000D-0000-FFFF-FFFF00000000}"/>
  </bookViews>
  <sheets>
    <sheet name="MAIN" sheetId="9" r:id="rId1"/>
    <sheet name="Vision Board" sheetId="4" r:id="rId2"/>
    <sheet name="Detailed Planning" sheetId="3" r:id="rId3"/>
    <sheet name="Schedule" sheetId="2" r:id="rId4"/>
    <sheet name="Logbook" sheetId="1" r:id="rId5"/>
    <sheet name="Logbook Totals" sheetId="10" r:id="rId6"/>
    <sheet name="Recurrent Tasks Tracker" sheetId="7" r:id="rId7"/>
    <sheet name="To-Do List" sheetId="5" r:id="rId8"/>
    <sheet name="Study Tracker" sheetId="8" r:id="rId9"/>
    <sheet name="Study Tracker Totals" sheetId="11" r:id="rId10"/>
    <sheet name="Calisthenics Routine" sheetId="6" r:id="rId11"/>
  </sheets>
  <definedNames>
    <definedName name="_xlnm._FilterDatabase" localSheetId="4" hidden="1">Logbook!#REF!</definedName>
    <definedName name="_xlpm.e" hidden="1" xlm="1">#NAME?</definedName>
    <definedName name="_xlpm.mins" hidden="1" xlm="1">#NAME?</definedName>
    <definedName name="_xlpm.s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27" i="5" l="1"/>
  <c r="F26" i="5" l="1"/>
  <c r="F23" i="5"/>
  <c r="I32" i="2"/>
  <c r="G31" i="2"/>
  <c r="E43" i="3"/>
  <c r="E44" i="3"/>
  <c r="E45" i="3"/>
  <c r="E46" i="3"/>
  <c r="E47" i="3"/>
  <c r="E48" i="3"/>
  <c r="E49" i="3"/>
  <c r="E50" i="3"/>
  <c r="E51" i="3"/>
  <c r="E52" i="3"/>
  <c r="E53" i="3"/>
  <c r="E54" i="3"/>
  <c r="E55" i="3"/>
  <c r="E56" i="3"/>
  <c r="E57" i="3"/>
  <c r="E42" i="3"/>
  <c r="F25" i="5"/>
  <c r="E10" i="10"/>
  <c r="F10" i="10"/>
  <c r="G10" i="10"/>
  <c r="H10" i="10"/>
  <c r="I10" i="10"/>
  <c r="J10" i="10"/>
  <c r="K10" i="10"/>
  <c r="M10" i="10"/>
  <c r="N10" i="10"/>
  <c r="F33" i="2"/>
  <c r="D33" i="2"/>
  <c r="K28" i="2"/>
  <c r="I25" i="2"/>
  <c r="H33" i="2"/>
  <c r="G33" i="2"/>
  <c r="H31" i="2"/>
  <c r="F31" i="2"/>
  <c r="E32" i="2"/>
  <c r="C31" i="2"/>
  <c r="F26" i="2"/>
  <c r="F28" i="2"/>
  <c r="F29" i="2"/>
  <c r="D29" i="2"/>
  <c r="E27" i="2"/>
  <c r="D27" i="2"/>
  <c r="F27" i="2"/>
  <c r="G27" i="2"/>
  <c r="C27" i="2"/>
  <c r="D26" i="2"/>
  <c r="G26" i="2"/>
  <c r="C26" i="2"/>
  <c r="C6" i="8"/>
  <c r="B2" i="1"/>
  <c r="N4" i="10"/>
  <c r="N5" i="10"/>
  <c r="N6" i="10"/>
  <c r="N7" i="10"/>
  <c r="N8" i="10"/>
  <c r="N9" i="10"/>
  <c r="M4" i="10"/>
  <c r="M5" i="10"/>
  <c r="M6" i="10"/>
  <c r="M7" i="10"/>
  <c r="M8" i="10"/>
  <c r="M9" i="10"/>
  <c r="E26" i="2"/>
  <c r="G3" i="10" s="1"/>
  <c r="M3" i="10"/>
  <c r="N3" i="10"/>
  <c r="E5" i="10"/>
  <c r="F5" i="10"/>
  <c r="G5" i="10"/>
  <c r="H5" i="10"/>
  <c r="I5" i="10"/>
  <c r="J5" i="10"/>
  <c r="K5" i="10"/>
  <c r="D56" i="11"/>
  <c r="F20" i="11"/>
  <c r="E52" i="11"/>
  <c r="E14" i="11"/>
  <c r="E26" i="11"/>
  <c r="E5" i="11"/>
  <c r="F32" i="11"/>
  <c r="D36" i="11"/>
  <c r="E40" i="11"/>
  <c r="C46" i="11" a="1"/>
  <c r="E51" i="11"/>
  <c r="D32" i="11"/>
  <c r="G44" i="11"/>
  <c r="C34" i="11" a="1"/>
  <c r="C20" i="11" a="1"/>
  <c r="E38" i="11"/>
  <c r="E56" i="11"/>
  <c r="F15" i="11"/>
  <c r="G28" i="11"/>
  <c r="F17" i="11"/>
  <c r="C32" i="11" a="1"/>
  <c r="G15" i="11"/>
  <c r="C43" i="11" a="1"/>
  <c r="G23" i="11"/>
  <c r="C26" i="11" a="1"/>
  <c r="G20" i="11"/>
  <c r="G33" i="11"/>
  <c r="F43" i="11"/>
  <c r="G14" i="11"/>
  <c r="E24" i="11"/>
  <c r="G47" i="11"/>
  <c r="C53" i="11" a="1"/>
  <c r="F23" i="11"/>
  <c r="E20" i="11"/>
  <c r="F41" i="11"/>
  <c r="G52" i="11"/>
  <c r="G43" i="11"/>
  <c r="D5" i="11"/>
  <c r="F34" i="11"/>
  <c r="D25" i="11"/>
  <c r="F36" i="11"/>
  <c r="D23" i="11"/>
  <c r="G5" i="11"/>
  <c r="D41" i="11"/>
  <c r="C52" i="11" a="1"/>
  <c r="C40" i="11" a="1"/>
  <c r="C16" i="11" a="1"/>
  <c r="C15" i="11" a="1"/>
  <c r="C48" i="11" a="1"/>
  <c r="E33" i="11"/>
  <c r="F22" i="11"/>
  <c r="E47" i="11"/>
  <c r="D44" i="11"/>
  <c r="G35" i="11"/>
  <c r="G26" i="11"/>
  <c r="C31" i="11" a="1"/>
  <c r="C36" i="11" a="1"/>
  <c r="E18" i="11"/>
  <c r="C22" i="11" a="1"/>
  <c r="G32" i="11"/>
  <c r="C24" i="11" a="1"/>
  <c r="E35" i="11"/>
  <c r="E30" i="11"/>
  <c r="D31" i="11"/>
  <c r="D43" i="11"/>
  <c r="F30" i="11"/>
  <c r="D37" i="11"/>
  <c r="E41" i="11"/>
  <c r="F16" i="11"/>
  <c r="F39" i="11"/>
  <c r="C17" i="11" a="1"/>
  <c r="C19" i="11" a="1"/>
  <c r="E23" i="11"/>
  <c r="D28" i="11"/>
  <c r="C54" i="11" a="1"/>
  <c r="F57" i="11"/>
  <c r="E34" i="11"/>
  <c r="C14" i="11" a="1"/>
  <c r="D49" i="11"/>
  <c r="G45" i="11"/>
  <c r="E43" i="11"/>
  <c r="C39" i="11" a="1"/>
  <c r="C9" i="11" a="1"/>
  <c r="G34" i="11"/>
  <c r="D26" i="11"/>
  <c r="D40" i="11"/>
  <c r="G39" i="11"/>
  <c r="D29" i="11"/>
  <c r="E37" i="11"/>
  <c r="D39" i="11"/>
  <c r="C49" i="11" a="1"/>
  <c r="D20" i="11"/>
  <c r="F54" i="11"/>
  <c r="E28" i="11"/>
  <c r="C10" i="11" a="1"/>
  <c r="F29" i="11"/>
  <c r="C38" i="11" a="1"/>
  <c r="C23" i="11" a="1"/>
  <c r="D51" i="11"/>
  <c r="F44" i="11"/>
  <c r="D16" i="11"/>
  <c r="D22" i="11"/>
  <c r="F35" i="11"/>
  <c r="G22" i="11"/>
  <c r="C30" i="11" a="1"/>
  <c r="E31" i="11"/>
  <c r="C8" i="11" a="1"/>
  <c r="E15" i="11"/>
  <c r="D53" i="11"/>
  <c r="D52" i="11"/>
  <c r="F42" i="11"/>
  <c r="C33" i="11" a="1"/>
  <c r="C45" i="11" a="1"/>
  <c r="G50" i="11"/>
  <c r="F49" i="11"/>
  <c r="E29" i="11"/>
  <c r="F27" i="11"/>
  <c r="F21" i="11"/>
  <c r="G18" i="11"/>
  <c r="E39" i="11"/>
  <c r="F46" i="11"/>
  <c r="G53" i="11"/>
  <c r="C42" i="11" a="1"/>
  <c r="D48" i="11"/>
  <c r="F5" i="11"/>
  <c r="E44" i="11"/>
  <c r="F56" i="11"/>
  <c r="G48" i="11"/>
  <c r="C37" i="11" a="1"/>
  <c r="G56" i="11"/>
  <c r="C29" i="11" a="1"/>
  <c r="C57" i="11" a="1"/>
  <c r="E49" i="11"/>
  <c r="F53" i="11"/>
  <c r="F24" i="11"/>
  <c r="C7" i="11" a="1"/>
  <c r="G16" i="11"/>
  <c r="E16" i="11"/>
  <c r="G27" i="11"/>
  <c r="C55" i="11" a="1"/>
  <c r="D19" i="11"/>
  <c r="D54" i="11"/>
  <c r="F26" i="11"/>
  <c r="F38" i="11"/>
  <c r="F18" i="11"/>
  <c r="E46" i="11"/>
  <c r="D55" i="11"/>
  <c r="F50" i="11"/>
  <c r="D24" i="11"/>
  <c r="E17" i="11"/>
  <c r="F19" i="11"/>
  <c r="D46" i="11"/>
  <c r="E45" i="11"/>
  <c r="G24" i="11"/>
  <c r="D14" i="11"/>
  <c r="C41" i="11" a="1"/>
  <c r="F28" i="11"/>
  <c r="C5" i="11" a="1"/>
  <c r="F25" i="11"/>
  <c r="G54" i="11"/>
  <c r="F52" i="11"/>
  <c r="G36" i="11"/>
  <c r="G30" i="11"/>
  <c r="F55" i="11"/>
  <c r="D21" i="11"/>
  <c r="F45" i="11"/>
  <c r="G51" i="11"/>
  <c r="D18" i="11"/>
  <c r="F40" i="11"/>
  <c r="C50" i="11" a="1"/>
  <c r="F31" i="11"/>
  <c r="G38" i="11"/>
  <c r="F33" i="11"/>
  <c r="C6" i="11" a="1"/>
  <c r="E48" i="11"/>
  <c r="D17" i="11"/>
  <c r="C18" i="11" a="1"/>
  <c r="G40" i="11"/>
  <c r="C35" i="11" a="1"/>
  <c r="G49" i="11"/>
  <c r="G31" i="11"/>
  <c r="D35" i="11"/>
  <c r="C11" i="11" a="1"/>
  <c r="E50" i="11"/>
  <c r="C12" i="11" a="1"/>
  <c r="C28" i="11" a="1"/>
  <c r="D15" i="11"/>
  <c r="G57" i="11"/>
  <c r="D30" i="11"/>
  <c r="C47" i="11" a="1"/>
  <c r="E57" i="11"/>
  <c r="D47" i="11"/>
  <c r="G37" i="11"/>
  <c r="G29" i="11"/>
  <c r="G55" i="11"/>
  <c r="G41" i="11"/>
  <c r="D57" i="11"/>
  <c r="E36" i="11"/>
  <c r="C56" i="11" a="1"/>
  <c r="G25" i="11"/>
  <c r="E21" i="11"/>
  <c r="D27" i="11"/>
  <c r="E42" i="11"/>
  <c r="F51" i="11"/>
  <c r="C44" i="11" a="1"/>
  <c r="G42" i="11"/>
  <c r="D42" i="11"/>
  <c r="F14" i="11"/>
  <c r="C25" i="11" a="1"/>
  <c r="G19" i="11"/>
  <c r="E27" i="11"/>
  <c r="D38" i="11"/>
  <c r="G21" i="11"/>
  <c r="C51" i="11" a="1"/>
  <c r="F48" i="11"/>
  <c r="E53" i="11"/>
  <c r="D33" i="11"/>
  <c r="G46" i="11"/>
  <c r="E19" i="11"/>
  <c r="E55" i="11"/>
  <c r="C27" i="11" a="1"/>
  <c r="D45" i="11"/>
  <c r="F37" i="11"/>
  <c r="D34" i="11"/>
  <c r="E32" i="11"/>
  <c r="C13" i="11" a="1"/>
  <c r="G17" i="11"/>
  <c r="F47" i="11"/>
  <c r="E54" i="11"/>
  <c r="E22" i="11"/>
  <c r="E25" i="11"/>
  <c r="C21" i="11" a="1"/>
  <c r="D50" i="11"/>
  <c r="L9" i="10" l="1" a="1"/>
  <c r="L9" i="10" s="1"/>
  <c r="L8" i="10" a="1"/>
  <c r="L8" i="10" s="1"/>
  <c r="L10" i="10" a="1"/>
  <c r="L10" i="10" s="1"/>
  <c r="L3" i="10" a="1"/>
  <c r="L3" i="10" s="1"/>
  <c r="L6" i="10" a="1"/>
  <c r="L6" i="10" s="1"/>
  <c r="L7" i="10" a="1"/>
  <c r="L7" i="10" s="1"/>
  <c r="L5" i="10" a="1"/>
  <c r="L5" i="10" s="1"/>
  <c r="L4" i="10" a="1"/>
  <c r="L4" i="10" s="1"/>
  <c r="D10" i="10" a="1"/>
  <c r="D10" i="10" s="1"/>
  <c r="C23" i="11"/>
  <c r="C39" i="11"/>
  <c r="C47" i="11"/>
  <c r="C10" i="11"/>
  <c r="C18" i="11"/>
  <c r="C26" i="11"/>
  <c r="C34" i="11"/>
  <c r="C42" i="11"/>
  <c r="C50" i="11"/>
  <c r="C13" i="11"/>
  <c r="C21" i="11"/>
  <c r="C29" i="11"/>
  <c r="C37" i="11"/>
  <c r="C45" i="11"/>
  <c r="C53" i="11"/>
  <c r="C40" i="11"/>
  <c r="C56" i="11"/>
  <c r="C35" i="11"/>
  <c r="C14" i="11"/>
  <c r="C22" i="11"/>
  <c r="C30" i="11"/>
  <c r="C38" i="11"/>
  <c r="C46" i="11"/>
  <c r="C54" i="11"/>
  <c r="C55" i="11"/>
  <c r="C16" i="11"/>
  <c r="C19" i="11"/>
  <c r="C51" i="11"/>
  <c r="C25" i="11"/>
  <c r="C33" i="11"/>
  <c r="C41" i="11"/>
  <c r="C49" i="11"/>
  <c r="C57" i="11"/>
  <c r="C24" i="11"/>
  <c r="C17" i="11"/>
  <c r="C7" i="11"/>
  <c r="C31" i="11"/>
  <c r="C8" i="11"/>
  <c r="C32" i="11"/>
  <c r="C48" i="11"/>
  <c r="C5" i="11"/>
  <c r="C27" i="11"/>
  <c r="C6" i="11"/>
  <c r="C12" i="11"/>
  <c r="C20" i="11"/>
  <c r="C28" i="11"/>
  <c r="C36" i="11"/>
  <c r="C44" i="11"/>
  <c r="C52" i="11"/>
  <c r="C15" i="11"/>
  <c r="C11" i="11"/>
  <c r="C43" i="11"/>
  <c r="C9" i="11"/>
  <c r="O3" i="10"/>
  <c r="G9" i="11"/>
  <c r="F8" i="11"/>
  <c r="E11" i="11"/>
  <c r="F11" i="11"/>
  <c r="E13" i="11"/>
  <c r="E9" i="11"/>
  <c r="F9" i="11"/>
  <c r="G13" i="11"/>
  <c r="D12" i="11"/>
  <c r="D8" i="11"/>
  <c r="E8" i="11"/>
  <c r="G10" i="11"/>
  <c r="E10" i="11"/>
  <c r="F13" i="11"/>
  <c r="D13" i="11"/>
  <c r="D10" i="11"/>
  <c r="G8" i="11"/>
  <c r="F12" i="11"/>
  <c r="D9" i="11"/>
  <c r="D11" i="11"/>
  <c r="E12" i="11"/>
  <c r="F10" i="11"/>
  <c r="G11" i="11"/>
  <c r="G12" i="11"/>
  <c r="E7" i="7" l="1"/>
  <c r="E17" i="7"/>
  <c r="E13" i="7"/>
  <c r="E16" i="7"/>
  <c r="D16" i="7"/>
  <c r="D7" i="11"/>
  <c r="F7" i="11"/>
  <c r="G7" i="11"/>
  <c r="E7" i="11"/>
  <c r="F20" i="5" l="1"/>
  <c r="F21" i="5"/>
  <c r="A3" i="1"/>
  <c r="B3" i="1" s="1"/>
  <c r="F24" i="5"/>
  <c r="A4" i="1" l="1"/>
  <c r="B4" i="1" s="1"/>
  <c r="Q372" i="8"/>
  <c r="R372" i="8" s="1"/>
  <c r="Q371" i="8"/>
  <c r="R371" i="8" s="1"/>
  <c r="Q370" i="8"/>
  <c r="R370" i="8" s="1"/>
  <c r="Q369" i="8"/>
  <c r="R369" i="8" s="1"/>
  <c r="Q368" i="8"/>
  <c r="R368" i="8" s="1"/>
  <c r="Q367" i="8"/>
  <c r="R367" i="8" s="1"/>
  <c r="Q366" i="8"/>
  <c r="R366" i="8" s="1"/>
  <c r="Q365" i="8"/>
  <c r="R365" i="8" s="1"/>
  <c r="Q364" i="8"/>
  <c r="R364" i="8" s="1"/>
  <c r="Q363" i="8"/>
  <c r="R363" i="8" s="1"/>
  <c r="Q362" i="8"/>
  <c r="R362" i="8" s="1"/>
  <c r="Q361" i="8"/>
  <c r="R361" i="8" s="1"/>
  <c r="Q360" i="8"/>
  <c r="R360" i="8" s="1"/>
  <c r="Q359" i="8"/>
  <c r="R359" i="8" s="1"/>
  <c r="Q358" i="8"/>
  <c r="R358" i="8" s="1"/>
  <c r="Q357" i="8"/>
  <c r="R357" i="8" s="1"/>
  <c r="Q356" i="8"/>
  <c r="R356" i="8" s="1"/>
  <c r="Q355" i="8"/>
  <c r="R355" i="8" s="1"/>
  <c r="Q354" i="8"/>
  <c r="R354" i="8" s="1"/>
  <c r="Q353" i="8"/>
  <c r="R353" i="8" s="1"/>
  <c r="Q352" i="8"/>
  <c r="R352" i="8" s="1"/>
  <c r="Q351" i="8"/>
  <c r="R351" i="8" s="1"/>
  <c r="Q350" i="8"/>
  <c r="R350" i="8" s="1"/>
  <c r="Q349" i="8"/>
  <c r="R349" i="8" s="1"/>
  <c r="Q348" i="8"/>
  <c r="R348" i="8" s="1"/>
  <c r="Q347" i="8"/>
  <c r="R347" i="8" s="1"/>
  <c r="Q346" i="8"/>
  <c r="R346" i="8" s="1"/>
  <c r="Q345" i="8"/>
  <c r="R345" i="8" s="1"/>
  <c r="Q344" i="8"/>
  <c r="R344" i="8" s="1"/>
  <c r="Q343" i="8"/>
  <c r="R343" i="8" s="1"/>
  <c r="Q342" i="8"/>
  <c r="R342" i="8" s="1"/>
  <c r="Q341" i="8"/>
  <c r="R341" i="8" s="1"/>
  <c r="Q340" i="8"/>
  <c r="R340" i="8" s="1"/>
  <c r="Q339" i="8"/>
  <c r="R339" i="8" s="1"/>
  <c r="Q338" i="8"/>
  <c r="R338" i="8" s="1"/>
  <c r="Q337" i="8"/>
  <c r="R337" i="8" s="1"/>
  <c r="Q336" i="8"/>
  <c r="R336" i="8" s="1"/>
  <c r="Q335" i="8"/>
  <c r="R335" i="8" s="1"/>
  <c r="Q334" i="8"/>
  <c r="R334" i="8" s="1"/>
  <c r="Q333" i="8"/>
  <c r="R333" i="8" s="1"/>
  <c r="Q332" i="8"/>
  <c r="R332" i="8" s="1"/>
  <c r="Q331" i="8"/>
  <c r="R331" i="8" s="1"/>
  <c r="Q330" i="8"/>
  <c r="R330" i="8" s="1"/>
  <c r="Q329" i="8"/>
  <c r="R329" i="8" s="1"/>
  <c r="Q328" i="8"/>
  <c r="R328" i="8" s="1"/>
  <c r="Q327" i="8"/>
  <c r="R327" i="8" s="1"/>
  <c r="Q326" i="8"/>
  <c r="R326" i="8" s="1"/>
  <c r="Q325" i="8"/>
  <c r="R325" i="8" s="1"/>
  <c r="Q324" i="8"/>
  <c r="R324" i="8" s="1"/>
  <c r="Q323" i="8"/>
  <c r="R323" i="8" s="1"/>
  <c r="Q322" i="8"/>
  <c r="R322" i="8" s="1"/>
  <c r="Q321" i="8"/>
  <c r="R321" i="8" s="1"/>
  <c r="Q320" i="8"/>
  <c r="R320" i="8" s="1"/>
  <c r="Q319" i="8"/>
  <c r="R319" i="8" s="1"/>
  <c r="Q318" i="8"/>
  <c r="R318" i="8" s="1"/>
  <c r="Q317" i="8"/>
  <c r="R317" i="8" s="1"/>
  <c r="Q316" i="8"/>
  <c r="R316" i="8" s="1"/>
  <c r="Q315" i="8"/>
  <c r="R315" i="8" s="1"/>
  <c r="Q314" i="8"/>
  <c r="R314" i="8" s="1"/>
  <c r="Q313" i="8"/>
  <c r="R313" i="8" s="1"/>
  <c r="Q312" i="8"/>
  <c r="R312" i="8" s="1"/>
  <c r="Q311" i="8"/>
  <c r="R311" i="8" s="1"/>
  <c r="Q310" i="8"/>
  <c r="R310" i="8" s="1"/>
  <c r="Q309" i="8"/>
  <c r="R309" i="8" s="1"/>
  <c r="Q308" i="8"/>
  <c r="Q307" i="8"/>
  <c r="R307" i="8" s="1"/>
  <c r="Q306" i="8"/>
  <c r="R306" i="8" s="1"/>
  <c r="Q305" i="8"/>
  <c r="R305" i="8" s="1"/>
  <c r="Q304" i="8"/>
  <c r="R304" i="8" s="1"/>
  <c r="Q303" i="8"/>
  <c r="R303" i="8" s="1"/>
  <c r="Q302" i="8"/>
  <c r="R302" i="8" s="1"/>
  <c r="Q301" i="8"/>
  <c r="R301" i="8" s="1"/>
  <c r="Q300" i="8"/>
  <c r="R300" i="8" s="1"/>
  <c r="Q299" i="8"/>
  <c r="R299" i="8" s="1"/>
  <c r="Q298" i="8"/>
  <c r="R298" i="8" s="1"/>
  <c r="Q297" i="8"/>
  <c r="R297" i="8" s="1"/>
  <c r="Q296" i="8"/>
  <c r="R296" i="8" s="1"/>
  <c r="Q295" i="8"/>
  <c r="R295" i="8" s="1"/>
  <c r="Q294" i="8"/>
  <c r="R294" i="8" s="1"/>
  <c r="Q293" i="8"/>
  <c r="R293" i="8" s="1"/>
  <c r="Q292" i="8"/>
  <c r="R292" i="8" s="1"/>
  <c r="Q291" i="8"/>
  <c r="R291" i="8" s="1"/>
  <c r="Q290" i="8"/>
  <c r="R290" i="8" s="1"/>
  <c r="Q289" i="8"/>
  <c r="R289" i="8" s="1"/>
  <c r="Q288" i="8"/>
  <c r="R288" i="8" s="1"/>
  <c r="Q287" i="8"/>
  <c r="R287" i="8" s="1"/>
  <c r="Q286" i="8"/>
  <c r="R286" i="8" s="1"/>
  <c r="Q285" i="8"/>
  <c r="R285" i="8" s="1"/>
  <c r="Q284" i="8"/>
  <c r="R284" i="8" s="1"/>
  <c r="Q283" i="8"/>
  <c r="R283" i="8" s="1"/>
  <c r="Q282" i="8"/>
  <c r="R282" i="8" s="1"/>
  <c r="Q281" i="8"/>
  <c r="R281" i="8" s="1"/>
  <c r="Q280" i="8"/>
  <c r="Q279" i="8"/>
  <c r="R279" i="8" s="1"/>
  <c r="Q278" i="8"/>
  <c r="R278" i="8" s="1"/>
  <c r="Q277" i="8"/>
  <c r="R277" i="8" s="1"/>
  <c r="Q276" i="8"/>
  <c r="R276" i="8" s="1"/>
  <c r="Q275" i="8"/>
  <c r="R275" i="8" s="1"/>
  <c r="Q274" i="8"/>
  <c r="R274" i="8" s="1"/>
  <c r="Q273" i="8"/>
  <c r="R273" i="8" s="1"/>
  <c r="Q272" i="8"/>
  <c r="R272" i="8" s="1"/>
  <c r="Q271" i="8"/>
  <c r="R271" i="8" s="1"/>
  <c r="Q270" i="8"/>
  <c r="R270" i="8" s="1"/>
  <c r="Q269" i="8"/>
  <c r="R269" i="8" s="1"/>
  <c r="Q268" i="8"/>
  <c r="R268" i="8" s="1"/>
  <c r="Q267" i="8"/>
  <c r="R267" i="8" s="1"/>
  <c r="Q266" i="8"/>
  <c r="R266" i="8" s="1"/>
  <c r="Q265" i="8"/>
  <c r="R265" i="8" s="1"/>
  <c r="Q264" i="8"/>
  <c r="R264" i="8" s="1"/>
  <c r="Q263" i="8"/>
  <c r="R263" i="8" s="1"/>
  <c r="Q262" i="8"/>
  <c r="R262" i="8" s="1"/>
  <c r="Q261" i="8"/>
  <c r="R261" i="8" s="1"/>
  <c r="Q260" i="8"/>
  <c r="R260" i="8" s="1"/>
  <c r="Q259" i="8"/>
  <c r="R259" i="8" s="1"/>
  <c r="Q258" i="8"/>
  <c r="R258" i="8" s="1"/>
  <c r="Q257" i="8"/>
  <c r="R257" i="8" s="1"/>
  <c r="Q256" i="8"/>
  <c r="R256" i="8" s="1"/>
  <c r="Q255" i="8"/>
  <c r="R255" i="8" s="1"/>
  <c r="Q254" i="8"/>
  <c r="R254" i="8" s="1"/>
  <c r="Q253" i="8"/>
  <c r="R253" i="8" s="1"/>
  <c r="Q252" i="8"/>
  <c r="R252" i="8" s="1"/>
  <c r="Q251" i="8"/>
  <c r="R251" i="8" s="1"/>
  <c r="Q250" i="8"/>
  <c r="R250" i="8" s="1"/>
  <c r="Q249" i="8"/>
  <c r="R249" i="8" s="1"/>
  <c r="Q248" i="8"/>
  <c r="R248" i="8" s="1"/>
  <c r="Q247" i="8"/>
  <c r="R247" i="8" s="1"/>
  <c r="Q246" i="8"/>
  <c r="R246" i="8" s="1"/>
  <c r="Q245" i="8"/>
  <c r="R245" i="8" s="1"/>
  <c r="Q244" i="8"/>
  <c r="R244" i="8" s="1"/>
  <c r="Q243" i="8"/>
  <c r="R243" i="8" s="1"/>
  <c r="Q242" i="8"/>
  <c r="R242" i="8" s="1"/>
  <c r="Q241" i="8"/>
  <c r="R241" i="8" s="1"/>
  <c r="Q240" i="8"/>
  <c r="R240" i="8" s="1"/>
  <c r="Q239" i="8"/>
  <c r="R239" i="8" s="1"/>
  <c r="Q238" i="8"/>
  <c r="R238" i="8" s="1"/>
  <c r="Q237" i="8"/>
  <c r="R237" i="8" s="1"/>
  <c r="Q236" i="8"/>
  <c r="R236" i="8" s="1"/>
  <c r="Q235" i="8"/>
  <c r="R235" i="8" s="1"/>
  <c r="Q234" i="8"/>
  <c r="R234" i="8" s="1"/>
  <c r="Q233" i="8"/>
  <c r="R233" i="8" s="1"/>
  <c r="Q232" i="8"/>
  <c r="R232" i="8" s="1"/>
  <c r="Q231" i="8"/>
  <c r="R231" i="8" s="1"/>
  <c r="Q230" i="8"/>
  <c r="R230" i="8" s="1"/>
  <c r="Q229" i="8"/>
  <c r="R229" i="8" s="1"/>
  <c r="Q228" i="8"/>
  <c r="R228" i="8" s="1"/>
  <c r="Q227" i="8"/>
  <c r="R227" i="8" s="1"/>
  <c r="Q226" i="8"/>
  <c r="R226" i="8" s="1"/>
  <c r="Q225" i="8"/>
  <c r="R225" i="8" s="1"/>
  <c r="Q224" i="8"/>
  <c r="R224" i="8" s="1"/>
  <c r="Q223" i="8"/>
  <c r="R223" i="8" s="1"/>
  <c r="Q222" i="8"/>
  <c r="R222" i="8" s="1"/>
  <c r="Q221" i="8"/>
  <c r="R221" i="8" s="1"/>
  <c r="Q220" i="8"/>
  <c r="R220" i="8" s="1"/>
  <c r="Q219" i="8"/>
  <c r="R219" i="8" s="1"/>
  <c r="Q218" i="8"/>
  <c r="R218" i="8" s="1"/>
  <c r="Q217" i="8"/>
  <c r="R217" i="8" s="1"/>
  <c r="Q216" i="8"/>
  <c r="R216" i="8" s="1"/>
  <c r="Q215" i="8"/>
  <c r="R215" i="8" s="1"/>
  <c r="Q214" i="8"/>
  <c r="R214" i="8" s="1"/>
  <c r="Q213" i="8"/>
  <c r="R213" i="8" s="1"/>
  <c r="Q212" i="8"/>
  <c r="R212" i="8" s="1"/>
  <c r="Q211" i="8"/>
  <c r="R211" i="8" s="1"/>
  <c r="Q210" i="8"/>
  <c r="R210" i="8" s="1"/>
  <c r="Q209" i="8"/>
  <c r="R209" i="8" s="1"/>
  <c r="Q208" i="8"/>
  <c r="R208" i="8" s="1"/>
  <c r="Q207" i="8"/>
  <c r="R207" i="8" s="1"/>
  <c r="Q206" i="8"/>
  <c r="R206" i="8" s="1"/>
  <c r="Q205" i="8"/>
  <c r="R205" i="8" s="1"/>
  <c r="Q204" i="8"/>
  <c r="R204" i="8" s="1"/>
  <c r="Q203" i="8"/>
  <c r="R203" i="8" s="1"/>
  <c r="Q202" i="8"/>
  <c r="R202" i="8" s="1"/>
  <c r="Q201" i="8"/>
  <c r="R201" i="8" s="1"/>
  <c r="Q200" i="8"/>
  <c r="R200" i="8" s="1"/>
  <c r="Q199" i="8"/>
  <c r="R199" i="8" s="1"/>
  <c r="Q198" i="8"/>
  <c r="R198" i="8" s="1"/>
  <c r="Q197" i="8"/>
  <c r="R197" i="8" s="1"/>
  <c r="Q196" i="8"/>
  <c r="R196" i="8" s="1"/>
  <c r="Q195" i="8"/>
  <c r="R195" i="8" s="1"/>
  <c r="Q194" i="8"/>
  <c r="R194" i="8" s="1"/>
  <c r="Q193" i="8"/>
  <c r="R193" i="8" s="1"/>
  <c r="Q192" i="8"/>
  <c r="R192" i="8" s="1"/>
  <c r="Q191" i="8"/>
  <c r="R191" i="8" s="1"/>
  <c r="Q190" i="8"/>
  <c r="R190" i="8" s="1"/>
  <c r="Q189" i="8"/>
  <c r="R189" i="8" s="1"/>
  <c r="Q188" i="8"/>
  <c r="R188" i="8" s="1"/>
  <c r="Q187" i="8"/>
  <c r="R187" i="8" s="1"/>
  <c r="Q186" i="8"/>
  <c r="R186" i="8" s="1"/>
  <c r="Q185" i="8"/>
  <c r="R185" i="8" s="1"/>
  <c r="Q184" i="8"/>
  <c r="R184" i="8" s="1"/>
  <c r="Q183" i="8"/>
  <c r="R183" i="8" s="1"/>
  <c r="Q182" i="8"/>
  <c r="R182" i="8" s="1"/>
  <c r="Q181" i="8"/>
  <c r="R181" i="8" s="1"/>
  <c r="Q180" i="8"/>
  <c r="R180" i="8" s="1"/>
  <c r="Q179" i="8"/>
  <c r="R179" i="8" s="1"/>
  <c r="Q178" i="8"/>
  <c r="R178" i="8" s="1"/>
  <c r="Q177" i="8"/>
  <c r="R177" i="8" s="1"/>
  <c r="Q176" i="8"/>
  <c r="R176" i="8" s="1"/>
  <c r="Q175" i="8"/>
  <c r="R175" i="8" s="1"/>
  <c r="Q174" i="8"/>
  <c r="R174" i="8" s="1"/>
  <c r="Q173" i="8"/>
  <c r="R173" i="8" s="1"/>
  <c r="Q172" i="8"/>
  <c r="R172" i="8" s="1"/>
  <c r="Q171" i="8"/>
  <c r="R171" i="8" s="1"/>
  <c r="Q170" i="8"/>
  <c r="R170" i="8" s="1"/>
  <c r="Q169" i="8"/>
  <c r="R169" i="8" s="1"/>
  <c r="Q168" i="8"/>
  <c r="R168" i="8" s="1"/>
  <c r="Q167" i="8"/>
  <c r="R167" i="8" s="1"/>
  <c r="Q166" i="8"/>
  <c r="R166" i="8" s="1"/>
  <c r="Q165" i="8"/>
  <c r="R165" i="8" s="1"/>
  <c r="Q164" i="8"/>
  <c r="R164" i="8" s="1"/>
  <c r="Q163" i="8"/>
  <c r="R163" i="8" s="1"/>
  <c r="Q162" i="8"/>
  <c r="R162" i="8" s="1"/>
  <c r="Q161" i="8"/>
  <c r="R161" i="8" s="1"/>
  <c r="Q160" i="8"/>
  <c r="R160" i="8" s="1"/>
  <c r="Q159" i="8"/>
  <c r="R159" i="8" s="1"/>
  <c r="Q158" i="8"/>
  <c r="R158" i="8" s="1"/>
  <c r="Q157" i="8"/>
  <c r="R157" i="8" s="1"/>
  <c r="Q156" i="8"/>
  <c r="R156" i="8" s="1"/>
  <c r="Q155" i="8"/>
  <c r="R155" i="8" s="1"/>
  <c r="Q154" i="8"/>
  <c r="R154" i="8" s="1"/>
  <c r="Q153" i="8"/>
  <c r="R153" i="8" s="1"/>
  <c r="Q152" i="8"/>
  <c r="R152" i="8" s="1"/>
  <c r="Q151" i="8"/>
  <c r="R151" i="8" s="1"/>
  <c r="Q150" i="8"/>
  <c r="R150" i="8" s="1"/>
  <c r="Q149" i="8"/>
  <c r="R149" i="8" s="1"/>
  <c r="Q148" i="8"/>
  <c r="R148" i="8" s="1"/>
  <c r="Q147" i="8"/>
  <c r="R147" i="8" s="1"/>
  <c r="Q146" i="8"/>
  <c r="R146" i="8" s="1"/>
  <c r="Q145" i="8"/>
  <c r="R145" i="8" s="1"/>
  <c r="Q144" i="8"/>
  <c r="R144" i="8" s="1"/>
  <c r="Q143" i="8"/>
  <c r="R143" i="8" s="1"/>
  <c r="Q142" i="8"/>
  <c r="R142" i="8" s="1"/>
  <c r="Q141" i="8"/>
  <c r="R141" i="8" s="1"/>
  <c r="Q140" i="8"/>
  <c r="R140" i="8" s="1"/>
  <c r="Q139" i="8"/>
  <c r="R139" i="8" s="1"/>
  <c r="Q138" i="8"/>
  <c r="R138" i="8" s="1"/>
  <c r="Q137" i="8"/>
  <c r="R137" i="8" s="1"/>
  <c r="Q136" i="8"/>
  <c r="R136" i="8" s="1"/>
  <c r="Q135" i="8"/>
  <c r="R135" i="8" s="1"/>
  <c r="Q134" i="8"/>
  <c r="R134" i="8" s="1"/>
  <c r="Q133" i="8"/>
  <c r="R133" i="8" s="1"/>
  <c r="Q132" i="8"/>
  <c r="R132" i="8" s="1"/>
  <c r="Q131" i="8"/>
  <c r="R131" i="8" s="1"/>
  <c r="Q130" i="8"/>
  <c r="R130" i="8" s="1"/>
  <c r="Q129" i="8"/>
  <c r="R129" i="8" s="1"/>
  <c r="Q128" i="8"/>
  <c r="R128" i="8" s="1"/>
  <c r="Q127" i="8"/>
  <c r="R127" i="8" s="1"/>
  <c r="Q126" i="8"/>
  <c r="R126" i="8" s="1"/>
  <c r="Q125" i="8"/>
  <c r="R125" i="8" s="1"/>
  <c r="Q124" i="8"/>
  <c r="R124" i="8" s="1"/>
  <c r="Q123" i="8"/>
  <c r="R123" i="8" s="1"/>
  <c r="Q122" i="8"/>
  <c r="R122" i="8" s="1"/>
  <c r="Q121" i="8"/>
  <c r="R121" i="8" s="1"/>
  <c r="Q120" i="8"/>
  <c r="R120" i="8" s="1"/>
  <c r="Q119" i="8"/>
  <c r="R119" i="8" s="1"/>
  <c r="Q118" i="8"/>
  <c r="R118" i="8" s="1"/>
  <c r="Q117" i="8"/>
  <c r="R117" i="8" s="1"/>
  <c r="Q116" i="8"/>
  <c r="R116" i="8" s="1"/>
  <c r="Q115" i="8"/>
  <c r="R115" i="8" s="1"/>
  <c r="Q114" i="8"/>
  <c r="R114" i="8" s="1"/>
  <c r="Q113" i="8"/>
  <c r="R113" i="8" s="1"/>
  <c r="Q112" i="8"/>
  <c r="R112" i="8" s="1"/>
  <c r="Q111" i="8"/>
  <c r="R111" i="8" s="1"/>
  <c r="Q110" i="8"/>
  <c r="R110" i="8" s="1"/>
  <c r="Q109" i="8"/>
  <c r="R109" i="8" s="1"/>
  <c r="Q108" i="8"/>
  <c r="R108" i="8" s="1"/>
  <c r="Q107" i="8"/>
  <c r="R107" i="8" s="1"/>
  <c r="Q106" i="8"/>
  <c r="R106" i="8" s="1"/>
  <c r="Q105" i="8"/>
  <c r="R105" i="8" s="1"/>
  <c r="Q104" i="8"/>
  <c r="R104" i="8" s="1"/>
  <c r="Q103" i="8"/>
  <c r="R103" i="8" s="1"/>
  <c r="Q102" i="8"/>
  <c r="R102" i="8" s="1"/>
  <c r="Q101" i="8"/>
  <c r="R101" i="8" s="1"/>
  <c r="Q100" i="8"/>
  <c r="R100" i="8" s="1"/>
  <c r="Q99" i="8"/>
  <c r="R99" i="8" s="1"/>
  <c r="Q98" i="8"/>
  <c r="R98" i="8" s="1"/>
  <c r="Q97" i="8"/>
  <c r="R97" i="8" s="1"/>
  <c r="Q96" i="8"/>
  <c r="R96" i="8" s="1"/>
  <c r="Q95" i="8"/>
  <c r="R95" i="8" s="1"/>
  <c r="Q94" i="8"/>
  <c r="R94" i="8" s="1"/>
  <c r="Q93" i="8"/>
  <c r="R93" i="8" s="1"/>
  <c r="Q92" i="8"/>
  <c r="R92" i="8" s="1"/>
  <c r="Q91" i="8"/>
  <c r="R91" i="8" s="1"/>
  <c r="Q90" i="8"/>
  <c r="R90" i="8" s="1"/>
  <c r="Q89" i="8"/>
  <c r="R89" i="8" s="1"/>
  <c r="Q88" i="8"/>
  <c r="R88" i="8" s="1"/>
  <c r="Q87" i="8"/>
  <c r="R87" i="8" s="1"/>
  <c r="Q86" i="8"/>
  <c r="R86" i="8" s="1"/>
  <c r="Q85" i="8"/>
  <c r="R85" i="8" s="1"/>
  <c r="Q84" i="8"/>
  <c r="R84" i="8" s="1"/>
  <c r="Q83" i="8"/>
  <c r="R83" i="8" s="1"/>
  <c r="Q82" i="8"/>
  <c r="R82" i="8" s="1"/>
  <c r="Q81" i="8"/>
  <c r="R81" i="8" s="1"/>
  <c r="Q80" i="8"/>
  <c r="R80" i="8" s="1"/>
  <c r="Q79" i="8"/>
  <c r="R79" i="8" s="1"/>
  <c r="Q78" i="8"/>
  <c r="R78" i="8" s="1"/>
  <c r="Q77" i="8"/>
  <c r="R77" i="8" s="1"/>
  <c r="Q76" i="8"/>
  <c r="R76" i="8" s="1"/>
  <c r="Q75" i="8"/>
  <c r="R75" i="8" s="1"/>
  <c r="Q74" i="8"/>
  <c r="R74" i="8" s="1"/>
  <c r="Q73" i="8"/>
  <c r="R73" i="8" s="1"/>
  <c r="Q72" i="8"/>
  <c r="R72" i="8" s="1"/>
  <c r="Q71" i="8"/>
  <c r="R71" i="8" s="1"/>
  <c r="Q70" i="8"/>
  <c r="R70" i="8" s="1"/>
  <c r="Q69" i="8"/>
  <c r="R69" i="8" s="1"/>
  <c r="Q68" i="8"/>
  <c r="R68" i="8" s="1"/>
  <c r="Q67" i="8"/>
  <c r="R67" i="8" s="1"/>
  <c r="Q66" i="8"/>
  <c r="R66" i="8" s="1"/>
  <c r="Q65" i="8"/>
  <c r="R65" i="8" s="1"/>
  <c r="Q64" i="8"/>
  <c r="R64" i="8" s="1"/>
  <c r="Q63" i="8"/>
  <c r="R63" i="8" s="1"/>
  <c r="Q62" i="8"/>
  <c r="R62" i="8" s="1"/>
  <c r="Q61" i="8"/>
  <c r="R61" i="8" s="1"/>
  <c r="Q60" i="8"/>
  <c r="R60" i="8" s="1"/>
  <c r="Q59" i="8"/>
  <c r="R59" i="8" s="1"/>
  <c r="Q58" i="8"/>
  <c r="R58" i="8" s="1"/>
  <c r="Q57" i="8"/>
  <c r="R57" i="8" s="1"/>
  <c r="Q56" i="8"/>
  <c r="R56" i="8" s="1"/>
  <c r="Q55" i="8"/>
  <c r="R55" i="8" s="1"/>
  <c r="Q54" i="8"/>
  <c r="R54" i="8" s="1"/>
  <c r="Q53" i="8"/>
  <c r="R53" i="8" s="1"/>
  <c r="Q52" i="8"/>
  <c r="R52" i="8" s="1"/>
  <c r="Q51" i="8"/>
  <c r="R51" i="8" s="1"/>
  <c r="Q50" i="8"/>
  <c r="R50" i="8" s="1"/>
  <c r="Q49" i="8"/>
  <c r="R49" i="8" s="1"/>
  <c r="Q48" i="8"/>
  <c r="R48" i="8" s="1"/>
  <c r="Q47" i="8"/>
  <c r="R47" i="8" s="1"/>
  <c r="Q46" i="8"/>
  <c r="R46" i="8" s="1"/>
  <c r="Q45" i="8"/>
  <c r="R45" i="8" s="1"/>
  <c r="Q44" i="8"/>
  <c r="R44" i="8" s="1"/>
  <c r="Q43" i="8"/>
  <c r="R43" i="8" s="1"/>
  <c r="Q42" i="8"/>
  <c r="R42" i="8" s="1"/>
  <c r="Q41" i="8"/>
  <c r="R41" i="8" s="1"/>
  <c r="Q40" i="8"/>
  <c r="R40" i="8" s="1"/>
  <c r="Q39" i="8"/>
  <c r="R39" i="8" s="1"/>
  <c r="Q38" i="8"/>
  <c r="R38" i="8" s="1"/>
  <c r="Q37" i="8"/>
  <c r="R37" i="8" s="1"/>
  <c r="Q36" i="8"/>
  <c r="R36" i="8" s="1"/>
  <c r="Q35" i="8"/>
  <c r="R35" i="8" s="1"/>
  <c r="Q34" i="8"/>
  <c r="R34" i="8" s="1"/>
  <c r="Q33" i="8"/>
  <c r="R33" i="8" s="1"/>
  <c r="Q32" i="8"/>
  <c r="R32" i="8" s="1"/>
  <c r="Q31" i="8"/>
  <c r="R31" i="8" s="1"/>
  <c r="Q30" i="8"/>
  <c r="R30" i="8" s="1"/>
  <c r="Q29" i="8"/>
  <c r="R29" i="8" s="1"/>
  <c r="Q28" i="8"/>
  <c r="R28" i="8" s="1"/>
  <c r="Q27" i="8"/>
  <c r="R27" i="8" s="1"/>
  <c r="Q26" i="8"/>
  <c r="R26" i="8" s="1"/>
  <c r="Q25" i="8"/>
  <c r="R25" i="8" s="1"/>
  <c r="Q24" i="8"/>
  <c r="R24" i="8" s="1"/>
  <c r="Q23" i="8"/>
  <c r="R23" i="8" s="1"/>
  <c r="Q22" i="8"/>
  <c r="R22" i="8" s="1"/>
  <c r="Q21" i="8"/>
  <c r="R21" i="8" s="1"/>
  <c r="Q20" i="8"/>
  <c r="R20" i="8" s="1"/>
  <c r="Q19" i="8"/>
  <c r="R19" i="8" s="1"/>
  <c r="Q18" i="8"/>
  <c r="R18" i="8" s="1"/>
  <c r="Q17" i="8"/>
  <c r="R17" i="8" s="1"/>
  <c r="Q16" i="8"/>
  <c r="R16" i="8" s="1"/>
  <c r="Q15" i="8"/>
  <c r="R15" i="8" s="1"/>
  <c r="Q14" i="8"/>
  <c r="R14" i="8" s="1"/>
  <c r="Q13" i="8"/>
  <c r="R13" i="8" s="1"/>
  <c r="Q12" i="8"/>
  <c r="R12" i="8" s="1"/>
  <c r="Q11" i="8"/>
  <c r="R11" i="8" s="1"/>
  <c r="Q10" i="8"/>
  <c r="R10" i="8" s="1"/>
  <c r="Q9" i="8"/>
  <c r="R9" i="8" s="1"/>
  <c r="Q8" i="8"/>
  <c r="R8" i="8" s="1"/>
  <c r="Q7" i="8"/>
  <c r="R7" i="8" s="1"/>
  <c r="Q6" i="8"/>
  <c r="R6" i="8" s="1"/>
  <c r="L372" i="8"/>
  <c r="M372" i="8" s="1"/>
  <c r="L371" i="8"/>
  <c r="M371" i="8" s="1"/>
  <c r="L370" i="8"/>
  <c r="M370" i="8" s="1"/>
  <c r="L369" i="8"/>
  <c r="M369" i="8" s="1"/>
  <c r="L368" i="8"/>
  <c r="M368" i="8" s="1"/>
  <c r="L367" i="8"/>
  <c r="M367" i="8" s="1"/>
  <c r="L366" i="8"/>
  <c r="M366" i="8" s="1"/>
  <c r="L365" i="8"/>
  <c r="M365" i="8" s="1"/>
  <c r="L364" i="8"/>
  <c r="L363" i="8"/>
  <c r="M363" i="8" s="1"/>
  <c r="L362" i="8"/>
  <c r="M362" i="8" s="1"/>
  <c r="L361" i="8"/>
  <c r="M361" i="8" s="1"/>
  <c r="L360" i="8"/>
  <c r="M360" i="8" s="1"/>
  <c r="L359" i="8"/>
  <c r="M359" i="8" s="1"/>
  <c r="L358" i="8"/>
  <c r="M358" i="8" s="1"/>
  <c r="L357" i="8"/>
  <c r="M357" i="8" s="1"/>
  <c r="L356" i="8"/>
  <c r="M356" i="8" s="1"/>
  <c r="L355" i="8"/>
  <c r="M355" i="8" s="1"/>
  <c r="L354" i="8"/>
  <c r="M354" i="8" s="1"/>
  <c r="L353" i="8"/>
  <c r="M353" i="8" s="1"/>
  <c r="L352" i="8"/>
  <c r="M352" i="8" s="1"/>
  <c r="L351" i="8"/>
  <c r="M351" i="8" s="1"/>
  <c r="L350" i="8"/>
  <c r="L349" i="8"/>
  <c r="M349" i="8" s="1"/>
  <c r="L348" i="8"/>
  <c r="M348" i="8" s="1"/>
  <c r="L347" i="8"/>
  <c r="M347" i="8" s="1"/>
  <c r="L346" i="8"/>
  <c r="M346" i="8" s="1"/>
  <c r="L345" i="8"/>
  <c r="M345" i="8" s="1"/>
  <c r="L344" i="8"/>
  <c r="M344" i="8" s="1"/>
  <c r="L343" i="8"/>
  <c r="M343" i="8" s="1"/>
  <c r="L342" i="8"/>
  <c r="M342" i="8" s="1"/>
  <c r="L341" i="8"/>
  <c r="M341" i="8" s="1"/>
  <c r="L340" i="8"/>
  <c r="M340" i="8" s="1"/>
  <c r="L339" i="8"/>
  <c r="M339" i="8" s="1"/>
  <c r="L338" i="8"/>
  <c r="M338" i="8" s="1"/>
  <c r="L337" i="8"/>
  <c r="M337" i="8" s="1"/>
  <c r="L336" i="8"/>
  <c r="L335" i="8"/>
  <c r="M335" i="8" s="1"/>
  <c r="L334" i="8"/>
  <c r="M334" i="8" s="1"/>
  <c r="L333" i="8"/>
  <c r="M333" i="8" s="1"/>
  <c r="L332" i="8"/>
  <c r="M332" i="8" s="1"/>
  <c r="L331" i="8"/>
  <c r="M331" i="8" s="1"/>
  <c r="L330" i="8"/>
  <c r="M330" i="8" s="1"/>
  <c r="L329" i="8"/>
  <c r="M329" i="8" s="1"/>
  <c r="L328" i="8"/>
  <c r="M328" i="8" s="1"/>
  <c r="L327" i="8"/>
  <c r="M327" i="8" s="1"/>
  <c r="L326" i="8"/>
  <c r="M326" i="8" s="1"/>
  <c r="L325" i="8"/>
  <c r="M325" i="8" s="1"/>
  <c r="L324" i="8"/>
  <c r="M324" i="8" s="1"/>
  <c r="L323" i="8"/>
  <c r="M323" i="8" s="1"/>
  <c r="L322" i="8"/>
  <c r="L321" i="8"/>
  <c r="M321" i="8" s="1"/>
  <c r="L320" i="8"/>
  <c r="M320" i="8" s="1"/>
  <c r="L319" i="8"/>
  <c r="M319" i="8" s="1"/>
  <c r="L318" i="8"/>
  <c r="M318" i="8" s="1"/>
  <c r="L317" i="8"/>
  <c r="M317" i="8" s="1"/>
  <c r="L316" i="8"/>
  <c r="M316" i="8" s="1"/>
  <c r="L315" i="8"/>
  <c r="M315" i="8" s="1"/>
  <c r="L314" i="8"/>
  <c r="M314" i="8" s="1"/>
  <c r="L313" i="8"/>
  <c r="M313" i="8" s="1"/>
  <c r="L312" i="8"/>
  <c r="L311" i="8"/>
  <c r="M311" i="8" s="1"/>
  <c r="L310" i="8"/>
  <c r="M310" i="8" s="1"/>
  <c r="L309" i="8"/>
  <c r="M309" i="8" s="1"/>
  <c r="L308" i="8"/>
  <c r="M308" i="8" s="1"/>
  <c r="L307" i="8"/>
  <c r="M307" i="8" s="1"/>
  <c r="L306" i="8"/>
  <c r="M306" i="8" s="1"/>
  <c r="L305" i="8"/>
  <c r="M305" i="8" s="1"/>
  <c r="L304" i="8"/>
  <c r="M304" i="8" s="1"/>
  <c r="L303" i="8"/>
  <c r="M303" i="8" s="1"/>
  <c r="L302" i="8"/>
  <c r="M302" i="8" s="1"/>
  <c r="L301" i="8"/>
  <c r="M301" i="8" s="1"/>
  <c r="L300" i="8"/>
  <c r="M300" i="8" s="1"/>
  <c r="L299" i="8"/>
  <c r="M299" i="8" s="1"/>
  <c r="L298" i="8"/>
  <c r="M298" i="8" s="1"/>
  <c r="L297" i="8"/>
  <c r="M297" i="8" s="1"/>
  <c r="L296" i="8"/>
  <c r="M296" i="8" s="1"/>
  <c r="L295" i="8"/>
  <c r="M295" i="8" s="1"/>
  <c r="L294" i="8"/>
  <c r="L293" i="8"/>
  <c r="M293" i="8" s="1"/>
  <c r="L292" i="8"/>
  <c r="M292" i="8" s="1"/>
  <c r="L291" i="8"/>
  <c r="M291" i="8" s="1"/>
  <c r="L290" i="8"/>
  <c r="M290" i="8" s="1"/>
  <c r="L289" i="8"/>
  <c r="M289" i="8" s="1"/>
  <c r="L288" i="8"/>
  <c r="M288" i="8" s="1"/>
  <c r="L287" i="8"/>
  <c r="M287" i="8" s="1"/>
  <c r="L286" i="8"/>
  <c r="M286" i="8" s="1"/>
  <c r="L285" i="8"/>
  <c r="M285" i="8" s="1"/>
  <c r="L284" i="8"/>
  <c r="L283" i="8"/>
  <c r="M283" i="8" s="1"/>
  <c r="L282" i="8"/>
  <c r="M282" i="8" s="1"/>
  <c r="L281" i="8"/>
  <c r="M281" i="8" s="1"/>
  <c r="L280" i="8"/>
  <c r="M280" i="8" s="1"/>
  <c r="L279" i="8"/>
  <c r="M279" i="8" s="1"/>
  <c r="L278" i="8"/>
  <c r="M278" i="8" s="1"/>
  <c r="L277" i="8"/>
  <c r="M277" i="8" s="1"/>
  <c r="L276" i="8"/>
  <c r="M276" i="8" s="1"/>
  <c r="L275" i="8"/>
  <c r="M275" i="8" s="1"/>
  <c r="L274" i="8"/>
  <c r="M274" i="8" s="1"/>
  <c r="L273" i="8"/>
  <c r="M273" i="8" s="1"/>
  <c r="L272" i="8"/>
  <c r="M272" i="8" s="1"/>
  <c r="L271" i="8"/>
  <c r="M271" i="8" s="1"/>
  <c r="L270" i="8"/>
  <c r="M270" i="8" s="1"/>
  <c r="L269" i="8"/>
  <c r="M269" i="8" s="1"/>
  <c r="L268" i="8"/>
  <c r="M268" i="8" s="1"/>
  <c r="L267" i="8"/>
  <c r="M267" i="8" s="1"/>
  <c r="L266" i="8"/>
  <c r="M266" i="8" s="1"/>
  <c r="L265" i="8"/>
  <c r="M265" i="8" s="1"/>
  <c r="L264" i="8"/>
  <c r="M264" i="8" s="1"/>
  <c r="L263" i="8"/>
  <c r="M263" i="8" s="1"/>
  <c r="L262" i="8"/>
  <c r="M262" i="8" s="1"/>
  <c r="L261" i="8"/>
  <c r="M261" i="8" s="1"/>
  <c r="L260" i="8"/>
  <c r="M260" i="8" s="1"/>
  <c r="L259" i="8"/>
  <c r="M259" i="8" s="1"/>
  <c r="L258" i="8"/>
  <c r="M258" i="8" s="1"/>
  <c r="L257" i="8"/>
  <c r="M257" i="8" s="1"/>
  <c r="L256" i="8"/>
  <c r="M256" i="8" s="1"/>
  <c r="L255" i="8"/>
  <c r="M255" i="8" s="1"/>
  <c r="L254" i="8"/>
  <c r="M254" i="8" s="1"/>
  <c r="L253" i="8"/>
  <c r="M253" i="8" s="1"/>
  <c r="L252" i="8"/>
  <c r="M252" i="8" s="1"/>
  <c r="L251" i="8"/>
  <c r="M251" i="8" s="1"/>
  <c r="L250" i="8"/>
  <c r="M250" i="8" s="1"/>
  <c r="L249" i="8"/>
  <c r="M249" i="8" s="1"/>
  <c r="L248" i="8"/>
  <c r="M248" i="8" s="1"/>
  <c r="L247" i="8"/>
  <c r="M247" i="8" s="1"/>
  <c r="L246" i="8"/>
  <c r="M246" i="8" s="1"/>
  <c r="L245" i="8"/>
  <c r="M245" i="8" s="1"/>
  <c r="L244" i="8"/>
  <c r="M244" i="8" s="1"/>
  <c r="L243" i="8"/>
  <c r="M243" i="8" s="1"/>
  <c r="L242" i="8"/>
  <c r="M242" i="8" s="1"/>
  <c r="L241" i="8"/>
  <c r="M241" i="8" s="1"/>
  <c r="L240" i="8"/>
  <c r="M240" i="8" s="1"/>
  <c r="L239" i="8"/>
  <c r="M239" i="8" s="1"/>
  <c r="L238" i="8"/>
  <c r="L237" i="8"/>
  <c r="M237" i="8" s="1"/>
  <c r="L236" i="8"/>
  <c r="M236" i="8" s="1"/>
  <c r="L235" i="8"/>
  <c r="M235" i="8" s="1"/>
  <c r="L234" i="8"/>
  <c r="M234" i="8" s="1"/>
  <c r="L233" i="8"/>
  <c r="M233" i="8" s="1"/>
  <c r="L232" i="8"/>
  <c r="M232" i="8" s="1"/>
  <c r="L231" i="8"/>
  <c r="M231" i="8" s="1"/>
  <c r="L230" i="8"/>
  <c r="M230" i="8" s="1"/>
  <c r="L229" i="8"/>
  <c r="M229" i="8" s="1"/>
  <c r="L228" i="8"/>
  <c r="M228" i="8" s="1"/>
  <c r="L227" i="8"/>
  <c r="M227" i="8" s="1"/>
  <c r="L226" i="8"/>
  <c r="M226" i="8" s="1"/>
  <c r="L225" i="8"/>
  <c r="M225" i="8" s="1"/>
  <c r="L224" i="8"/>
  <c r="M224" i="8" s="1"/>
  <c r="L223" i="8"/>
  <c r="M223" i="8" s="1"/>
  <c r="L222" i="8"/>
  <c r="M222" i="8" s="1"/>
  <c r="L221" i="8"/>
  <c r="M221" i="8" s="1"/>
  <c r="L220" i="8"/>
  <c r="M220" i="8" s="1"/>
  <c r="L219" i="8"/>
  <c r="M219" i="8" s="1"/>
  <c r="L218" i="8"/>
  <c r="M218" i="8" s="1"/>
  <c r="L217" i="8"/>
  <c r="M217" i="8" s="1"/>
  <c r="L216" i="8"/>
  <c r="M216" i="8" s="1"/>
  <c r="L215" i="8"/>
  <c r="M215" i="8" s="1"/>
  <c r="L214" i="8"/>
  <c r="M214" i="8" s="1"/>
  <c r="L213" i="8"/>
  <c r="M213" i="8" s="1"/>
  <c r="L212" i="8"/>
  <c r="M212" i="8" s="1"/>
  <c r="L211" i="8"/>
  <c r="M211" i="8" s="1"/>
  <c r="L210" i="8"/>
  <c r="L209" i="8"/>
  <c r="M209" i="8" s="1"/>
  <c r="L208" i="8"/>
  <c r="M208" i="8" s="1"/>
  <c r="L207" i="8"/>
  <c r="M207" i="8" s="1"/>
  <c r="L206" i="8"/>
  <c r="M206" i="8" s="1"/>
  <c r="L205" i="8"/>
  <c r="M205" i="8" s="1"/>
  <c r="L204" i="8"/>
  <c r="M204" i="8" s="1"/>
  <c r="L203" i="8"/>
  <c r="M203" i="8" s="1"/>
  <c r="L202" i="8"/>
  <c r="M202" i="8" s="1"/>
  <c r="L201" i="8"/>
  <c r="M201" i="8" s="1"/>
  <c r="L200" i="8"/>
  <c r="M200" i="8" s="1"/>
  <c r="L199" i="8"/>
  <c r="M199" i="8" s="1"/>
  <c r="L198" i="8"/>
  <c r="M198" i="8" s="1"/>
  <c r="L197" i="8"/>
  <c r="M197" i="8" s="1"/>
  <c r="L196" i="8"/>
  <c r="L195" i="8"/>
  <c r="M195" i="8" s="1"/>
  <c r="L194" i="8"/>
  <c r="M194" i="8" s="1"/>
  <c r="L193" i="8"/>
  <c r="M193" i="8" s="1"/>
  <c r="L192" i="8"/>
  <c r="M192" i="8" s="1"/>
  <c r="L191" i="8"/>
  <c r="M191" i="8" s="1"/>
  <c r="L190" i="8"/>
  <c r="M190" i="8" s="1"/>
  <c r="L189" i="8"/>
  <c r="M189" i="8" s="1"/>
  <c r="L188" i="8"/>
  <c r="M188" i="8" s="1"/>
  <c r="L187" i="8"/>
  <c r="M187" i="8" s="1"/>
  <c r="L186" i="8"/>
  <c r="M186" i="8" s="1"/>
  <c r="L185" i="8"/>
  <c r="M185" i="8" s="1"/>
  <c r="L184" i="8"/>
  <c r="M184" i="8" s="1"/>
  <c r="L183" i="8"/>
  <c r="M183" i="8" s="1"/>
  <c r="L182" i="8"/>
  <c r="L181" i="8"/>
  <c r="M181" i="8" s="1"/>
  <c r="L180" i="8"/>
  <c r="M180" i="8" s="1"/>
  <c r="L179" i="8"/>
  <c r="M179" i="8" s="1"/>
  <c r="L178" i="8"/>
  <c r="M178" i="8" s="1"/>
  <c r="L177" i="8"/>
  <c r="M177" i="8" s="1"/>
  <c r="L176" i="8"/>
  <c r="M176" i="8" s="1"/>
  <c r="L175" i="8"/>
  <c r="M175" i="8" s="1"/>
  <c r="L174" i="8"/>
  <c r="M174" i="8" s="1"/>
  <c r="L173" i="8"/>
  <c r="M173" i="8" s="1"/>
  <c r="L172" i="8"/>
  <c r="M172" i="8" s="1"/>
  <c r="L171" i="8"/>
  <c r="M171" i="8" s="1"/>
  <c r="L170" i="8"/>
  <c r="M170" i="8" s="1"/>
  <c r="L169" i="8"/>
  <c r="M169" i="8" s="1"/>
  <c r="L168" i="8"/>
  <c r="L167" i="8"/>
  <c r="M167" i="8" s="1"/>
  <c r="L166" i="8"/>
  <c r="M166" i="8" s="1"/>
  <c r="L165" i="8"/>
  <c r="M165" i="8" s="1"/>
  <c r="L164" i="8"/>
  <c r="M164" i="8" s="1"/>
  <c r="L163" i="8"/>
  <c r="M163" i="8" s="1"/>
  <c r="L162" i="8"/>
  <c r="M162" i="8" s="1"/>
  <c r="L161" i="8"/>
  <c r="M161" i="8" s="1"/>
  <c r="L160" i="8"/>
  <c r="M160" i="8" s="1"/>
  <c r="L159" i="8"/>
  <c r="M159" i="8" s="1"/>
  <c r="L158" i="8"/>
  <c r="M158" i="8" s="1"/>
  <c r="L157" i="8"/>
  <c r="M157" i="8" s="1"/>
  <c r="L156" i="8"/>
  <c r="M156" i="8" s="1"/>
  <c r="L155" i="8"/>
  <c r="M155" i="8" s="1"/>
  <c r="L154" i="8"/>
  <c r="M154" i="8" s="1"/>
  <c r="L153" i="8"/>
  <c r="M153" i="8" s="1"/>
  <c r="L152" i="8"/>
  <c r="M152" i="8" s="1"/>
  <c r="L151" i="8"/>
  <c r="M151" i="8" s="1"/>
  <c r="L150" i="8"/>
  <c r="M150" i="8" s="1"/>
  <c r="L149" i="8"/>
  <c r="M149" i="8" s="1"/>
  <c r="L148" i="8"/>
  <c r="M148" i="8" s="1"/>
  <c r="L147" i="8"/>
  <c r="M147" i="8" s="1"/>
  <c r="L146" i="8"/>
  <c r="M146" i="8" s="1"/>
  <c r="L145" i="8"/>
  <c r="M145" i="8" s="1"/>
  <c r="L144" i="8"/>
  <c r="M144" i="8" s="1"/>
  <c r="L143" i="8"/>
  <c r="M143" i="8" s="1"/>
  <c r="L142" i="8"/>
  <c r="M142" i="8" s="1"/>
  <c r="L141" i="8"/>
  <c r="M141" i="8" s="1"/>
  <c r="L140" i="8"/>
  <c r="M140" i="8" s="1"/>
  <c r="L139" i="8"/>
  <c r="M139" i="8" s="1"/>
  <c r="L138" i="8"/>
  <c r="M138" i="8" s="1"/>
  <c r="L137" i="8"/>
  <c r="M137" i="8" s="1"/>
  <c r="L136" i="8"/>
  <c r="M136" i="8" s="1"/>
  <c r="L135" i="8"/>
  <c r="M135" i="8" s="1"/>
  <c r="L134" i="8"/>
  <c r="M134" i="8" s="1"/>
  <c r="L133" i="8"/>
  <c r="M133" i="8" s="1"/>
  <c r="L132" i="8"/>
  <c r="M132" i="8" s="1"/>
  <c r="L131" i="8"/>
  <c r="M131" i="8" s="1"/>
  <c r="L130" i="8"/>
  <c r="M130" i="8" s="1"/>
  <c r="L129" i="8"/>
  <c r="M129" i="8" s="1"/>
  <c r="L128" i="8"/>
  <c r="M128" i="8" s="1"/>
  <c r="L127" i="8"/>
  <c r="M127" i="8" s="1"/>
  <c r="L126" i="8"/>
  <c r="M126" i="8" s="1"/>
  <c r="L125" i="8"/>
  <c r="M125" i="8" s="1"/>
  <c r="L124" i="8"/>
  <c r="M124" i="8" s="1"/>
  <c r="L123" i="8"/>
  <c r="M123" i="8" s="1"/>
  <c r="L122" i="8"/>
  <c r="M122" i="8" s="1"/>
  <c r="L121" i="8"/>
  <c r="M121" i="8" s="1"/>
  <c r="L120" i="8"/>
  <c r="M120" i="8" s="1"/>
  <c r="L119" i="8"/>
  <c r="M119" i="8" s="1"/>
  <c r="L118" i="8"/>
  <c r="M118" i="8" s="1"/>
  <c r="L117" i="8"/>
  <c r="M117" i="8" s="1"/>
  <c r="L116" i="8"/>
  <c r="M116" i="8" s="1"/>
  <c r="L115" i="8"/>
  <c r="M115" i="8" s="1"/>
  <c r="L114" i="8"/>
  <c r="M114" i="8" s="1"/>
  <c r="L113" i="8"/>
  <c r="M113" i="8" s="1"/>
  <c r="L112" i="8"/>
  <c r="M112" i="8" s="1"/>
  <c r="L111" i="8"/>
  <c r="M111" i="8" s="1"/>
  <c r="L110" i="8"/>
  <c r="M110" i="8" s="1"/>
  <c r="L109" i="8"/>
  <c r="M109" i="8" s="1"/>
  <c r="L108" i="8"/>
  <c r="M108" i="8" s="1"/>
  <c r="L107" i="8"/>
  <c r="M107" i="8" s="1"/>
  <c r="L106" i="8"/>
  <c r="M106" i="8" s="1"/>
  <c r="L105" i="8"/>
  <c r="M105" i="8" s="1"/>
  <c r="L104" i="8"/>
  <c r="M104" i="8" s="1"/>
  <c r="L103" i="8"/>
  <c r="M103" i="8" s="1"/>
  <c r="L102" i="8"/>
  <c r="M102" i="8" s="1"/>
  <c r="L101" i="8"/>
  <c r="M101" i="8" s="1"/>
  <c r="L100" i="8"/>
  <c r="M100" i="8" s="1"/>
  <c r="L99" i="8"/>
  <c r="M99" i="8" s="1"/>
  <c r="L98" i="8"/>
  <c r="M98" i="8" s="1"/>
  <c r="L97" i="8"/>
  <c r="M97" i="8" s="1"/>
  <c r="L96" i="8"/>
  <c r="M96" i="8" s="1"/>
  <c r="L95" i="8"/>
  <c r="M95" i="8" s="1"/>
  <c r="L94" i="8"/>
  <c r="M94" i="8" s="1"/>
  <c r="L93" i="8"/>
  <c r="M93" i="8" s="1"/>
  <c r="L92" i="8"/>
  <c r="M92" i="8" s="1"/>
  <c r="L91" i="8"/>
  <c r="M91" i="8" s="1"/>
  <c r="L90" i="8"/>
  <c r="M90" i="8" s="1"/>
  <c r="L89" i="8"/>
  <c r="M89" i="8" s="1"/>
  <c r="L88" i="8"/>
  <c r="M88" i="8" s="1"/>
  <c r="L87" i="8"/>
  <c r="M87" i="8" s="1"/>
  <c r="L86" i="8"/>
  <c r="M86" i="8" s="1"/>
  <c r="L85" i="8"/>
  <c r="M85" i="8" s="1"/>
  <c r="L84" i="8"/>
  <c r="M84" i="8" s="1"/>
  <c r="L83" i="8"/>
  <c r="M83" i="8" s="1"/>
  <c r="L82" i="8"/>
  <c r="M82" i="8" s="1"/>
  <c r="L81" i="8"/>
  <c r="M81" i="8" s="1"/>
  <c r="L80" i="8"/>
  <c r="M80" i="8" s="1"/>
  <c r="L79" i="8"/>
  <c r="M79" i="8" s="1"/>
  <c r="L78" i="8"/>
  <c r="M78" i="8" s="1"/>
  <c r="L77" i="8"/>
  <c r="M77" i="8" s="1"/>
  <c r="L76" i="8"/>
  <c r="M76" i="8" s="1"/>
  <c r="L75" i="8"/>
  <c r="M75" i="8" s="1"/>
  <c r="L74" i="8"/>
  <c r="M74" i="8" s="1"/>
  <c r="L73" i="8"/>
  <c r="M73" i="8" s="1"/>
  <c r="L72" i="8"/>
  <c r="M72" i="8" s="1"/>
  <c r="L71" i="8"/>
  <c r="M71" i="8" s="1"/>
  <c r="L70" i="8"/>
  <c r="M70" i="8" s="1"/>
  <c r="L69" i="8"/>
  <c r="M69" i="8" s="1"/>
  <c r="L68" i="8"/>
  <c r="M68" i="8" s="1"/>
  <c r="L67" i="8"/>
  <c r="M67" i="8" s="1"/>
  <c r="L66" i="8"/>
  <c r="M66" i="8" s="1"/>
  <c r="L65" i="8"/>
  <c r="M65" i="8" s="1"/>
  <c r="L64" i="8"/>
  <c r="M64" i="8" s="1"/>
  <c r="L63" i="8"/>
  <c r="M63" i="8" s="1"/>
  <c r="L62" i="8"/>
  <c r="M62" i="8" s="1"/>
  <c r="L61" i="8"/>
  <c r="M61" i="8" s="1"/>
  <c r="L60" i="8"/>
  <c r="M60" i="8" s="1"/>
  <c r="L59" i="8"/>
  <c r="M59" i="8" s="1"/>
  <c r="L58" i="8"/>
  <c r="M58" i="8" s="1"/>
  <c r="L57" i="8"/>
  <c r="M57" i="8" s="1"/>
  <c r="L56" i="8"/>
  <c r="L55" i="8"/>
  <c r="M55" i="8" s="1"/>
  <c r="L54" i="8"/>
  <c r="M54" i="8" s="1"/>
  <c r="L53" i="8"/>
  <c r="M53" i="8" s="1"/>
  <c r="L52" i="8"/>
  <c r="M52" i="8" s="1"/>
  <c r="L51" i="8"/>
  <c r="M51" i="8" s="1"/>
  <c r="L50" i="8"/>
  <c r="M50" i="8" s="1"/>
  <c r="L49" i="8"/>
  <c r="M49" i="8" s="1"/>
  <c r="L48" i="8"/>
  <c r="M48" i="8" s="1"/>
  <c r="L47" i="8"/>
  <c r="M47" i="8" s="1"/>
  <c r="L46" i="8"/>
  <c r="M46" i="8" s="1"/>
  <c r="L45" i="8"/>
  <c r="M45" i="8" s="1"/>
  <c r="L44" i="8"/>
  <c r="M44" i="8" s="1"/>
  <c r="L43" i="8"/>
  <c r="M43" i="8" s="1"/>
  <c r="L42" i="8"/>
  <c r="L41" i="8"/>
  <c r="M41" i="8" s="1"/>
  <c r="L40" i="8"/>
  <c r="M40" i="8" s="1"/>
  <c r="L39" i="8"/>
  <c r="M39" i="8" s="1"/>
  <c r="L38" i="8"/>
  <c r="M38" i="8" s="1"/>
  <c r="L37" i="8"/>
  <c r="M37" i="8" s="1"/>
  <c r="L36" i="8"/>
  <c r="M36" i="8" s="1"/>
  <c r="L35" i="8"/>
  <c r="M35" i="8" s="1"/>
  <c r="L34" i="8"/>
  <c r="M34" i="8" s="1"/>
  <c r="L33" i="8"/>
  <c r="M33" i="8" s="1"/>
  <c r="L32" i="8"/>
  <c r="M32" i="8" s="1"/>
  <c r="L31" i="8"/>
  <c r="M31" i="8" s="1"/>
  <c r="L30" i="8"/>
  <c r="M30" i="8" s="1"/>
  <c r="L29" i="8"/>
  <c r="M29" i="8" s="1"/>
  <c r="L28" i="8"/>
  <c r="L27" i="8"/>
  <c r="M27" i="8" s="1"/>
  <c r="L26" i="8"/>
  <c r="M26" i="8" s="1"/>
  <c r="L25" i="8"/>
  <c r="M25" i="8" s="1"/>
  <c r="L24" i="8"/>
  <c r="M24" i="8" s="1"/>
  <c r="L23" i="8"/>
  <c r="M23" i="8" s="1"/>
  <c r="L22" i="8"/>
  <c r="M22" i="8" s="1"/>
  <c r="L21" i="8"/>
  <c r="M21" i="8" s="1"/>
  <c r="L20" i="8"/>
  <c r="M20" i="8" s="1"/>
  <c r="L19" i="8"/>
  <c r="M19" i="8" s="1"/>
  <c r="L18" i="8"/>
  <c r="L17" i="8"/>
  <c r="M17" i="8" s="1"/>
  <c r="L16" i="8"/>
  <c r="M16" i="8" s="1"/>
  <c r="L15" i="8"/>
  <c r="M15" i="8" s="1"/>
  <c r="L14" i="8"/>
  <c r="L13" i="8"/>
  <c r="M13" i="8" s="1"/>
  <c r="L12" i="8"/>
  <c r="M12" i="8" s="1"/>
  <c r="L11" i="8"/>
  <c r="M11" i="8" s="1"/>
  <c r="L10" i="8"/>
  <c r="M10" i="8" s="1"/>
  <c r="L9" i="8"/>
  <c r="M9" i="8" s="1"/>
  <c r="L8" i="8"/>
  <c r="M8" i="8" s="1"/>
  <c r="L7" i="8"/>
  <c r="M7" i="8" s="1"/>
  <c r="L6" i="8"/>
  <c r="M6" i="8" s="1"/>
  <c r="B7" i="8"/>
  <c r="G6" i="8"/>
  <c r="H6" i="8" s="1"/>
  <c r="G372" i="8"/>
  <c r="G371" i="8"/>
  <c r="H371" i="8" s="1"/>
  <c r="G370" i="8"/>
  <c r="H370" i="8" s="1"/>
  <c r="G369" i="8"/>
  <c r="H369" i="8" s="1"/>
  <c r="G368" i="8"/>
  <c r="H368" i="8" s="1"/>
  <c r="G367" i="8"/>
  <c r="H367" i="8" s="1"/>
  <c r="G366" i="8"/>
  <c r="H366" i="8" s="1"/>
  <c r="G365" i="8"/>
  <c r="H365" i="8" s="1"/>
  <c r="G364" i="8"/>
  <c r="H364" i="8" s="1"/>
  <c r="G363" i="8"/>
  <c r="H363" i="8" s="1"/>
  <c r="G362" i="8"/>
  <c r="H362" i="8" s="1"/>
  <c r="G361" i="8"/>
  <c r="G360" i="8"/>
  <c r="G359" i="8"/>
  <c r="G358" i="8"/>
  <c r="H358" i="8" s="1"/>
  <c r="G357" i="8"/>
  <c r="H357" i="8" s="1"/>
  <c r="G356" i="8"/>
  <c r="H356" i="8" s="1"/>
  <c r="G355" i="8"/>
  <c r="H355" i="8" s="1"/>
  <c r="G354" i="8"/>
  <c r="H354" i="8" s="1"/>
  <c r="G353" i="8"/>
  <c r="H353" i="8" s="1"/>
  <c r="G352" i="8"/>
  <c r="H352" i="8" s="1"/>
  <c r="G351" i="8"/>
  <c r="G350" i="8"/>
  <c r="H350" i="8" s="1"/>
  <c r="G349" i="8"/>
  <c r="G348" i="8"/>
  <c r="G347" i="8"/>
  <c r="G346" i="8"/>
  <c r="G345" i="8"/>
  <c r="G344" i="8"/>
  <c r="G343" i="8"/>
  <c r="H343" i="8" s="1"/>
  <c r="G342" i="8"/>
  <c r="H342" i="8" s="1"/>
  <c r="G341" i="8"/>
  <c r="H341" i="8" s="1"/>
  <c r="G340" i="8"/>
  <c r="H340" i="8" s="1"/>
  <c r="G339" i="8"/>
  <c r="H339" i="8" s="1"/>
  <c r="G338" i="8"/>
  <c r="H338" i="8" s="1"/>
  <c r="G337" i="8"/>
  <c r="H337" i="8" s="1"/>
  <c r="G336" i="8"/>
  <c r="H336" i="8" s="1"/>
  <c r="G335" i="8"/>
  <c r="H335" i="8" s="1"/>
  <c r="G334" i="8"/>
  <c r="H334" i="8" s="1"/>
  <c r="G333" i="8"/>
  <c r="G332" i="8"/>
  <c r="G331" i="8"/>
  <c r="G330" i="8"/>
  <c r="H330" i="8" s="1"/>
  <c r="G329" i="8"/>
  <c r="H329" i="8" s="1"/>
  <c r="G328" i="8"/>
  <c r="H328" i="8" s="1"/>
  <c r="G327" i="8"/>
  <c r="H327" i="8" s="1"/>
  <c r="G326" i="8"/>
  <c r="H326" i="8" s="1"/>
  <c r="G325" i="8"/>
  <c r="H325" i="8" s="1"/>
  <c r="G324" i="8"/>
  <c r="H324" i="8" s="1"/>
  <c r="G323" i="8"/>
  <c r="G322" i="8"/>
  <c r="H322" i="8" s="1"/>
  <c r="G321" i="8"/>
  <c r="G320" i="8"/>
  <c r="G319" i="8"/>
  <c r="G318" i="8"/>
  <c r="G317" i="8"/>
  <c r="G316" i="8"/>
  <c r="G315" i="8"/>
  <c r="H315" i="8" s="1"/>
  <c r="G314" i="8"/>
  <c r="H314" i="8" s="1"/>
  <c r="G313" i="8"/>
  <c r="H313" i="8" s="1"/>
  <c r="G312" i="8"/>
  <c r="H312" i="8" s="1"/>
  <c r="G311" i="8"/>
  <c r="H311" i="8" s="1"/>
  <c r="G310" i="8"/>
  <c r="H310" i="8" s="1"/>
  <c r="G309" i="8"/>
  <c r="H309" i="8" s="1"/>
  <c r="G308" i="8"/>
  <c r="H308" i="8" s="1"/>
  <c r="G307" i="8"/>
  <c r="H307" i="8" s="1"/>
  <c r="G306" i="8"/>
  <c r="H306" i="8" s="1"/>
  <c r="G305" i="8"/>
  <c r="G304" i="8"/>
  <c r="G303" i="8"/>
  <c r="G302" i="8"/>
  <c r="H302" i="8" s="1"/>
  <c r="G301" i="8"/>
  <c r="H301" i="8" s="1"/>
  <c r="G300" i="8"/>
  <c r="H300" i="8" s="1"/>
  <c r="G299" i="8"/>
  <c r="H299" i="8" s="1"/>
  <c r="G298" i="8"/>
  <c r="H298" i="8" s="1"/>
  <c r="G297" i="8"/>
  <c r="H297" i="8" s="1"/>
  <c r="G296" i="8"/>
  <c r="H296" i="8" s="1"/>
  <c r="G295" i="8"/>
  <c r="G294" i="8"/>
  <c r="H294" i="8" s="1"/>
  <c r="G293" i="8"/>
  <c r="G292" i="8"/>
  <c r="G291" i="8"/>
  <c r="G290" i="8"/>
  <c r="G289" i="8"/>
  <c r="G288" i="8"/>
  <c r="G287" i="8"/>
  <c r="H287" i="8" s="1"/>
  <c r="G286" i="8"/>
  <c r="H286" i="8" s="1"/>
  <c r="G285" i="8"/>
  <c r="H285" i="8" s="1"/>
  <c r="G284" i="8"/>
  <c r="H284" i="8" s="1"/>
  <c r="G283" i="8"/>
  <c r="H283" i="8" s="1"/>
  <c r="G282" i="8"/>
  <c r="H282" i="8" s="1"/>
  <c r="G281" i="8"/>
  <c r="H281" i="8" s="1"/>
  <c r="G280" i="8"/>
  <c r="H280" i="8" s="1"/>
  <c r="G279" i="8"/>
  <c r="H279" i="8" s="1"/>
  <c r="G278" i="8"/>
  <c r="H278" i="8" s="1"/>
  <c r="G277" i="8"/>
  <c r="G276" i="8"/>
  <c r="G275" i="8"/>
  <c r="G274" i="8"/>
  <c r="H274" i="8" s="1"/>
  <c r="G273" i="8"/>
  <c r="H273" i="8" s="1"/>
  <c r="G272" i="8"/>
  <c r="H272" i="8" s="1"/>
  <c r="G271" i="8"/>
  <c r="H271" i="8" s="1"/>
  <c r="G270" i="8"/>
  <c r="H270" i="8" s="1"/>
  <c r="G269" i="8"/>
  <c r="H269" i="8" s="1"/>
  <c r="G268" i="8"/>
  <c r="H268" i="8" s="1"/>
  <c r="G267" i="8"/>
  <c r="G266" i="8"/>
  <c r="H266" i="8" s="1"/>
  <c r="G265" i="8"/>
  <c r="G264" i="8"/>
  <c r="G263" i="8"/>
  <c r="G262" i="8"/>
  <c r="G261" i="8"/>
  <c r="G260" i="8"/>
  <c r="G259" i="8"/>
  <c r="H259" i="8" s="1"/>
  <c r="G258" i="8"/>
  <c r="H258" i="8" s="1"/>
  <c r="G257" i="8"/>
  <c r="H257" i="8" s="1"/>
  <c r="G256" i="8"/>
  <c r="H256" i="8" s="1"/>
  <c r="G255" i="8"/>
  <c r="H255" i="8" s="1"/>
  <c r="G254" i="8"/>
  <c r="H254" i="8" s="1"/>
  <c r="G253" i="8"/>
  <c r="H253" i="8" s="1"/>
  <c r="G252" i="8"/>
  <c r="H252" i="8" s="1"/>
  <c r="G251" i="8"/>
  <c r="H251" i="8" s="1"/>
  <c r="G250" i="8"/>
  <c r="H250" i="8" s="1"/>
  <c r="G249" i="8"/>
  <c r="G248" i="8"/>
  <c r="G247" i="8"/>
  <c r="G246" i="8"/>
  <c r="H246" i="8" s="1"/>
  <c r="G245" i="8"/>
  <c r="H245" i="8" s="1"/>
  <c r="G244" i="8"/>
  <c r="H244" i="8" s="1"/>
  <c r="G243" i="8"/>
  <c r="H243" i="8" s="1"/>
  <c r="G242" i="8"/>
  <c r="H242" i="8" s="1"/>
  <c r="G241" i="8"/>
  <c r="H241" i="8" s="1"/>
  <c r="G240" i="8"/>
  <c r="H240" i="8" s="1"/>
  <c r="G239" i="8"/>
  <c r="G238" i="8"/>
  <c r="H238" i="8" s="1"/>
  <c r="G237" i="8"/>
  <c r="G236" i="8"/>
  <c r="G235" i="8"/>
  <c r="G234" i="8"/>
  <c r="G233" i="8"/>
  <c r="G232" i="8"/>
  <c r="G231" i="8"/>
  <c r="H231" i="8" s="1"/>
  <c r="G230" i="8"/>
  <c r="H230" i="8" s="1"/>
  <c r="G229" i="8"/>
  <c r="H229" i="8" s="1"/>
  <c r="G228" i="8"/>
  <c r="H228" i="8" s="1"/>
  <c r="G227" i="8"/>
  <c r="H227" i="8" s="1"/>
  <c r="G226" i="8"/>
  <c r="H226" i="8" s="1"/>
  <c r="G225" i="8"/>
  <c r="H225" i="8" s="1"/>
  <c r="G224" i="8"/>
  <c r="H224" i="8" s="1"/>
  <c r="G223" i="8"/>
  <c r="H223" i="8" s="1"/>
  <c r="G222" i="8"/>
  <c r="H222" i="8" s="1"/>
  <c r="G221" i="8"/>
  <c r="G220" i="8"/>
  <c r="G219" i="8"/>
  <c r="G218" i="8"/>
  <c r="H218" i="8" s="1"/>
  <c r="G217" i="8"/>
  <c r="H217" i="8" s="1"/>
  <c r="G216" i="8"/>
  <c r="H216" i="8" s="1"/>
  <c r="G215" i="8"/>
  <c r="H215" i="8" s="1"/>
  <c r="G214" i="8"/>
  <c r="H214" i="8" s="1"/>
  <c r="G213" i="8"/>
  <c r="H213" i="8" s="1"/>
  <c r="G212" i="8"/>
  <c r="H212" i="8" s="1"/>
  <c r="G211" i="8"/>
  <c r="G210" i="8"/>
  <c r="H210" i="8" s="1"/>
  <c r="G209" i="8"/>
  <c r="G208" i="8"/>
  <c r="G207" i="8"/>
  <c r="G206" i="8"/>
  <c r="G205" i="8"/>
  <c r="G204" i="8"/>
  <c r="G203" i="8"/>
  <c r="H203" i="8" s="1"/>
  <c r="G202" i="8"/>
  <c r="H202" i="8" s="1"/>
  <c r="G201" i="8"/>
  <c r="H201" i="8" s="1"/>
  <c r="G200" i="8"/>
  <c r="H200" i="8" s="1"/>
  <c r="G199" i="8"/>
  <c r="H199" i="8" s="1"/>
  <c r="G198" i="8"/>
  <c r="H198" i="8" s="1"/>
  <c r="G197" i="8"/>
  <c r="H197" i="8" s="1"/>
  <c r="G196" i="8"/>
  <c r="H196" i="8" s="1"/>
  <c r="G195" i="8"/>
  <c r="H195" i="8" s="1"/>
  <c r="G194" i="8"/>
  <c r="H194" i="8" s="1"/>
  <c r="G193" i="8"/>
  <c r="G192" i="8"/>
  <c r="G191" i="8"/>
  <c r="G190" i="8"/>
  <c r="H190" i="8" s="1"/>
  <c r="G189" i="8"/>
  <c r="H189" i="8" s="1"/>
  <c r="G188" i="8"/>
  <c r="H188" i="8" s="1"/>
  <c r="G187" i="8"/>
  <c r="H187" i="8" s="1"/>
  <c r="G186" i="8"/>
  <c r="H186" i="8" s="1"/>
  <c r="G185" i="8"/>
  <c r="H185" i="8" s="1"/>
  <c r="G184" i="8"/>
  <c r="H184" i="8" s="1"/>
  <c r="G183" i="8"/>
  <c r="G182" i="8"/>
  <c r="H182" i="8" s="1"/>
  <c r="G181" i="8"/>
  <c r="G180" i="8"/>
  <c r="G179" i="8"/>
  <c r="G178" i="8"/>
  <c r="G177" i="8"/>
  <c r="G176" i="8"/>
  <c r="G175" i="8"/>
  <c r="H175" i="8" s="1"/>
  <c r="G174" i="8"/>
  <c r="H174" i="8" s="1"/>
  <c r="G173" i="8"/>
  <c r="H173" i="8" s="1"/>
  <c r="G172" i="8"/>
  <c r="H172" i="8" s="1"/>
  <c r="G171" i="8"/>
  <c r="H171" i="8" s="1"/>
  <c r="G170" i="8"/>
  <c r="H170" i="8" s="1"/>
  <c r="G169" i="8"/>
  <c r="H169" i="8" s="1"/>
  <c r="G168" i="8"/>
  <c r="H168" i="8" s="1"/>
  <c r="G167" i="8"/>
  <c r="H167" i="8" s="1"/>
  <c r="G166" i="8"/>
  <c r="H166" i="8" s="1"/>
  <c r="G165" i="8"/>
  <c r="G164" i="8"/>
  <c r="G163" i="8"/>
  <c r="G162" i="8"/>
  <c r="H162" i="8" s="1"/>
  <c r="G161" i="8"/>
  <c r="H161" i="8" s="1"/>
  <c r="G160" i="8"/>
  <c r="H160" i="8" s="1"/>
  <c r="G159" i="8"/>
  <c r="H159" i="8" s="1"/>
  <c r="G158" i="8"/>
  <c r="H158" i="8" s="1"/>
  <c r="G157" i="8"/>
  <c r="H157" i="8" s="1"/>
  <c r="G156" i="8"/>
  <c r="H156" i="8" s="1"/>
  <c r="G155" i="8"/>
  <c r="G154" i="8"/>
  <c r="H154" i="8" s="1"/>
  <c r="G153" i="8"/>
  <c r="G152" i="8"/>
  <c r="G151" i="8"/>
  <c r="G150" i="8"/>
  <c r="G149" i="8"/>
  <c r="G148" i="8"/>
  <c r="G147" i="8"/>
  <c r="H147" i="8" s="1"/>
  <c r="G146" i="8"/>
  <c r="H146" i="8" s="1"/>
  <c r="G145" i="8"/>
  <c r="H145" i="8" s="1"/>
  <c r="G144" i="8"/>
  <c r="H144" i="8" s="1"/>
  <c r="G143" i="8"/>
  <c r="H143" i="8" s="1"/>
  <c r="G142" i="8"/>
  <c r="H142" i="8" s="1"/>
  <c r="G141" i="8"/>
  <c r="H141" i="8" s="1"/>
  <c r="G140" i="8"/>
  <c r="H140" i="8" s="1"/>
  <c r="G139" i="8"/>
  <c r="H139" i="8" s="1"/>
  <c r="G138" i="8"/>
  <c r="H138" i="8" s="1"/>
  <c r="G137" i="8"/>
  <c r="G136" i="8"/>
  <c r="G135" i="8"/>
  <c r="G134" i="8"/>
  <c r="H134" i="8" s="1"/>
  <c r="G133" i="8"/>
  <c r="H133" i="8" s="1"/>
  <c r="G132" i="8"/>
  <c r="H132" i="8" s="1"/>
  <c r="G131" i="8"/>
  <c r="H131" i="8" s="1"/>
  <c r="G130" i="8"/>
  <c r="H130" i="8" s="1"/>
  <c r="G129" i="8"/>
  <c r="H129" i="8" s="1"/>
  <c r="G128" i="8"/>
  <c r="H128" i="8" s="1"/>
  <c r="G127" i="8"/>
  <c r="G126" i="8"/>
  <c r="H126" i="8" s="1"/>
  <c r="G125" i="8"/>
  <c r="G124" i="8"/>
  <c r="G123" i="8"/>
  <c r="G122" i="8"/>
  <c r="G121" i="8"/>
  <c r="G120" i="8"/>
  <c r="G119" i="8"/>
  <c r="H119" i="8" s="1"/>
  <c r="G118" i="8"/>
  <c r="H118" i="8" s="1"/>
  <c r="G117" i="8"/>
  <c r="H117" i="8" s="1"/>
  <c r="G116" i="8"/>
  <c r="H116" i="8" s="1"/>
  <c r="G115" i="8"/>
  <c r="H115" i="8" s="1"/>
  <c r="G114" i="8"/>
  <c r="H114" i="8" s="1"/>
  <c r="G113" i="8"/>
  <c r="H113" i="8" s="1"/>
  <c r="G112" i="8"/>
  <c r="H112" i="8" s="1"/>
  <c r="G111" i="8"/>
  <c r="H111" i="8" s="1"/>
  <c r="G110" i="8"/>
  <c r="H110" i="8" s="1"/>
  <c r="G109" i="8"/>
  <c r="G108" i="8"/>
  <c r="G107" i="8"/>
  <c r="G106" i="8"/>
  <c r="H106" i="8" s="1"/>
  <c r="G105" i="8"/>
  <c r="H105" i="8" s="1"/>
  <c r="G104" i="8"/>
  <c r="H104" i="8" s="1"/>
  <c r="G103" i="8"/>
  <c r="H103" i="8" s="1"/>
  <c r="G102" i="8"/>
  <c r="H102" i="8" s="1"/>
  <c r="G101" i="8"/>
  <c r="H101" i="8" s="1"/>
  <c r="G100" i="8"/>
  <c r="H100" i="8" s="1"/>
  <c r="G99" i="8"/>
  <c r="G98" i="8"/>
  <c r="H98" i="8" s="1"/>
  <c r="G97" i="8"/>
  <c r="G96" i="8"/>
  <c r="G95" i="8"/>
  <c r="G94" i="8"/>
  <c r="G93" i="8"/>
  <c r="G92" i="8"/>
  <c r="G91" i="8"/>
  <c r="H91" i="8" s="1"/>
  <c r="G90" i="8"/>
  <c r="H90" i="8" s="1"/>
  <c r="G89" i="8"/>
  <c r="H89" i="8" s="1"/>
  <c r="G88" i="8"/>
  <c r="H88" i="8" s="1"/>
  <c r="G87" i="8"/>
  <c r="H87" i="8" s="1"/>
  <c r="G86" i="8"/>
  <c r="H86" i="8" s="1"/>
  <c r="G85" i="8"/>
  <c r="H85" i="8" s="1"/>
  <c r="G84" i="8"/>
  <c r="H84" i="8" s="1"/>
  <c r="G83" i="8"/>
  <c r="H83" i="8" s="1"/>
  <c r="G82" i="8"/>
  <c r="H82" i="8" s="1"/>
  <c r="G81" i="8"/>
  <c r="G80" i="8"/>
  <c r="G79" i="8"/>
  <c r="G78" i="8"/>
  <c r="H78" i="8" s="1"/>
  <c r="G77" i="8"/>
  <c r="H77" i="8" s="1"/>
  <c r="G76" i="8"/>
  <c r="H76" i="8" s="1"/>
  <c r="G75" i="8"/>
  <c r="H75" i="8" s="1"/>
  <c r="G74" i="8"/>
  <c r="H74" i="8" s="1"/>
  <c r="G73" i="8"/>
  <c r="H73" i="8" s="1"/>
  <c r="G72" i="8"/>
  <c r="H72" i="8" s="1"/>
  <c r="G71" i="8"/>
  <c r="G70" i="8"/>
  <c r="H70" i="8" s="1"/>
  <c r="G69" i="8"/>
  <c r="G68" i="8"/>
  <c r="G67" i="8"/>
  <c r="G66" i="8"/>
  <c r="G65" i="8"/>
  <c r="G64" i="8"/>
  <c r="G63" i="8"/>
  <c r="H63" i="8" s="1"/>
  <c r="G62" i="8"/>
  <c r="G61" i="8"/>
  <c r="H61" i="8" s="1"/>
  <c r="G60" i="8"/>
  <c r="H60" i="8" s="1"/>
  <c r="G59" i="8"/>
  <c r="H59" i="8" s="1"/>
  <c r="G58" i="8"/>
  <c r="H58" i="8" s="1"/>
  <c r="G57" i="8"/>
  <c r="H57" i="8" s="1"/>
  <c r="G56" i="8"/>
  <c r="H56" i="8" s="1"/>
  <c r="G55" i="8"/>
  <c r="G54" i="8"/>
  <c r="H54" i="8" s="1"/>
  <c r="G53" i="8"/>
  <c r="G52" i="8"/>
  <c r="G51" i="8"/>
  <c r="G50" i="8"/>
  <c r="H50" i="8" s="1"/>
  <c r="G49" i="8"/>
  <c r="H49" i="8" s="1"/>
  <c r="G48" i="8"/>
  <c r="G47" i="8"/>
  <c r="H47" i="8" s="1"/>
  <c r="G46" i="8"/>
  <c r="H46" i="8" s="1"/>
  <c r="G45" i="8"/>
  <c r="H45" i="8" s="1"/>
  <c r="G44" i="8"/>
  <c r="H44" i="8" s="1"/>
  <c r="G43" i="8"/>
  <c r="G42" i="8"/>
  <c r="G41" i="8"/>
  <c r="G40" i="8"/>
  <c r="G39" i="8"/>
  <c r="G38" i="8"/>
  <c r="G37" i="8"/>
  <c r="G36" i="8"/>
  <c r="G35" i="8"/>
  <c r="H35" i="8" s="1"/>
  <c r="G34" i="8"/>
  <c r="G33" i="8"/>
  <c r="H33" i="8" s="1"/>
  <c r="G32" i="8"/>
  <c r="H32" i="8" s="1"/>
  <c r="G31" i="8"/>
  <c r="H31" i="8" s="1"/>
  <c r="G30" i="8"/>
  <c r="H30" i="8" s="1"/>
  <c r="G29" i="8"/>
  <c r="H29" i="8" s="1"/>
  <c r="G28" i="8"/>
  <c r="H28" i="8" s="1"/>
  <c r="G27" i="8"/>
  <c r="H27" i="8" s="1"/>
  <c r="G26" i="8"/>
  <c r="H26" i="8" s="1"/>
  <c r="G25" i="8"/>
  <c r="G24" i="8"/>
  <c r="G23" i="8"/>
  <c r="G22" i="8"/>
  <c r="H22" i="8" s="1"/>
  <c r="G21" i="8"/>
  <c r="H21" i="8" s="1"/>
  <c r="G20" i="8"/>
  <c r="H20" i="8" s="1"/>
  <c r="G19" i="8"/>
  <c r="H19" i="8" s="1"/>
  <c r="G18" i="8"/>
  <c r="H18" i="8" s="1"/>
  <c r="G17" i="8"/>
  <c r="H17" i="8" s="1"/>
  <c r="G16" i="8"/>
  <c r="H16" i="8" s="1"/>
  <c r="G15" i="8"/>
  <c r="G14" i="8"/>
  <c r="H14" i="8" s="1"/>
  <c r="G13" i="8"/>
  <c r="G12" i="8"/>
  <c r="G11" i="8"/>
  <c r="G10" i="8"/>
  <c r="G9" i="8"/>
  <c r="G8" i="8"/>
  <c r="G7" i="8"/>
  <c r="H7" i="8" s="1"/>
  <c r="B8" i="8" l="1"/>
  <c r="C7" i="8"/>
  <c r="A5" i="1"/>
  <c r="B5" i="1" s="1"/>
  <c r="H34" i="8"/>
  <c r="H62" i="8"/>
  <c r="H55" i="8"/>
  <c r="H48" i="8"/>
  <c r="H42" i="8"/>
  <c r="A6" i="1"/>
  <c r="B6" i="1" s="1"/>
  <c r="S369" i="8"/>
  <c r="T369" i="8" s="1"/>
  <c r="S368" i="8"/>
  <c r="T368" i="8" s="1"/>
  <c r="S356" i="8"/>
  <c r="T356" i="8" s="1"/>
  <c r="S242" i="8"/>
  <c r="T242" i="8" s="1"/>
  <c r="S224" i="8"/>
  <c r="T224" i="8" s="1"/>
  <c r="S101" i="8"/>
  <c r="T101" i="8" s="1"/>
  <c r="S100" i="8"/>
  <c r="T100" i="8" s="1"/>
  <c r="S98" i="8"/>
  <c r="T98" i="8" s="1"/>
  <c r="S84" i="8"/>
  <c r="T84" i="8" s="1"/>
  <c r="S73" i="8"/>
  <c r="T73" i="8" s="1"/>
  <c r="S48" i="8"/>
  <c r="T48" i="8" s="1"/>
  <c r="S74" i="8"/>
  <c r="T74" i="8" s="1"/>
  <c r="S47" i="8"/>
  <c r="T47" i="8" s="1"/>
  <c r="S353" i="8"/>
  <c r="T353" i="8" s="1"/>
  <c r="S217" i="8"/>
  <c r="T217" i="8" s="1"/>
  <c r="S72" i="8"/>
  <c r="T72" i="8" s="1"/>
  <c r="S352" i="8"/>
  <c r="T352" i="8" s="1"/>
  <c r="S216" i="8"/>
  <c r="T216" i="8" s="1"/>
  <c r="S341" i="8"/>
  <c r="T341" i="8" s="1"/>
  <c r="S215" i="8"/>
  <c r="T215" i="8" s="1"/>
  <c r="S340" i="8"/>
  <c r="T340" i="8" s="1"/>
  <c r="S214" i="8"/>
  <c r="T214" i="8" s="1"/>
  <c r="S46" i="8"/>
  <c r="T46" i="8" s="1"/>
  <c r="S330" i="8"/>
  <c r="T330" i="8" s="1"/>
  <c r="S212" i="8"/>
  <c r="T212" i="8" s="1"/>
  <c r="S45" i="8"/>
  <c r="T45" i="8" s="1"/>
  <c r="S281" i="8"/>
  <c r="T281" i="8" s="1"/>
  <c r="S129" i="8"/>
  <c r="T129" i="8" s="1"/>
  <c r="S226" i="8"/>
  <c r="T226" i="8" s="1"/>
  <c r="S355" i="8"/>
  <c r="T355" i="8" s="1"/>
  <c r="S44" i="8"/>
  <c r="T44" i="8" s="1"/>
  <c r="S325" i="8"/>
  <c r="T325" i="8" s="1"/>
  <c r="S324" i="8"/>
  <c r="T324" i="8" s="1"/>
  <c r="S282" i="8"/>
  <c r="T282" i="8" s="1"/>
  <c r="S271" i="8"/>
  <c r="T271" i="8" s="1"/>
  <c r="S126" i="8"/>
  <c r="T126" i="8" s="1"/>
  <c r="S270" i="8"/>
  <c r="T270" i="8" s="1"/>
  <c r="S114" i="8"/>
  <c r="T114" i="8" s="1"/>
  <c r="S269" i="8"/>
  <c r="T269" i="8" s="1"/>
  <c r="S113" i="8"/>
  <c r="T113" i="8" s="1"/>
  <c r="S241" i="8"/>
  <c r="T241" i="8" s="1"/>
  <c r="S225" i="8"/>
  <c r="T225" i="8" s="1"/>
  <c r="S197" i="8"/>
  <c r="T197" i="8" s="1"/>
  <c r="S170" i="8"/>
  <c r="T170" i="8" s="1"/>
  <c r="S169" i="8"/>
  <c r="T169" i="8" s="1"/>
  <c r="S312" i="8"/>
  <c r="T312" i="8" s="1"/>
  <c r="S313" i="8"/>
  <c r="T313" i="8" s="1"/>
  <c r="S298" i="8"/>
  <c r="T298" i="8" s="1"/>
  <c r="S130" i="8"/>
  <c r="T130" i="8" s="1"/>
  <c r="S128" i="8"/>
  <c r="T128" i="8" s="1"/>
  <c r="S18" i="8"/>
  <c r="T18" i="8" s="1"/>
  <c r="S266" i="8"/>
  <c r="T266" i="8" s="1"/>
  <c r="S104" i="8"/>
  <c r="T104" i="8" s="1"/>
  <c r="S329" i="8"/>
  <c r="T329" i="8" s="1"/>
  <c r="S16" i="8"/>
  <c r="T16" i="8" s="1"/>
  <c r="S159" i="8"/>
  <c r="T159" i="8" s="1"/>
  <c r="S156" i="8"/>
  <c r="T156" i="8" s="1"/>
  <c r="S142" i="8"/>
  <c r="T142" i="8" s="1"/>
  <c r="S140" i="8"/>
  <c r="T140" i="8" s="1"/>
  <c r="S253" i="8"/>
  <c r="T253" i="8" s="1"/>
  <c r="S103" i="8"/>
  <c r="T103" i="8" s="1"/>
  <c r="S240" i="8"/>
  <c r="T240" i="8" s="1"/>
  <c r="S367" i="8"/>
  <c r="T367" i="8" s="1"/>
  <c r="S328" i="8"/>
  <c r="T328" i="8" s="1"/>
  <c r="S327" i="8"/>
  <c r="T327" i="8" s="1"/>
  <c r="S284" i="8"/>
  <c r="T284" i="8" s="1"/>
  <c r="S154" i="8"/>
  <c r="T154" i="8" s="1"/>
  <c r="S297" i="8"/>
  <c r="T297" i="8" s="1"/>
  <c r="S272" i="8"/>
  <c r="T272" i="8" s="1"/>
  <c r="S252" i="8"/>
  <c r="T252" i="8" s="1"/>
  <c r="S102" i="8"/>
  <c r="T102" i="8" s="1"/>
  <c r="H303" i="8"/>
  <c r="S303" i="8"/>
  <c r="T303" i="8" s="1"/>
  <c r="H51" i="8"/>
  <c r="S51" i="8"/>
  <c r="T51" i="8" s="1"/>
  <c r="H219" i="8"/>
  <c r="S219" i="8"/>
  <c r="T219" i="8" s="1"/>
  <c r="H359" i="8"/>
  <c r="S359" i="8"/>
  <c r="T359" i="8" s="1"/>
  <c r="H136" i="8"/>
  <c r="S136" i="8"/>
  <c r="T136" i="8" s="1"/>
  <c r="H276" i="8"/>
  <c r="S276" i="8"/>
  <c r="T276" i="8" s="1"/>
  <c r="H332" i="8"/>
  <c r="S332" i="8"/>
  <c r="T332" i="8" s="1"/>
  <c r="H360" i="8"/>
  <c r="S360" i="8"/>
  <c r="T360" i="8" s="1"/>
  <c r="M42" i="8"/>
  <c r="S42" i="8"/>
  <c r="T42" i="8" s="1"/>
  <c r="H53" i="8"/>
  <c r="S53" i="8"/>
  <c r="T53" i="8" s="1"/>
  <c r="H221" i="8"/>
  <c r="S221" i="8"/>
  <c r="T221" i="8" s="1"/>
  <c r="H333" i="8"/>
  <c r="S333" i="8"/>
  <c r="T333" i="8" s="1"/>
  <c r="M18" i="8"/>
  <c r="M312" i="8"/>
  <c r="S166" i="8"/>
  <c r="T166" i="8" s="1"/>
  <c r="S337" i="8"/>
  <c r="T337" i="8" s="1"/>
  <c r="S274" i="8"/>
  <c r="T274" i="8" s="1"/>
  <c r="S222" i="8"/>
  <c r="T222" i="8" s="1"/>
  <c r="S161" i="8"/>
  <c r="T161" i="8" s="1"/>
  <c r="S106" i="8"/>
  <c r="T106" i="8" s="1"/>
  <c r="S50" i="8"/>
  <c r="T50" i="8" s="1"/>
  <c r="S158" i="8"/>
  <c r="T158" i="8" s="1"/>
  <c r="S185" i="8"/>
  <c r="T185" i="8" s="1"/>
  <c r="H23" i="8"/>
  <c r="S23" i="8"/>
  <c r="T23" i="8" s="1"/>
  <c r="H79" i="8"/>
  <c r="S79" i="8"/>
  <c r="T79" i="8" s="1"/>
  <c r="H107" i="8"/>
  <c r="S107" i="8"/>
  <c r="T107" i="8" s="1"/>
  <c r="H135" i="8"/>
  <c r="S135" i="8"/>
  <c r="T135" i="8" s="1"/>
  <c r="H163" i="8"/>
  <c r="S163" i="8"/>
  <c r="T163" i="8" s="1"/>
  <c r="H191" i="8"/>
  <c r="S191" i="8"/>
  <c r="T191" i="8" s="1"/>
  <c r="H247" i="8"/>
  <c r="S247" i="8"/>
  <c r="T247" i="8" s="1"/>
  <c r="H275" i="8"/>
  <c r="S275" i="8"/>
  <c r="T275" i="8" s="1"/>
  <c r="H331" i="8"/>
  <c r="S331" i="8"/>
  <c r="T331" i="8" s="1"/>
  <c r="S184" i="8"/>
  <c r="T184" i="8" s="1"/>
  <c r="H24" i="8"/>
  <c r="S24" i="8"/>
  <c r="T24" i="8" s="1"/>
  <c r="H52" i="8"/>
  <c r="S52" i="8"/>
  <c r="T52" i="8" s="1"/>
  <c r="H80" i="8"/>
  <c r="S80" i="8"/>
  <c r="T80" i="8" s="1"/>
  <c r="H108" i="8"/>
  <c r="S108" i="8"/>
  <c r="T108" i="8" s="1"/>
  <c r="H164" i="8"/>
  <c r="S164" i="8"/>
  <c r="T164" i="8" s="1"/>
  <c r="H192" i="8"/>
  <c r="S192" i="8"/>
  <c r="T192" i="8" s="1"/>
  <c r="H220" i="8"/>
  <c r="S220" i="8"/>
  <c r="T220" i="8" s="1"/>
  <c r="H248" i="8"/>
  <c r="S248" i="8"/>
  <c r="T248" i="8" s="1"/>
  <c r="H304" i="8"/>
  <c r="S304" i="8"/>
  <c r="T304" i="8" s="1"/>
  <c r="S354" i="8"/>
  <c r="T354" i="8" s="1"/>
  <c r="S296" i="8"/>
  <c r="T296" i="8" s="1"/>
  <c r="S173" i="8"/>
  <c r="T173" i="8" s="1"/>
  <c r="H25" i="8"/>
  <c r="S25" i="8"/>
  <c r="T25" i="8" s="1"/>
  <c r="H81" i="8"/>
  <c r="S81" i="8"/>
  <c r="T81" i="8" s="1"/>
  <c r="H109" i="8"/>
  <c r="S109" i="8"/>
  <c r="T109" i="8" s="1"/>
  <c r="H137" i="8"/>
  <c r="S137" i="8"/>
  <c r="T137" i="8" s="1"/>
  <c r="H165" i="8"/>
  <c r="S165" i="8"/>
  <c r="T165" i="8" s="1"/>
  <c r="H193" i="8"/>
  <c r="S193" i="8"/>
  <c r="T193" i="8" s="1"/>
  <c r="H249" i="8"/>
  <c r="S249" i="8"/>
  <c r="T249" i="8" s="1"/>
  <c r="H277" i="8"/>
  <c r="S277" i="8"/>
  <c r="T277" i="8" s="1"/>
  <c r="H305" i="8"/>
  <c r="S305" i="8"/>
  <c r="T305" i="8" s="1"/>
  <c r="H361" i="8"/>
  <c r="S361" i="8"/>
  <c r="T361" i="8" s="1"/>
  <c r="M336" i="8"/>
  <c r="S336" i="8"/>
  <c r="T336" i="8" s="1"/>
  <c r="S285" i="8"/>
  <c r="T285" i="8" s="1"/>
  <c r="S229" i="8"/>
  <c r="T229" i="8" s="1"/>
  <c r="S172" i="8"/>
  <c r="T172" i="8" s="1"/>
  <c r="S117" i="8"/>
  <c r="T117" i="8" s="1"/>
  <c r="S61" i="8"/>
  <c r="T61" i="8" s="1"/>
  <c r="M284" i="8"/>
  <c r="M364" i="8"/>
  <c r="S364" i="8"/>
  <c r="T364" i="8" s="1"/>
  <c r="S228" i="8"/>
  <c r="T228" i="8" s="1"/>
  <c r="S171" i="8"/>
  <c r="T171" i="8" s="1"/>
  <c r="S116" i="8"/>
  <c r="T116" i="8" s="1"/>
  <c r="S60" i="8"/>
  <c r="T60" i="8" s="1"/>
  <c r="S283" i="8"/>
  <c r="T283" i="8" s="1"/>
  <c r="S227" i="8"/>
  <c r="T227" i="8" s="1"/>
  <c r="S115" i="8"/>
  <c r="T115" i="8" s="1"/>
  <c r="S59" i="8"/>
  <c r="T59" i="8" s="1"/>
  <c r="S58" i="8"/>
  <c r="T58" i="8" s="1"/>
  <c r="S339" i="8"/>
  <c r="T339" i="8" s="1"/>
  <c r="S57" i="8"/>
  <c r="T57" i="8" s="1"/>
  <c r="R280" i="8"/>
  <c r="S280" i="8"/>
  <c r="T280" i="8" s="1"/>
  <c r="S338" i="8"/>
  <c r="T338" i="8" s="1"/>
  <c r="S278" i="8"/>
  <c r="T278" i="8" s="1"/>
  <c r="S162" i="8"/>
  <c r="T162" i="8" s="1"/>
  <c r="S110" i="8"/>
  <c r="T110" i="8" s="1"/>
  <c r="S54" i="8"/>
  <c r="T54" i="8" s="1"/>
  <c r="M182" i="8"/>
  <c r="S182" i="8"/>
  <c r="T182" i="8" s="1"/>
  <c r="M210" i="8"/>
  <c r="S210" i="8"/>
  <c r="T210" i="8" s="1"/>
  <c r="R308" i="8"/>
  <c r="S308" i="8"/>
  <c r="T308" i="8" s="1"/>
  <c r="S334" i="8"/>
  <c r="T334" i="8" s="1"/>
  <c r="S273" i="8"/>
  <c r="T273" i="8" s="1"/>
  <c r="S218" i="8"/>
  <c r="T218" i="8" s="1"/>
  <c r="S160" i="8"/>
  <c r="T160" i="8" s="1"/>
  <c r="S105" i="8"/>
  <c r="T105" i="8" s="1"/>
  <c r="S49" i="8"/>
  <c r="T49" i="8" s="1"/>
  <c r="S157" i="8"/>
  <c r="T157" i="8" s="1"/>
  <c r="H288" i="8"/>
  <c r="S288" i="8"/>
  <c r="T288" i="8" s="1"/>
  <c r="H64" i="8"/>
  <c r="S64" i="8"/>
  <c r="T64" i="8" s="1"/>
  <c r="H233" i="8"/>
  <c r="S233" i="8"/>
  <c r="T233" i="8" s="1"/>
  <c r="H10" i="8"/>
  <c r="S10" i="8"/>
  <c r="T10" i="8" s="1"/>
  <c r="H180" i="8"/>
  <c r="S180" i="8"/>
  <c r="T180" i="8" s="1"/>
  <c r="H13" i="8"/>
  <c r="S13" i="8"/>
  <c r="T13" i="8" s="1"/>
  <c r="H41" i="8"/>
  <c r="S41" i="8"/>
  <c r="T41" i="8" s="1"/>
  <c r="H69" i="8"/>
  <c r="S69" i="8"/>
  <c r="T69" i="8" s="1"/>
  <c r="H97" i="8"/>
  <c r="S97" i="8"/>
  <c r="T97" i="8" s="1"/>
  <c r="H125" i="8"/>
  <c r="S125" i="8"/>
  <c r="T125" i="8" s="1"/>
  <c r="H153" i="8"/>
  <c r="S153" i="8"/>
  <c r="T153" i="8" s="1"/>
  <c r="H181" i="8"/>
  <c r="S181" i="8"/>
  <c r="T181" i="8" s="1"/>
  <c r="H209" i="8"/>
  <c r="S209" i="8"/>
  <c r="T209" i="8" s="1"/>
  <c r="H237" i="8"/>
  <c r="S237" i="8"/>
  <c r="T237" i="8" s="1"/>
  <c r="H265" i="8"/>
  <c r="S265" i="8"/>
  <c r="T265" i="8" s="1"/>
  <c r="H293" i="8"/>
  <c r="S293" i="8"/>
  <c r="T293" i="8" s="1"/>
  <c r="H321" i="8"/>
  <c r="S321" i="8"/>
  <c r="T321" i="8" s="1"/>
  <c r="H349" i="8"/>
  <c r="S349" i="8"/>
  <c r="T349" i="8" s="1"/>
  <c r="S255" i="8"/>
  <c r="T255" i="8" s="1"/>
  <c r="S199" i="8"/>
  <c r="T199" i="8" s="1"/>
  <c r="S87" i="8"/>
  <c r="T87" i="8" s="1"/>
  <c r="S30" i="8"/>
  <c r="T30" i="8" s="1"/>
  <c r="S311" i="8"/>
  <c r="T311" i="8" s="1"/>
  <c r="S254" i="8"/>
  <c r="T254" i="8" s="1"/>
  <c r="S198" i="8"/>
  <c r="T198" i="8" s="1"/>
  <c r="S141" i="8"/>
  <c r="T141" i="8" s="1"/>
  <c r="S86" i="8"/>
  <c r="T86" i="8" s="1"/>
  <c r="S29" i="8"/>
  <c r="T29" i="8" s="1"/>
  <c r="H148" i="8"/>
  <c r="S148" i="8"/>
  <c r="T148" i="8" s="1"/>
  <c r="M28" i="8"/>
  <c r="S28" i="8"/>
  <c r="T28" i="8" s="1"/>
  <c r="H205" i="8"/>
  <c r="S205" i="8"/>
  <c r="T205" i="8" s="1"/>
  <c r="H68" i="8"/>
  <c r="S68" i="8"/>
  <c r="T68" i="8" s="1"/>
  <c r="H155" i="8"/>
  <c r="S155" i="8"/>
  <c r="T155" i="8" s="1"/>
  <c r="S310" i="8"/>
  <c r="T310" i="8" s="1"/>
  <c r="S85" i="8"/>
  <c r="T85" i="8" s="1"/>
  <c r="S26" i="8"/>
  <c r="T26" i="8" s="1"/>
  <c r="H260" i="8"/>
  <c r="S260" i="8"/>
  <c r="T260" i="8" s="1"/>
  <c r="H93" i="8"/>
  <c r="S93" i="8"/>
  <c r="T93" i="8" s="1"/>
  <c r="H122" i="8"/>
  <c r="S122" i="8"/>
  <c r="T122" i="8" s="1"/>
  <c r="H319" i="8"/>
  <c r="S319" i="8"/>
  <c r="T319" i="8" s="1"/>
  <c r="H264" i="8"/>
  <c r="S264" i="8"/>
  <c r="T264" i="8" s="1"/>
  <c r="S256" i="8"/>
  <c r="T256" i="8" s="1"/>
  <c r="S309" i="8"/>
  <c r="T309" i="8" s="1"/>
  <c r="S22" i="8"/>
  <c r="T22" i="8" s="1"/>
  <c r="H124" i="8"/>
  <c r="S124" i="8"/>
  <c r="T124" i="8" s="1"/>
  <c r="S31" i="8"/>
  <c r="T31" i="8" s="1"/>
  <c r="H120" i="8"/>
  <c r="S120" i="8"/>
  <c r="T120" i="8" s="1"/>
  <c r="H372" i="8"/>
  <c r="S372" i="8"/>
  <c r="T372" i="8" s="1"/>
  <c r="M294" i="8"/>
  <c r="S294" i="8"/>
  <c r="T294" i="8" s="1"/>
  <c r="H40" i="8"/>
  <c r="S40" i="8"/>
  <c r="T40" i="8" s="1"/>
  <c r="H295" i="8"/>
  <c r="S295" i="8"/>
  <c r="T295" i="8" s="1"/>
  <c r="M238" i="8"/>
  <c r="S238" i="8"/>
  <c r="T238" i="8" s="1"/>
  <c r="H232" i="8"/>
  <c r="S232" i="8"/>
  <c r="T232" i="8" s="1"/>
  <c r="H65" i="8"/>
  <c r="S65" i="8"/>
  <c r="T65" i="8" s="1"/>
  <c r="H317" i="8"/>
  <c r="S317" i="8"/>
  <c r="T317" i="8" s="1"/>
  <c r="S268" i="8"/>
  <c r="T268" i="8" s="1"/>
  <c r="H150" i="8"/>
  <c r="S150" i="8"/>
  <c r="T150" i="8" s="1"/>
  <c r="H318" i="8"/>
  <c r="S318" i="8"/>
  <c r="T318" i="8" s="1"/>
  <c r="M56" i="8"/>
  <c r="S56" i="8"/>
  <c r="T56" i="8" s="1"/>
  <c r="H39" i="8"/>
  <c r="S39" i="8"/>
  <c r="T39" i="8" s="1"/>
  <c r="S200" i="8"/>
  <c r="T200" i="8" s="1"/>
  <c r="S143" i="8"/>
  <c r="T143" i="8" s="1"/>
  <c r="S88" i="8"/>
  <c r="T88" i="8" s="1"/>
  <c r="H43" i="8"/>
  <c r="S43" i="8"/>
  <c r="T43" i="8" s="1"/>
  <c r="H71" i="8"/>
  <c r="S71" i="8"/>
  <c r="T71" i="8" s="1"/>
  <c r="H99" i="8"/>
  <c r="S99" i="8"/>
  <c r="T99" i="8" s="1"/>
  <c r="H127" i="8"/>
  <c r="S127" i="8"/>
  <c r="T127" i="8" s="1"/>
  <c r="H183" i="8"/>
  <c r="S183" i="8"/>
  <c r="T183" i="8" s="1"/>
  <c r="H211" i="8"/>
  <c r="S211" i="8"/>
  <c r="T211" i="8" s="1"/>
  <c r="H239" i="8"/>
  <c r="S239" i="8"/>
  <c r="T239" i="8" s="1"/>
  <c r="H267" i="8"/>
  <c r="S267" i="8"/>
  <c r="T267" i="8" s="1"/>
  <c r="H323" i="8"/>
  <c r="S323" i="8"/>
  <c r="T323" i="8" s="1"/>
  <c r="H351" i="8"/>
  <c r="S351" i="8"/>
  <c r="T351" i="8" s="1"/>
  <c r="S194" i="8"/>
  <c r="T194" i="8" s="1"/>
  <c r="S138" i="8"/>
  <c r="T138" i="8" s="1"/>
  <c r="M168" i="8"/>
  <c r="S168" i="8"/>
  <c r="T168" i="8" s="1"/>
  <c r="S366" i="8"/>
  <c r="T366" i="8" s="1"/>
  <c r="S306" i="8"/>
  <c r="T306" i="8" s="1"/>
  <c r="S250" i="8"/>
  <c r="T250" i="8" s="1"/>
  <c r="S190" i="8"/>
  <c r="T190" i="8" s="1"/>
  <c r="S134" i="8"/>
  <c r="T134" i="8" s="1"/>
  <c r="S82" i="8"/>
  <c r="T82" i="8" s="1"/>
  <c r="S21" i="8"/>
  <c r="T21" i="8" s="1"/>
  <c r="M196" i="8"/>
  <c r="S196" i="8"/>
  <c r="T196" i="8" s="1"/>
  <c r="S365" i="8"/>
  <c r="T365" i="8" s="1"/>
  <c r="S302" i="8"/>
  <c r="T302" i="8" s="1"/>
  <c r="S246" i="8"/>
  <c r="T246" i="8" s="1"/>
  <c r="S189" i="8"/>
  <c r="T189" i="8" s="1"/>
  <c r="S133" i="8"/>
  <c r="T133" i="8" s="1"/>
  <c r="S78" i="8"/>
  <c r="T78" i="8" s="1"/>
  <c r="S20" i="8"/>
  <c r="T20" i="8" s="1"/>
  <c r="S362" i="8"/>
  <c r="T362" i="8" s="1"/>
  <c r="S301" i="8"/>
  <c r="T301" i="8" s="1"/>
  <c r="S245" i="8"/>
  <c r="T245" i="8" s="1"/>
  <c r="S188" i="8"/>
  <c r="T188" i="8" s="1"/>
  <c r="S132" i="8"/>
  <c r="T132" i="8" s="1"/>
  <c r="S77" i="8"/>
  <c r="T77" i="8" s="1"/>
  <c r="S19" i="8"/>
  <c r="T19" i="8" s="1"/>
  <c r="H36" i="8"/>
  <c r="S36" i="8"/>
  <c r="T36" i="8" s="1"/>
  <c r="H176" i="8"/>
  <c r="S176" i="8"/>
  <c r="T176" i="8" s="1"/>
  <c r="H316" i="8"/>
  <c r="S316" i="8"/>
  <c r="T316" i="8" s="1"/>
  <c r="H37" i="8"/>
  <c r="S37" i="8"/>
  <c r="T37" i="8" s="1"/>
  <c r="H121" i="8"/>
  <c r="S121" i="8"/>
  <c r="T121" i="8" s="1"/>
  <c r="H177" i="8"/>
  <c r="S177" i="8"/>
  <c r="T177" i="8" s="1"/>
  <c r="H289" i="8"/>
  <c r="S289" i="8"/>
  <c r="T289" i="8" s="1"/>
  <c r="H345" i="8"/>
  <c r="S345" i="8"/>
  <c r="T345" i="8" s="1"/>
  <c r="H38" i="8"/>
  <c r="S38" i="8"/>
  <c r="T38" i="8" s="1"/>
  <c r="H94" i="8"/>
  <c r="S94" i="8"/>
  <c r="T94" i="8" s="1"/>
  <c r="H178" i="8"/>
  <c r="S178" i="8"/>
  <c r="T178" i="8" s="1"/>
  <c r="H234" i="8"/>
  <c r="S234" i="8"/>
  <c r="T234" i="8" s="1"/>
  <c r="H262" i="8"/>
  <c r="S262" i="8"/>
  <c r="T262" i="8" s="1"/>
  <c r="H346" i="8"/>
  <c r="S346" i="8"/>
  <c r="T346" i="8" s="1"/>
  <c r="S33" i="8"/>
  <c r="T33" i="8" s="1"/>
  <c r="H11" i="8"/>
  <c r="S11" i="8"/>
  <c r="T11" i="8" s="1"/>
  <c r="H67" i="8"/>
  <c r="S67" i="8"/>
  <c r="T67" i="8" s="1"/>
  <c r="H95" i="8"/>
  <c r="S95" i="8"/>
  <c r="T95" i="8" s="1"/>
  <c r="H123" i="8"/>
  <c r="S123" i="8"/>
  <c r="T123" i="8" s="1"/>
  <c r="H151" i="8"/>
  <c r="S151" i="8"/>
  <c r="T151" i="8" s="1"/>
  <c r="H179" i="8"/>
  <c r="S179" i="8"/>
  <c r="T179" i="8" s="1"/>
  <c r="H207" i="8"/>
  <c r="S207" i="8"/>
  <c r="T207" i="8" s="1"/>
  <c r="H235" i="8"/>
  <c r="S235" i="8"/>
  <c r="T235" i="8" s="1"/>
  <c r="H263" i="8"/>
  <c r="S263" i="8"/>
  <c r="T263" i="8" s="1"/>
  <c r="H291" i="8"/>
  <c r="S291" i="8"/>
  <c r="T291" i="8" s="1"/>
  <c r="H347" i="8"/>
  <c r="S347" i="8"/>
  <c r="T347" i="8" s="1"/>
  <c r="M350" i="8"/>
  <c r="S350" i="8"/>
  <c r="T350" i="8" s="1"/>
  <c r="S257" i="8"/>
  <c r="T257" i="8" s="1"/>
  <c r="S201" i="8"/>
  <c r="T201" i="8" s="1"/>
  <c r="S144" i="8"/>
  <c r="T144" i="8" s="1"/>
  <c r="S89" i="8"/>
  <c r="T89" i="8" s="1"/>
  <c r="S32" i="8"/>
  <c r="T32" i="8" s="1"/>
  <c r="H12" i="8"/>
  <c r="S12" i="8"/>
  <c r="T12" i="8" s="1"/>
  <c r="H96" i="8"/>
  <c r="S96" i="8"/>
  <c r="T96" i="8" s="1"/>
  <c r="H152" i="8"/>
  <c r="S152" i="8"/>
  <c r="T152" i="8" s="1"/>
  <c r="H208" i="8"/>
  <c r="S208" i="8"/>
  <c r="T208" i="8" s="1"/>
  <c r="H236" i="8"/>
  <c r="S236" i="8"/>
  <c r="T236" i="8" s="1"/>
  <c r="H320" i="8"/>
  <c r="S320" i="8"/>
  <c r="T320" i="8" s="1"/>
  <c r="H348" i="8"/>
  <c r="S348" i="8"/>
  <c r="T348" i="8" s="1"/>
  <c r="H15" i="8"/>
  <c r="S15" i="8"/>
  <c r="T15" i="8" s="1"/>
  <c r="S358" i="8"/>
  <c r="T358" i="8" s="1"/>
  <c r="S300" i="8"/>
  <c r="T300" i="8" s="1"/>
  <c r="S244" i="8"/>
  <c r="T244" i="8" s="1"/>
  <c r="S187" i="8"/>
  <c r="T187" i="8" s="1"/>
  <c r="S131" i="8"/>
  <c r="T131" i="8" s="1"/>
  <c r="S76" i="8"/>
  <c r="T76" i="8" s="1"/>
  <c r="H8" i="8"/>
  <c r="S8" i="8"/>
  <c r="T8" i="8" s="1"/>
  <c r="H92" i="8"/>
  <c r="S92" i="8"/>
  <c r="T92" i="8" s="1"/>
  <c r="H204" i="8"/>
  <c r="S204" i="8"/>
  <c r="T204" i="8" s="1"/>
  <c r="H344" i="8"/>
  <c r="S344" i="8"/>
  <c r="T344" i="8" s="1"/>
  <c r="H9" i="8"/>
  <c r="S9" i="8"/>
  <c r="T9" i="8" s="1"/>
  <c r="H149" i="8"/>
  <c r="S149" i="8"/>
  <c r="T149" i="8" s="1"/>
  <c r="H261" i="8"/>
  <c r="S261" i="8"/>
  <c r="T261" i="8" s="1"/>
  <c r="S326" i="8"/>
  <c r="T326" i="8" s="1"/>
  <c r="S213" i="8"/>
  <c r="T213" i="8" s="1"/>
  <c r="H66" i="8"/>
  <c r="S66" i="8"/>
  <c r="T66" i="8" s="1"/>
  <c r="H206" i="8"/>
  <c r="S206" i="8"/>
  <c r="T206" i="8" s="1"/>
  <c r="H290" i="8"/>
  <c r="S290" i="8"/>
  <c r="T290" i="8" s="1"/>
  <c r="S145" i="8"/>
  <c r="T145" i="8" s="1"/>
  <c r="M322" i="8"/>
  <c r="S322" i="8"/>
  <c r="T322" i="8" s="1"/>
  <c r="H292" i="8"/>
  <c r="S292" i="8"/>
  <c r="T292" i="8" s="1"/>
  <c r="M14" i="8"/>
  <c r="S14" i="8"/>
  <c r="T14" i="8" s="1"/>
  <c r="S357" i="8"/>
  <c r="T357" i="8" s="1"/>
  <c r="S299" i="8"/>
  <c r="T299" i="8" s="1"/>
  <c r="S243" i="8"/>
  <c r="T243" i="8" s="1"/>
  <c r="S186" i="8"/>
  <c r="T186" i="8" s="1"/>
  <c r="S75" i="8"/>
  <c r="T75" i="8" s="1"/>
  <c r="S17" i="8"/>
  <c r="T17" i="8" s="1"/>
  <c r="S112" i="8"/>
  <c r="T112" i="8" s="1"/>
  <c r="S363" i="8"/>
  <c r="T363" i="8" s="1"/>
  <c r="S335" i="8"/>
  <c r="T335" i="8" s="1"/>
  <c r="S307" i="8"/>
  <c r="T307" i="8" s="1"/>
  <c r="S279" i="8"/>
  <c r="T279" i="8" s="1"/>
  <c r="S251" i="8"/>
  <c r="T251" i="8" s="1"/>
  <c r="S223" i="8"/>
  <c r="T223" i="8" s="1"/>
  <c r="S195" i="8"/>
  <c r="T195" i="8" s="1"/>
  <c r="S167" i="8"/>
  <c r="T167" i="8" s="1"/>
  <c r="S139" i="8"/>
  <c r="T139" i="8" s="1"/>
  <c r="S111" i="8"/>
  <c r="T111" i="8" s="1"/>
  <c r="S83" i="8"/>
  <c r="T83" i="8" s="1"/>
  <c r="S55" i="8"/>
  <c r="T55" i="8" s="1"/>
  <c r="S27" i="8"/>
  <c r="T27" i="8" s="1"/>
  <c r="S70" i="8"/>
  <c r="T70" i="8" s="1"/>
  <c r="S371" i="8"/>
  <c r="T371" i="8" s="1"/>
  <c r="S343" i="8"/>
  <c r="T343" i="8" s="1"/>
  <c r="S315" i="8"/>
  <c r="T315" i="8" s="1"/>
  <c r="S287" i="8"/>
  <c r="T287" i="8" s="1"/>
  <c r="S259" i="8"/>
  <c r="T259" i="8" s="1"/>
  <c r="S231" i="8"/>
  <c r="T231" i="8" s="1"/>
  <c r="S203" i="8"/>
  <c r="T203" i="8" s="1"/>
  <c r="S175" i="8"/>
  <c r="T175" i="8" s="1"/>
  <c r="S147" i="8"/>
  <c r="T147" i="8" s="1"/>
  <c r="S119" i="8"/>
  <c r="T119" i="8" s="1"/>
  <c r="S91" i="8"/>
  <c r="T91" i="8" s="1"/>
  <c r="S63" i="8"/>
  <c r="T63" i="8" s="1"/>
  <c r="S35" i="8"/>
  <c r="T35" i="8" s="1"/>
  <c r="S370" i="8"/>
  <c r="T370" i="8" s="1"/>
  <c r="S342" i="8"/>
  <c r="T342" i="8" s="1"/>
  <c r="S314" i="8"/>
  <c r="T314" i="8" s="1"/>
  <c r="S286" i="8"/>
  <c r="T286" i="8" s="1"/>
  <c r="S258" i="8"/>
  <c r="T258" i="8" s="1"/>
  <c r="S230" i="8"/>
  <c r="T230" i="8" s="1"/>
  <c r="S202" i="8"/>
  <c r="T202" i="8" s="1"/>
  <c r="S174" i="8"/>
  <c r="T174" i="8" s="1"/>
  <c r="S146" i="8"/>
  <c r="T146" i="8" s="1"/>
  <c r="S118" i="8"/>
  <c r="T118" i="8" s="1"/>
  <c r="S90" i="8"/>
  <c r="T90" i="8" s="1"/>
  <c r="S62" i="8"/>
  <c r="T62" i="8" s="1"/>
  <c r="S34" i="8"/>
  <c r="T34" i="8" s="1"/>
  <c r="S7" i="8"/>
  <c r="T7" i="8" s="1"/>
  <c r="S6" i="8"/>
  <c r="T6" i="8" s="1"/>
  <c r="B9" i="8" l="1"/>
  <c r="C8" i="8"/>
  <c r="A7" i="1"/>
  <c r="B7" i="1" s="1"/>
  <c r="E64" i="3"/>
  <c r="E63" i="3"/>
  <c r="F3" i="5"/>
  <c r="F2" i="5"/>
  <c r="E15" i="7"/>
  <c r="E14" i="7"/>
  <c r="B10" i="8" l="1"/>
  <c r="C9" i="8"/>
  <c r="A8" i="1"/>
  <c r="B8" i="1" s="1"/>
  <c r="D7" i="7"/>
  <c r="D18" i="7"/>
  <c r="D14" i="7"/>
  <c r="D15" i="7"/>
  <c r="D13" i="7"/>
  <c r="D17" i="7"/>
  <c r="D12" i="7"/>
  <c r="D6" i="7"/>
  <c r="D5" i="7"/>
  <c r="D4" i="7"/>
  <c r="D3" i="7"/>
  <c r="D11" i="7"/>
  <c r="D10" i="7"/>
  <c r="D9" i="7"/>
  <c r="D8" i="7"/>
  <c r="E5" i="7"/>
  <c r="E36" i="3"/>
  <c r="E37" i="3"/>
  <c r="E38" i="3"/>
  <c r="E39" i="3"/>
  <c r="E40" i="3"/>
  <c r="E35" i="3"/>
  <c r="E41" i="3"/>
  <c r="E74" i="3"/>
  <c r="E75" i="3"/>
  <c r="E76" i="3"/>
  <c r="E77" i="3"/>
  <c r="E78" i="3"/>
  <c r="E73" i="3"/>
  <c r="E71" i="3"/>
  <c r="E70" i="3"/>
  <c r="E67" i="3"/>
  <c r="E68" i="3"/>
  <c r="E69" i="3"/>
  <c r="E66" i="3"/>
  <c r="E27" i="3"/>
  <c r="E28" i="3"/>
  <c r="E29" i="3"/>
  <c r="E30" i="3"/>
  <c r="E31" i="3"/>
  <c r="E32" i="3"/>
  <c r="E33" i="3"/>
  <c r="E34" i="3"/>
  <c r="E58" i="3"/>
  <c r="E59" i="3"/>
  <c r="E60" i="3"/>
  <c r="E61" i="3"/>
  <c r="E62" i="3"/>
  <c r="E26" i="3"/>
  <c r="E23" i="3"/>
  <c r="E24" i="3"/>
  <c r="E22" i="3"/>
  <c r="E13" i="3"/>
  <c r="E14" i="3"/>
  <c r="E15" i="3"/>
  <c r="E12" i="3"/>
  <c r="E18" i="3"/>
  <c r="E19" i="3"/>
  <c r="E20" i="3"/>
  <c r="E17" i="3"/>
  <c r="I29" i="2"/>
  <c r="K8" i="10" s="1"/>
  <c r="H29" i="2"/>
  <c r="J8" i="10" s="1"/>
  <c r="G29" i="2"/>
  <c r="H8" i="10"/>
  <c r="F8" i="10"/>
  <c r="E29" i="2"/>
  <c r="C29" i="2"/>
  <c r="H32" i="2"/>
  <c r="J6" i="10"/>
  <c r="K4" i="10"/>
  <c r="H25" i="2"/>
  <c r="J4" i="10" s="1"/>
  <c r="I6" i="10"/>
  <c r="H6" i="10"/>
  <c r="E31" i="2"/>
  <c r="G6" i="10" s="1"/>
  <c r="I27" i="2"/>
  <c r="H27" i="2"/>
  <c r="E25" i="2"/>
  <c r="G4" i="10" s="1"/>
  <c r="F3" i="10"/>
  <c r="D25" i="2"/>
  <c r="F4" i="10" s="1"/>
  <c r="E6" i="10"/>
  <c r="E10" i="7"/>
  <c r="E11" i="7"/>
  <c r="E12" i="7"/>
  <c r="B11" i="8" l="1"/>
  <c r="C10" i="8"/>
  <c r="J29" i="2"/>
  <c r="K29" i="2" s="1"/>
  <c r="A9" i="1"/>
  <c r="B9" i="1" s="1"/>
  <c r="J27" i="2"/>
  <c r="K27" i="2" s="1"/>
  <c r="B12" i="8" l="1"/>
  <c r="C11" i="8"/>
  <c r="A10" i="1"/>
  <c r="B10" i="1" s="1"/>
  <c r="E6" i="7"/>
  <c r="E4" i="7"/>
  <c r="E3" i="7"/>
  <c r="E9" i="7"/>
  <c r="E8" i="7"/>
  <c r="E18" i="7"/>
  <c r="B13" i="8" l="1"/>
  <c r="C12" i="8"/>
  <c r="A11" i="1"/>
  <c r="B11" i="1" s="1"/>
  <c r="I28" i="2"/>
  <c r="K7" i="10" s="1"/>
  <c r="F12" i="5"/>
  <c r="F7" i="5"/>
  <c r="F5" i="5"/>
  <c r="F14" i="5"/>
  <c r="F13" i="5"/>
  <c r="F16" i="5"/>
  <c r="F15" i="5"/>
  <c r="F11" i="5"/>
  <c r="F10" i="5"/>
  <c r="F9" i="5"/>
  <c r="F8" i="5"/>
  <c r="F18" i="5"/>
  <c r="F22" i="5"/>
  <c r="F6" i="5"/>
  <c r="F19" i="5"/>
  <c r="F17" i="5"/>
  <c r="F4" i="5"/>
  <c r="G32" i="2"/>
  <c r="F32" i="2"/>
  <c r="D32" i="2"/>
  <c r="C32" i="2"/>
  <c r="I26" i="2"/>
  <c r="K3" i="10" s="1"/>
  <c r="H26" i="2"/>
  <c r="H28" i="2"/>
  <c r="J7" i="10" s="1"/>
  <c r="G28" i="2"/>
  <c r="I7" i="10" s="1"/>
  <c r="H7" i="10"/>
  <c r="E28" i="2"/>
  <c r="D28" i="2"/>
  <c r="C28" i="2"/>
  <c r="E7" i="10" s="1"/>
  <c r="B14" i="8" l="1"/>
  <c r="C13" i="8"/>
  <c r="A12" i="1"/>
  <c r="B12" i="1" s="1"/>
  <c r="J32" i="2"/>
  <c r="K32" i="2" s="1"/>
  <c r="J28" i="2"/>
  <c r="E33" i="2"/>
  <c r="I33" i="2"/>
  <c r="C33" i="2"/>
  <c r="I3" i="10"/>
  <c r="E3" i="10"/>
  <c r="I31" i="2"/>
  <c r="K6" i="10" s="1"/>
  <c r="D31" i="2"/>
  <c r="F6" i="10" s="1"/>
  <c r="I30" i="2"/>
  <c r="K9" i="10" s="1"/>
  <c r="H30" i="2"/>
  <c r="J9" i="10" s="1"/>
  <c r="G30" i="2"/>
  <c r="I9" i="10" s="1"/>
  <c r="F30" i="2"/>
  <c r="H9" i="10" s="1"/>
  <c r="E30" i="2"/>
  <c r="G9" i="10" s="1"/>
  <c r="D30" i="2"/>
  <c r="F9" i="10" s="1"/>
  <c r="C30" i="2"/>
  <c r="E9" i="10" s="1"/>
  <c r="G25" i="2"/>
  <c r="I4" i="10" s="1"/>
  <c r="F25" i="2"/>
  <c r="H4" i="10" s="1"/>
  <c r="C25" i="2"/>
  <c r="E4" i="10" s="1"/>
  <c r="B15" i="8" l="1"/>
  <c r="C14" i="8"/>
  <c r="A13" i="1"/>
  <c r="B13" i="1" s="1"/>
  <c r="J25" i="2"/>
  <c r="K25" i="2" s="1"/>
  <c r="J33" i="2"/>
  <c r="K33" i="2" s="1"/>
  <c r="J31" i="2"/>
  <c r="J30" i="2"/>
  <c r="K30" i="2" s="1"/>
  <c r="J26" i="2"/>
  <c r="K26" i="2" s="1"/>
  <c r="B16" i="8" l="1"/>
  <c r="C15" i="8"/>
  <c r="A14" i="1"/>
  <c r="B14" i="1" s="1"/>
  <c r="H5" i="3"/>
  <c r="I5" i="3"/>
  <c r="K31" i="2"/>
  <c r="H7" i="3"/>
  <c r="I7" i="3"/>
  <c r="B17" i="8" l="1"/>
  <c r="C16" i="8"/>
  <c r="A15" i="1"/>
  <c r="B15" i="1" s="1"/>
  <c r="B18" i="8" l="1"/>
  <c r="C17" i="8"/>
  <c r="A16" i="1"/>
  <c r="B16" i="1" s="1"/>
  <c r="B19" i="8" l="1"/>
  <c r="C18" i="8"/>
  <c r="A17" i="1"/>
  <c r="B17" i="1" s="1"/>
  <c r="B20" i="8" l="1"/>
  <c r="C19" i="8"/>
  <c r="A18" i="1"/>
  <c r="B18" i="1" s="1"/>
  <c r="B21" i="8" l="1"/>
  <c r="C20" i="8"/>
  <c r="A19" i="1"/>
  <c r="B19" i="1" s="1"/>
  <c r="B22" i="8" l="1"/>
  <c r="C21" i="8"/>
  <c r="A20" i="1"/>
  <c r="B20" i="1" s="1"/>
  <c r="B23" i="8" l="1"/>
  <c r="C22" i="8"/>
  <c r="A21" i="1"/>
  <c r="B21" i="1" s="1"/>
  <c r="B24" i="8" l="1"/>
  <c r="C23" i="8"/>
  <c r="A22" i="1"/>
  <c r="B22" i="1" s="1"/>
  <c r="B25" i="8" l="1"/>
  <c r="C24" i="8"/>
  <c r="A23" i="1"/>
  <c r="B23" i="1" s="1"/>
  <c r="B26" i="8" l="1"/>
  <c r="C25" i="8"/>
  <c r="A24" i="1"/>
  <c r="B24" i="1" s="1"/>
  <c r="B27" i="8" l="1"/>
  <c r="C26" i="8"/>
  <c r="A25" i="1"/>
  <c r="B25" i="1" s="1"/>
  <c r="B28" i="8" l="1"/>
  <c r="C27" i="8"/>
  <c r="A26" i="1"/>
  <c r="B26" i="1" s="1"/>
  <c r="B29" i="8" l="1"/>
  <c r="C28" i="8"/>
  <c r="A27" i="1"/>
  <c r="B27" i="1" s="1"/>
  <c r="B30" i="8" l="1"/>
  <c r="C29" i="8"/>
  <c r="A28" i="1"/>
  <c r="B28" i="1" s="1"/>
  <c r="B31" i="8" l="1"/>
  <c r="C30" i="8"/>
  <c r="A29" i="1"/>
  <c r="B29" i="1" s="1"/>
  <c r="B32" i="8" l="1"/>
  <c r="C31" i="8"/>
  <c r="A30" i="1"/>
  <c r="B30" i="1" s="1"/>
  <c r="B33" i="8" l="1"/>
  <c r="C32" i="8"/>
  <c r="A31" i="1"/>
  <c r="B31" i="1" s="1"/>
  <c r="B34" i="8" l="1"/>
  <c r="C33" i="8"/>
  <c r="A32" i="1"/>
  <c r="B32" i="1" s="1"/>
  <c r="B35" i="8" l="1"/>
  <c r="C34" i="8"/>
  <c r="A33" i="1"/>
  <c r="B33" i="1" s="1"/>
  <c r="B36" i="8" l="1"/>
  <c r="C35" i="8"/>
  <c r="A34" i="1"/>
  <c r="B34" i="1" s="1"/>
  <c r="B37" i="8" l="1"/>
  <c r="C36" i="8"/>
  <c r="A35" i="1"/>
  <c r="B35" i="1" s="1"/>
  <c r="B38" i="8" l="1"/>
  <c r="C37" i="8"/>
  <c r="A36" i="1"/>
  <c r="B36" i="1" s="1"/>
  <c r="B39" i="8" l="1"/>
  <c r="C38" i="8"/>
  <c r="A37" i="1"/>
  <c r="B37" i="1" s="1"/>
  <c r="B40" i="8" l="1"/>
  <c r="C39" i="8"/>
  <c r="A38" i="1"/>
  <c r="B38" i="1" s="1"/>
  <c r="B41" i="8" l="1"/>
  <c r="C40" i="8"/>
  <c r="A39" i="1"/>
  <c r="B39" i="1" s="1"/>
  <c r="B42" i="8" l="1"/>
  <c r="C41" i="8"/>
  <c r="A40" i="1"/>
  <c r="B40" i="1" s="1"/>
  <c r="B43" i="8" l="1"/>
  <c r="C42" i="8"/>
  <c r="A41" i="1"/>
  <c r="B41" i="1" s="1"/>
  <c r="B44" i="8" l="1"/>
  <c r="C43" i="8"/>
  <c r="A42" i="1"/>
  <c r="B42" i="1" s="1"/>
  <c r="B45" i="8" l="1"/>
  <c r="C44" i="8"/>
  <c r="A43" i="1"/>
  <c r="B43" i="1" s="1"/>
  <c r="B46" i="8" l="1"/>
  <c r="C45" i="8"/>
  <c r="A44" i="1"/>
  <c r="B44" i="1" s="1"/>
  <c r="B47" i="8" l="1"/>
  <c r="C46" i="8"/>
  <c r="A45" i="1"/>
  <c r="B45" i="1" s="1"/>
  <c r="B48" i="8" l="1"/>
  <c r="C47" i="8"/>
  <c r="A46" i="1"/>
  <c r="B46" i="1" s="1"/>
  <c r="B49" i="8" l="1"/>
  <c r="C48" i="8"/>
  <c r="A47" i="1"/>
  <c r="B47" i="1" s="1"/>
  <c r="B50" i="8" l="1"/>
  <c r="C49" i="8"/>
  <c r="A48" i="1"/>
  <c r="B48" i="1" s="1"/>
  <c r="B51" i="8" l="1"/>
  <c r="C50" i="8"/>
  <c r="A49" i="1"/>
  <c r="B49" i="1" s="1"/>
  <c r="B52" i="8" l="1"/>
  <c r="C51" i="8"/>
  <c r="A50" i="1"/>
  <c r="B50" i="1" s="1"/>
  <c r="B53" i="8" l="1"/>
  <c r="C52" i="8"/>
  <c r="A51" i="1"/>
  <c r="B51" i="1" s="1"/>
  <c r="B54" i="8" l="1"/>
  <c r="C53" i="8"/>
  <c r="A52" i="1"/>
  <c r="B52" i="1" s="1"/>
  <c r="B55" i="8" l="1"/>
  <c r="C54" i="8"/>
  <c r="A53" i="1"/>
  <c r="B53" i="1" s="1"/>
  <c r="B56" i="8" l="1"/>
  <c r="C55" i="8"/>
  <c r="A54" i="1"/>
  <c r="B54" i="1" s="1"/>
  <c r="B57" i="8" l="1"/>
  <c r="C56" i="8"/>
  <c r="A55" i="1"/>
  <c r="B55" i="1" s="1"/>
  <c r="B58" i="8" l="1"/>
  <c r="C57" i="8"/>
  <c r="A56" i="1"/>
  <c r="B56" i="1" s="1"/>
  <c r="B59" i="8" l="1"/>
  <c r="C58" i="8"/>
  <c r="A57" i="1"/>
  <c r="B57" i="1" s="1"/>
  <c r="B60" i="8" l="1"/>
  <c r="C59" i="8"/>
  <c r="A58" i="1"/>
  <c r="B58" i="1" s="1"/>
  <c r="B61" i="8" l="1"/>
  <c r="C60" i="8"/>
  <c r="A59" i="1"/>
  <c r="B59" i="1" s="1"/>
  <c r="B62" i="8" l="1"/>
  <c r="C61" i="8"/>
  <c r="A60" i="1"/>
  <c r="B60" i="1" s="1"/>
  <c r="B63" i="8" l="1"/>
  <c r="C62" i="8"/>
  <c r="A61" i="1"/>
  <c r="B61" i="1" s="1"/>
  <c r="B64" i="8" l="1"/>
  <c r="C63" i="8"/>
  <c r="A62" i="1"/>
  <c r="B62" i="1" s="1"/>
  <c r="B65" i="8" l="1"/>
  <c r="C64" i="8"/>
  <c r="A63" i="1"/>
  <c r="B63" i="1" s="1"/>
  <c r="B66" i="8" l="1"/>
  <c r="C65" i="8"/>
  <c r="A64" i="1"/>
  <c r="B64" i="1" s="1"/>
  <c r="B67" i="8" l="1"/>
  <c r="C66" i="8"/>
  <c r="A65" i="1"/>
  <c r="B65" i="1" s="1"/>
  <c r="B68" i="8" l="1"/>
  <c r="C67" i="8"/>
  <c r="A66" i="1"/>
  <c r="B66" i="1" s="1"/>
  <c r="B69" i="8" l="1"/>
  <c r="C68" i="8"/>
  <c r="A67" i="1"/>
  <c r="B67" i="1" s="1"/>
  <c r="B70" i="8" l="1"/>
  <c r="C69" i="8"/>
  <c r="A68" i="1"/>
  <c r="B68" i="1" s="1"/>
  <c r="B71" i="8" l="1"/>
  <c r="C70" i="8"/>
  <c r="A69" i="1"/>
  <c r="B69" i="1" s="1"/>
  <c r="B72" i="8" l="1"/>
  <c r="C71" i="8"/>
  <c r="A70" i="1"/>
  <c r="B70" i="1" s="1"/>
  <c r="B73" i="8" l="1"/>
  <c r="C72" i="8"/>
  <c r="A71" i="1"/>
  <c r="B71" i="1" s="1"/>
  <c r="B74" i="8" l="1"/>
  <c r="C73" i="8"/>
  <c r="A72" i="1"/>
  <c r="B72" i="1" s="1"/>
  <c r="B75" i="8" l="1"/>
  <c r="C74" i="8"/>
  <c r="A73" i="1"/>
  <c r="B73" i="1" s="1"/>
  <c r="B76" i="8" l="1"/>
  <c r="C75" i="8"/>
  <c r="A74" i="1"/>
  <c r="B74" i="1" s="1"/>
  <c r="B77" i="8" l="1"/>
  <c r="C76" i="8"/>
  <c r="A75" i="1"/>
  <c r="B75" i="1" s="1"/>
  <c r="B78" i="8" l="1"/>
  <c r="C77" i="8"/>
  <c r="A76" i="1"/>
  <c r="B76" i="1" s="1"/>
  <c r="B79" i="8" l="1"/>
  <c r="C78" i="8"/>
  <c r="A77" i="1"/>
  <c r="B77" i="1" s="1"/>
  <c r="B80" i="8" l="1"/>
  <c r="C79" i="8"/>
  <c r="A78" i="1"/>
  <c r="B78" i="1" s="1"/>
  <c r="B81" i="8" l="1"/>
  <c r="C80" i="8"/>
  <c r="A79" i="1"/>
  <c r="B79" i="1" s="1"/>
  <c r="B82" i="8" l="1"/>
  <c r="C81" i="8"/>
  <c r="A80" i="1"/>
  <c r="B80" i="1" s="1"/>
  <c r="B83" i="8" l="1"/>
  <c r="C82" i="8"/>
  <c r="A81" i="1"/>
  <c r="B81" i="1" s="1"/>
  <c r="B84" i="8" l="1"/>
  <c r="C83" i="8"/>
  <c r="A82" i="1"/>
  <c r="B82" i="1" s="1"/>
  <c r="B85" i="8" l="1"/>
  <c r="C84" i="8"/>
  <c r="A83" i="1"/>
  <c r="B83" i="1" s="1"/>
  <c r="B86" i="8" l="1"/>
  <c r="C85" i="8"/>
  <c r="A84" i="1"/>
  <c r="B84" i="1" s="1"/>
  <c r="B87" i="8" l="1"/>
  <c r="C86" i="8"/>
  <c r="A85" i="1"/>
  <c r="B85" i="1" s="1"/>
  <c r="B88" i="8" l="1"/>
  <c r="C87" i="8"/>
  <c r="A86" i="1"/>
  <c r="B86" i="1" s="1"/>
  <c r="B89" i="8" l="1"/>
  <c r="C88" i="8"/>
  <c r="A87" i="1"/>
  <c r="B87" i="1" s="1"/>
  <c r="B90" i="8" l="1"/>
  <c r="C89" i="8"/>
  <c r="A88" i="1"/>
  <c r="B88" i="1" s="1"/>
  <c r="B91" i="8" l="1"/>
  <c r="C90" i="8"/>
  <c r="A89" i="1"/>
  <c r="B89" i="1" s="1"/>
  <c r="B92" i="8" l="1"/>
  <c r="C91" i="8"/>
  <c r="A90" i="1"/>
  <c r="B90" i="1" s="1"/>
  <c r="B93" i="8" l="1"/>
  <c r="C92" i="8"/>
  <c r="A91" i="1"/>
  <c r="B91" i="1" s="1"/>
  <c r="B94" i="8" l="1"/>
  <c r="C93" i="8"/>
  <c r="A92" i="1"/>
  <c r="B92" i="1" s="1"/>
  <c r="B95" i="8" l="1"/>
  <c r="C94" i="8"/>
  <c r="A93" i="1"/>
  <c r="B93" i="1" s="1"/>
  <c r="B96" i="8" l="1"/>
  <c r="C95" i="8"/>
  <c r="A94" i="1"/>
  <c r="B94" i="1" s="1"/>
  <c r="B97" i="8" l="1"/>
  <c r="C96" i="8"/>
  <c r="A95" i="1"/>
  <c r="B95" i="1" s="1"/>
  <c r="B98" i="8" l="1"/>
  <c r="C97" i="8"/>
  <c r="A96" i="1"/>
  <c r="B96" i="1" s="1"/>
  <c r="B99" i="8" l="1"/>
  <c r="C98" i="8"/>
  <c r="A97" i="1"/>
  <c r="B97" i="1" s="1"/>
  <c r="B100" i="8" l="1"/>
  <c r="C99" i="8"/>
  <c r="A98" i="1"/>
  <c r="B98" i="1" s="1"/>
  <c r="B101" i="8" l="1"/>
  <c r="C100" i="8"/>
  <c r="A99" i="1"/>
  <c r="B99" i="1" s="1"/>
  <c r="B102" i="8" l="1"/>
  <c r="C101" i="8"/>
  <c r="A100" i="1"/>
  <c r="B100" i="1" s="1"/>
  <c r="B103" i="8" l="1"/>
  <c r="C102" i="8"/>
  <c r="A101" i="1"/>
  <c r="B101" i="1" s="1"/>
  <c r="B104" i="8" l="1"/>
  <c r="C103" i="8"/>
  <c r="A102" i="1"/>
  <c r="B102" i="1" s="1"/>
  <c r="B105" i="8" l="1"/>
  <c r="C104" i="8"/>
  <c r="A103" i="1"/>
  <c r="B103" i="1" s="1"/>
  <c r="B106" i="8" l="1"/>
  <c r="C105" i="8"/>
  <c r="A104" i="1"/>
  <c r="B104" i="1" s="1"/>
  <c r="B107" i="8" l="1"/>
  <c r="C106" i="8"/>
  <c r="A105" i="1"/>
  <c r="B105" i="1" s="1"/>
  <c r="B108" i="8" l="1"/>
  <c r="C107" i="8"/>
  <c r="A106" i="1"/>
  <c r="B106" i="1" s="1"/>
  <c r="B109" i="8" l="1"/>
  <c r="C108" i="8"/>
  <c r="A107" i="1"/>
  <c r="B107" i="1" s="1"/>
  <c r="B110" i="8" l="1"/>
  <c r="C109" i="8"/>
  <c r="A108" i="1"/>
  <c r="B108" i="1" s="1"/>
  <c r="B111" i="8" l="1"/>
  <c r="C110" i="8"/>
  <c r="A109" i="1"/>
  <c r="B109" i="1" s="1"/>
  <c r="B112" i="8" l="1"/>
  <c r="C111" i="8"/>
  <c r="A110" i="1"/>
  <c r="B110" i="1" s="1"/>
  <c r="B113" i="8" l="1"/>
  <c r="C112" i="8"/>
  <c r="A111" i="1"/>
  <c r="B111" i="1" s="1"/>
  <c r="B114" i="8" l="1"/>
  <c r="C113" i="8"/>
  <c r="A112" i="1"/>
  <c r="B112" i="1" s="1"/>
  <c r="B115" i="8" l="1"/>
  <c r="C114" i="8"/>
  <c r="A113" i="1"/>
  <c r="B113" i="1" s="1"/>
  <c r="B116" i="8" l="1"/>
  <c r="C115" i="8"/>
  <c r="A114" i="1"/>
  <c r="B114" i="1" s="1"/>
  <c r="B117" i="8" l="1"/>
  <c r="C116" i="8"/>
  <c r="A115" i="1"/>
  <c r="B115" i="1" s="1"/>
  <c r="B118" i="8" l="1"/>
  <c r="C117" i="8"/>
  <c r="A116" i="1"/>
  <c r="B116" i="1" s="1"/>
  <c r="B119" i="8" l="1"/>
  <c r="C118" i="8"/>
  <c r="A117" i="1"/>
  <c r="B117" i="1" s="1"/>
  <c r="B120" i="8" l="1"/>
  <c r="C119" i="8"/>
  <c r="A118" i="1"/>
  <c r="B118" i="1" s="1"/>
  <c r="B121" i="8" l="1"/>
  <c r="C120" i="8"/>
  <c r="A119" i="1"/>
  <c r="B119" i="1" s="1"/>
  <c r="B122" i="8" l="1"/>
  <c r="C121" i="8"/>
  <c r="A120" i="1"/>
  <c r="B120" i="1" s="1"/>
  <c r="B123" i="8" l="1"/>
  <c r="C122" i="8"/>
  <c r="A121" i="1"/>
  <c r="B121" i="1" s="1"/>
  <c r="B124" i="8" l="1"/>
  <c r="C123" i="8"/>
  <c r="A122" i="1"/>
  <c r="B122" i="1" s="1"/>
  <c r="B125" i="8" l="1"/>
  <c r="C124" i="8"/>
  <c r="A123" i="1"/>
  <c r="B123" i="1" s="1"/>
  <c r="B126" i="8" l="1"/>
  <c r="C125" i="8"/>
  <c r="A124" i="1"/>
  <c r="B124" i="1" s="1"/>
  <c r="B127" i="8" l="1"/>
  <c r="C126" i="8"/>
  <c r="A125" i="1"/>
  <c r="B125" i="1" s="1"/>
  <c r="B128" i="8" l="1"/>
  <c r="C127" i="8"/>
  <c r="A126" i="1"/>
  <c r="B126" i="1" s="1"/>
  <c r="B129" i="8" l="1"/>
  <c r="C128" i="8"/>
  <c r="A127" i="1"/>
  <c r="B127" i="1" s="1"/>
  <c r="B130" i="8" l="1"/>
  <c r="C129" i="8"/>
  <c r="A128" i="1"/>
  <c r="B128" i="1" s="1"/>
  <c r="B131" i="8" l="1"/>
  <c r="C130" i="8"/>
  <c r="A129" i="1"/>
  <c r="B129" i="1" s="1"/>
  <c r="B132" i="8" l="1"/>
  <c r="C131" i="8"/>
  <c r="A130" i="1"/>
  <c r="B130" i="1" s="1"/>
  <c r="B133" i="8" l="1"/>
  <c r="C132" i="8"/>
  <c r="A131" i="1"/>
  <c r="B131" i="1" s="1"/>
  <c r="B134" i="8" l="1"/>
  <c r="C133" i="8"/>
  <c r="A132" i="1"/>
  <c r="B132" i="1" s="1"/>
  <c r="B135" i="8" l="1"/>
  <c r="C134" i="8"/>
  <c r="A133" i="1"/>
  <c r="B133" i="1" s="1"/>
  <c r="B136" i="8" l="1"/>
  <c r="C135" i="8"/>
  <c r="A134" i="1"/>
  <c r="B134" i="1" s="1"/>
  <c r="B137" i="8" l="1"/>
  <c r="C136" i="8"/>
  <c r="A135" i="1"/>
  <c r="B135" i="1" s="1"/>
  <c r="B138" i="8" l="1"/>
  <c r="C137" i="8"/>
  <c r="A136" i="1"/>
  <c r="B136" i="1" s="1"/>
  <c r="B139" i="8" l="1"/>
  <c r="C138" i="8"/>
  <c r="A137" i="1"/>
  <c r="B137" i="1" s="1"/>
  <c r="B140" i="8" l="1"/>
  <c r="C139" i="8"/>
  <c r="A138" i="1"/>
  <c r="B138" i="1" s="1"/>
  <c r="B141" i="8" l="1"/>
  <c r="C140" i="8"/>
  <c r="A139" i="1"/>
  <c r="B139" i="1" s="1"/>
  <c r="B142" i="8" l="1"/>
  <c r="C141" i="8"/>
  <c r="A140" i="1"/>
  <c r="B140" i="1" s="1"/>
  <c r="B143" i="8" l="1"/>
  <c r="C142" i="8"/>
  <c r="A141" i="1"/>
  <c r="B141" i="1" s="1"/>
  <c r="B144" i="8" l="1"/>
  <c r="C143" i="8"/>
  <c r="A142" i="1"/>
  <c r="B142" i="1" s="1"/>
  <c r="B145" i="8" l="1"/>
  <c r="C144" i="8"/>
  <c r="A143" i="1"/>
  <c r="B143" i="1" s="1"/>
  <c r="B146" i="8" l="1"/>
  <c r="C145" i="8"/>
  <c r="A144" i="1"/>
  <c r="B144" i="1" s="1"/>
  <c r="B147" i="8" l="1"/>
  <c r="C146" i="8"/>
  <c r="A145" i="1"/>
  <c r="B145" i="1" s="1"/>
  <c r="B148" i="8" l="1"/>
  <c r="C147" i="8"/>
  <c r="A146" i="1"/>
  <c r="B146" i="1" s="1"/>
  <c r="B149" i="8" l="1"/>
  <c r="C148" i="8"/>
  <c r="A147" i="1"/>
  <c r="B147" i="1" s="1"/>
  <c r="B150" i="8" l="1"/>
  <c r="C149" i="8"/>
  <c r="A148" i="1"/>
  <c r="B148" i="1" s="1"/>
  <c r="B151" i="8" l="1"/>
  <c r="C150" i="8"/>
  <c r="A149" i="1"/>
  <c r="B149" i="1" s="1"/>
  <c r="B152" i="8" l="1"/>
  <c r="C151" i="8"/>
  <c r="A150" i="1"/>
  <c r="B150" i="1" s="1"/>
  <c r="B153" i="8" l="1"/>
  <c r="C152" i="8"/>
  <c r="A151" i="1"/>
  <c r="B151" i="1" s="1"/>
  <c r="B154" i="8" l="1"/>
  <c r="C153" i="8"/>
  <c r="A152" i="1"/>
  <c r="B152" i="1" s="1"/>
  <c r="B155" i="8" l="1"/>
  <c r="C154" i="8"/>
  <c r="A153" i="1"/>
  <c r="B153" i="1" s="1"/>
  <c r="B156" i="8" l="1"/>
  <c r="C155" i="8"/>
  <c r="A154" i="1"/>
  <c r="B154" i="1" s="1"/>
  <c r="B157" i="8" l="1"/>
  <c r="C156" i="8"/>
  <c r="A155" i="1"/>
  <c r="B155" i="1" s="1"/>
  <c r="B158" i="8" l="1"/>
  <c r="C157" i="8"/>
  <c r="A156" i="1"/>
  <c r="B156" i="1" s="1"/>
  <c r="B159" i="8" l="1"/>
  <c r="C158" i="8"/>
  <c r="A157" i="1"/>
  <c r="B157" i="1" s="1"/>
  <c r="B160" i="8" l="1"/>
  <c r="C159" i="8"/>
  <c r="A158" i="1"/>
  <c r="B158" i="1" s="1"/>
  <c r="B161" i="8" l="1"/>
  <c r="C160" i="8"/>
  <c r="A159" i="1"/>
  <c r="B159" i="1" s="1"/>
  <c r="B162" i="8" l="1"/>
  <c r="C161" i="8"/>
  <c r="A160" i="1"/>
  <c r="B160" i="1" s="1"/>
  <c r="B163" i="8" l="1"/>
  <c r="C162" i="8"/>
  <c r="A161" i="1"/>
  <c r="B161" i="1" s="1"/>
  <c r="B164" i="8" l="1"/>
  <c r="C163" i="8"/>
  <c r="A162" i="1"/>
  <c r="B162" i="1" s="1"/>
  <c r="B165" i="8" l="1"/>
  <c r="C164" i="8"/>
  <c r="A163" i="1"/>
  <c r="B163" i="1" s="1"/>
  <c r="B166" i="8" l="1"/>
  <c r="C165" i="8"/>
  <c r="A164" i="1"/>
  <c r="B164" i="1" s="1"/>
  <c r="B167" i="8" l="1"/>
  <c r="C166" i="8"/>
  <c r="A165" i="1"/>
  <c r="B165" i="1" s="1"/>
  <c r="B168" i="8" l="1"/>
  <c r="C167" i="8"/>
  <c r="A166" i="1"/>
  <c r="B166" i="1" s="1"/>
  <c r="B169" i="8" l="1"/>
  <c r="C168" i="8"/>
  <c r="A167" i="1"/>
  <c r="B167" i="1" s="1"/>
  <c r="B170" i="8" l="1"/>
  <c r="C169" i="8"/>
  <c r="A168" i="1"/>
  <c r="B168" i="1" s="1"/>
  <c r="B171" i="8" l="1"/>
  <c r="C170" i="8"/>
  <c r="A169" i="1"/>
  <c r="B169" i="1" s="1"/>
  <c r="B172" i="8" l="1"/>
  <c r="C171" i="8"/>
  <c r="A170" i="1"/>
  <c r="B170" i="1" s="1"/>
  <c r="B173" i="8" l="1"/>
  <c r="C172" i="8"/>
  <c r="A171" i="1"/>
  <c r="B171" i="1" s="1"/>
  <c r="B174" i="8" l="1"/>
  <c r="C173" i="8"/>
  <c r="A172" i="1"/>
  <c r="B172" i="1" s="1"/>
  <c r="B175" i="8" l="1"/>
  <c r="C174" i="8"/>
  <c r="A173" i="1"/>
  <c r="B173" i="1" s="1"/>
  <c r="B176" i="8" l="1"/>
  <c r="C175" i="8"/>
  <c r="A174" i="1"/>
  <c r="B174" i="1" s="1"/>
  <c r="B177" i="8" l="1"/>
  <c r="C176" i="8"/>
  <c r="A175" i="1"/>
  <c r="B175" i="1" s="1"/>
  <c r="B178" i="8" l="1"/>
  <c r="C177" i="8"/>
  <c r="A176" i="1"/>
  <c r="B176" i="1" s="1"/>
  <c r="B179" i="8" l="1"/>
  <c r="C178" i="8"/>
  <c r="A177" i="1"/>
  <c r="B177" i="1" s="1"/>
  <c r="B180" i="8" l="1"/>
  <c r="C179" i="8"/>
  <c r="A178" i="1"/>
  <c r="B178" i="1" s="1"/>
  <c r="B181" i="8" l="1"/>
  <c r="C180" i="8"/>
  <c r="A179" i="1"/>
  <c r="B179" i="1" s="1"/>
  <c r="B182" i="8" l="1"/>
  <c r="C181" i="8"/>
  <c r="A180" i="1"/>
  <c r="B180" i="1" s="1"/>
  <c r="B183" i="8" l="1"/>
  <c r="C182" i="8"/>
  <c r="A181" i="1"/>
  <c r="B181" i="1" s="1"/>
  <c r="B184" i="8" l="1"/>
  <c r="C183" i="8"/>
  <c r="A182" i="1"/>
  <c r="B182" i="1" s="1"/>
  <c r="B185" i="8" l="1"/>
  <c r="C184" i="8"/>
  <c r="A183" i="1"/>
  <c r="B183" i="1" s="1"/>
  <c r="B186" i="8" l="1"/>
  <c r="C185" i="8"/>
  <c r="A184" i="1"/>
  <c r="B184" i="1" s="1"/>
  <c r="B187" i="8" l="1"/>
  <c r="C186" i="8"/>
  <c r="A185" i="1"/>
  <c r="B185" i="1" s="1"/>
  <c r="B188" i="8" l="1"/>
  <c r="C187" i="8"/>
  <c r="A186" i="1"/>
  <c r="B186" i="1" s="1"/>
  <c r="B189" i="8" l="1"/>
  <c r="C188" i="8"/>
  <c r="A187" i="1"/>
  <c r="B187" i="1" s="1"/>
  <c r="B190" i="8" l="1"/>
  <c r="C189" i="8"/>
  <c r="A188" i="1"/>
  <c r="B188" i="1" s="1"/>
  <c r="B191" i="8" l="1"/>
  <c r="C190" i="8"/>
  <c r="A189" i="1"/>
  <c r="B189" i="1" s="1"/>
  <c r="B192" i="8" l="1"/>
  <c r="C191" i="8"/>
  <c r="A190" i="1"/>
  <c r="B190" i="1" s="1"/>
  <c r="B193" i="8" l="1"/>
  <c r="C192" i="8"/>
  <c r="A191" i="1"/>
  <c r="B191" i="1" s="1"/>
  <c r="B194" i="8" l="1"/>
  <c r="C193" i="8"/>
  <c r="A192" i="1"/>
  <c r="B192" i="1" s="1"/>
  <c r="B195" i="8" l="1"/>
  <c r="C194" i="8"/>
  <c r="A193" i="1"/>
  <c r="B193" i="1" s="1"/>
  <c r="B196" i="8" l="1"/>
  <c r="C195" i="8"/>
  <c r="A194" i="1"/>
  <c r="B194" i="1" s="1"/>
  <c r="B197" i="8" l="1"/>
  <c r="C196" i="8"/>
  <c r="A195" i="1"/>
  <c r="B195" i="1" s="1"/>
  <c r="B198" i="8" l="1"/>
  <c r="C197" i="8"/>
  <c r="A196" i="1"/>
  <c r="B196" i="1" s="1"/>
  <c r="B199" i="8" l="1"/>
  <c r="C198" i="8"/>
  <c r="A197" i="1"/>
  <c r="B197" i="1" s="1"/>
  <c r="B200" i="8" l="1"/>
  <c r="C199" i="8"/>
  <c r="A198" i="1"/>
  <c r="B198" i="1" s="1"/>
  <c r="B201" i="8" l="1"/>
  <c r="C200" i="8"/>
  <c r="A199" i="1"/>
  <c r="B199" i="1" s="1"/>
  <c r="B202" i="8" l="1"/>
  <c r="C201" i="8"/>
  <c r="A200" i="1"/>
  <c r="B200" i="1" s="1"/>
  <c r="B203" i="8" l="1"/>
  <c r="C202" i="8"/>
  <c r="A201" i="1"/>
  <c r="B201" i="1" s="1"/>
  <c r="B204" i="8" l="1"/>
  <c r="C203" i="8"/>
  <c r="A202" i="1"/>
  <c r="B202" i="1" s="1"/>
  <c r="B205" i="8" l="1"/>
  <c r="C204" i="8"/>
  <c r="A203" i="1"/>
  <c r="B203" i="1" s="1"/>
  <c r="B206" i="8" l="1"/>
  <c r="C205" i="8"/>
  <c r="A204" i="1"/>
  <c r="B204" i="1" s="1"/>
  <c r="B207" i="8" l="1"/>
  <c r="C206" i="8"/>
  <c r="A205" i="1"/>
  <c r="B205" i="1" s="1"/>
  <c r="B208" i="8" l="1"/>
  <c r="C207" i="8"/>
  <c r="A206" i="1"/>
  <c r="B206" i="1" s="1"/>
  <c r="B209" i="8" l="1"/>
  <c r="C208" i="8"/>
  <c r="A207" i="1"/>
  <c r="B207" i="1" s="1"/>
  <c r="B210" i="8" l="1"/>
  <c r="C209" i="8"/>
  <c r="A208" i="1"/>
  <c r="B208" i="1" s="1"/>
  <c r="B211" i="8" l="1"/>
  <c r="C210" i="8"/>
  <c r="A209" i="1"/>
  <c r="B209" i="1" s="1"/>
  <c r="B212" i="8" l="1"/>
  <c r="C211" i="8"/>
  <c r="A210" i="1"/>
  <c r="B210" i="1" s="1"/>
  <c r="B213" i="8" l="1"/>
  <c r="C212" i="8"/>
  <c r="A211" i="1"/>
  <c r="B211" i="1" s="1"/>
  <c r="B214" i="8" l="1"/>
  <c r="C213" i="8"/>
  <c r="A212" i="1"/>
  <c r="B212" i="1" s="1"/>
  <c r="B215" i="8" l="1"/>
  <c r="C214" i="8"/>
  <c r="A213" i="1"/>
  <c r="B213" i="1" s="1"/>
  <c r="B216" i="8" l="1"/>
  <c r="C215" i="8"/>
  <c r="A214" i="1"/>
  <c r="B214" i="1" s="1"/>
  <c r="B217" i="8" l="1"/>
  <c r="C216" i="8"/>
  <c r="A215" i="1"/>
  <c r="B215" i="1" s="1"/>
  <c r="B218" i="8" l="1"/>
  <c r="C217" i="8"/>
  <c r="A216" i="1"/>
  <c r="B216" i="1" s="1"/>
  <c r="B219" i="8" l="1"/>
  <c r="C218" i="8"/>
  <c r="A217" i="1"/>
  <c r="B217" i="1" s="1"/>
  <c r="B220" i="8" l="1"/>
  <c r="C219" i="8"/>
  <c r="A218" i="1"/>
  <c r="B218" i="1" s="1"/>
  <c r="B221" i="8" l="1"/>
  <c r="C220" i="8"/>
  <c r="A219" i="1"/>
  <c r="B219" i="1" s="1"/>
  <c r="B222" i="8" l="1"/>
  <c r="C221" i="8"/>
  <c r="A220" i="1"/>
  <c r="B220" i="1" s="1"/>
  <c r="B223" i="8" l="1"/>
  <c r="C222" i="8"/>
  <c r="A221" i="1"/>
  <c r="B221" i="1" s="1"/>
  <c r="B224" i="8" l="1"/>
  <c r="C223" i="8"/>
  <c r="A222" i="1"/>
  <c r="B222" i="1" s="1"/>
  <c r="B225" i="8" l="1"/>
  <c r="C224" i="8"/>
  <c r="A223" i="1"/>
  <c r="B223" i="1" s="1"/>
  <c r="B226" i="8" l="1"/>
  <c r="C225" i="8"/>
  <c r="A224" i="1"/>
  <c r="B224" i="1" s="1"/>
  <c r="B227" i="8" l="1"/>
  <c r="C226" i="8"/>
  <c r="A225" i="1"/>
  <c r="B225" i="1" s="1"/>
  <c r="B228" i="8" l="1"/>
  <c r="C227" i="8"/>
  <c r="A226" i="1"/>
  <c r="B226" i="1" s="1"/>
  <c r="B229" i="8" l="1"/>
  <c r="C228" i="8"/>
  <c r="A227" i="1"/>
  <c r="B227" i="1" s="1"/>
  <c r="B230" i="8" l="1"/>
  <c r="C229" i="8"/>
  <c r="A228" i="1"/>
  <c r="B228" i="1" s="1"/>
  <c r="B231" i="8" l="1"/>
  <c r="C230" i="8"/>
  <c r="A229" i="1"/>
  <c r="B229" i="1" s="1"/>
  <c r="B232" i="8" l="1"/>
  <c r="C231" i="8"/>
  <c r="A230" i="1"/>
  <c r="B230" i="1" s="1"/>
  <c r="B233" i="8" l="1"/>
  <c r="C232" i="8"/>
  <c r="A231" i="1"/>
  <c r="B231" i="1" s="1"/>
  <c r="B234" i="8" l="1"/>
  <c r="C233" i="8"/>
  <c r="A232" i="1"/>
  <c r="B232" i="1" s="1"/>
  <c r="B235" i="8" l="1"/>
  <c r="C234" i="8"/>
  <c r="A233" i="1"/>
  <c r="B233" i="1" s="1"/>
  <c r="B236" i="8" l="1"/>
  <c r="C235" i="8"/>
  <c r="A234" i="1"/>
  <c r="B234" i="1" s="1"/>
  <c r="B237" i="8" l="1"/>
  <c r="C236" i="8"/>
  <c r="A235" i="1"/>
  <c r="B235" i="1" s="1"/>
  <c r="B238" i="8" l="1"/>
  <c r="C237" i="8"/>
  <c r="A236" i="1"/>
  <c r="B236" i="1" s="1"/>
  <c r="B239" i="8" l="1"/>
  <c r="C238" i="8"/>
  <c r="A237" i="1"/>
  <c r="B237" i="1" s="1"/>
  <c r="B240" i="8" l="1"/>
  <c r="C239" i="8"/>
  <c r="A238" i="1"/>
  <c r="B238" i="1" s="1"/>
  <c r="B241" i="8" l="1"/>
  <c r="C240" i="8"/>
  <c r="A239" i="1"/>
  <c r="B239" i="1" s="1"/>
  <c r="B242" i="8" l="1"/>
  <c r="C241" i="8"/>
  <c r="A240" i="1"/>
  <c r="B240" i="1" s="1"/>
  <c r="B243" i="8" l="1"/>
  <c r="C242" i="8"/>
  <c r="A241" i="1"/>
  <c r="B241" i="1" s="1"/>
  <c r="B244" i="8" l="1"/>
  <c r="C243" i="8"/>
  <c r="A242" i="1"/>
  <c r="B242" i="1" s="1"/>
  <c r="B245" i="8" l="1"/>
  <c r="C244" i="8"/>
  <c r="A243" i="1"/>
  <c r="B243" i="1" s="1"/>
  <c r="B246" i="8" l="1"/>
  <c r="C245" i="8"/>
  <c r="A244" i="1"/>
  <c r="B244" i="1" s="1"/>
  <c r="B247" i="8" l="1"/>
  <c r="C246" i="8"/>
  <c r="A245" i="1"/>
  <c r="B245" i="1" s="1"/>
  <c r="B248" i="8" l="1"/>
  <c r="C247" i="8"/>
  <c r="A246" i="1"/>
  <c r="B246" i="1" s="1"/>
  <c r="B249" i="8" l="1"/>
  <c r="C248" i="8"/>
  <c r="A247" i="1"/>
  <c r="B247" i="1" s="1"/>
  <c r="B250" i="8" l="1"/>
  <c r="C249" i="8"/>
  <c r="A248" i="1"/>
  <c r="B248" i="1" s="1"/>
  <c r="B251" i="8" l="1"/>
  <c r="C250" i="8"/>
  <c r="A249" i="1"/>
  <c r="B249" i="1" s="1"/>
  <c r="B252" i="8" l="1"/>
  <c r="C251" i="8"/>
  <c r="A250" i="1"/>
  <c r="B250" i="1" s="1"/>
  <c r="B253" i="8" l="1"/>
  <c r="C252" i="8"/>
  <c r="A251" i="1"/>
  <c r="B251" i="1" s="1"/>
  <c r="B254" i="8" l="1"/>
  <c r="C253" i="8"/>
  <c r="A252" i="1"/>
  <c r="B252" i="1" s="1"/>
  <c r="B255" i="8" l="1"/>
  <c r="C254" i="8"/>
  <c r="A253" i="1"/>
  <c r="B253" i="1" s="1"/>
  <c r="B256" i="8" l="1"/>
  <c r="C255" i="8"/>
  <c r="A254" i="1"/>
  <c r="B254" i="1" s="1"/>
  <c r="B257" i="8" l="1"/>
  <c r="C256" i="8"/>
  <c r="A255" i="1"/>
  <c r="B255" i="1" s="1"/>
  <c r="B258" i="8" l="1"/>
  <c r="C257" i="8"/>
  <c r="A256" i="1"/>
  <c r="B256" i="1" s="1"/>
  <c r="B259" i="8" l="1"/>
  <c r="C258" i="8"/>
  <c r="A257" i="1"/>
  <c r="B257" i="1" s="1"/>
  <c r="B260" i="8" l="1"/>
  <c r="C259" i="8"/>
  <c r="A258" i="1"/>
  <c r="B258" i="1" s="1"/>
  <c r="B261" i="8" l="1"/>
  <c r="C260" i="8"/>
  <c r="A259" i="1"/>
  <c r="B259" i="1" s="1"/>
  <c r="B262" i="8" l="1"/>
  <c r="C261" i="8"/>
  <c r="A260" i="1"/>
  <c r="B260" i="1" s="1"/>
  <c r="B263" i="8" l="1"/>
  <c r="C262" i="8"/>
  <c r="A261" i="1"/>
  <c r="B261" i="1" s="1"/>
  <c r="B264" i="8" l="1"/>
  <c r="C263" i="8"/>
  <c r="A262" i="1"/>
  <c r="B262" i="1" s="1"/>
  <c r="B265" i="8" l="1"/>
  <c r="C264" i="8"/>
  <c r="A263" i="1"/>
  <c r="B263" i="1" s="1"/>
  <c r="B266" i="8" l="1"/>
  <c r="C265" i="8"/>
  <c r="A264" i="1"/>
  <c r="B264" i="1" s="1"/>
  <c r="B267" i="8" l="1"/>
  <c r="C266" i="8"/>
  <c r="A265" i="1"/>
  <c r="B265" i="1" s="1"/>
  <c r="B268" i="8" l="1"/>
  <c r="C267" i="8"/>
  <c r="A266" i="1"/>
  <c r="B266" i="1" s="1"/>
  <c r="B269" i="8" l="1"/>
  <c r="C268" i="8"/>
  <c r="A267" i="1"/>
  <c r="B267" i="1" s="1"/>
  <c r="B270" i="8" l="1"/>
  <c r="C269" i="8"/>
  <c r="A268" i="1"/>
  <c r="B268" i="1" s="1"/>
  <c r="B271" i="8" l="1"/>
  <c r="C270" i="8"/>
  <c r="A269" i="1"/>
  <c r="B269" i="1" s="1"/>
  <c r="B272" i="8" l="1"/>
  <c r="C271" i="8"/>
  <c r="A270" i="1"/>
  <c r="B270" i="1" s="1"/>
  <c r="B273" i="8" l="1"/>
  <c r="C272" i="8"/>
  <c r="A271" i="1"/>
  <c r="B271" i="1" s="1"/>
  <c r="B274" i="8" l="1"/>
  <c r="C273" i="8"/>
  <c r="A272" i="1"/>
  <c r="B272" i="1" s="1"/>
  <c r="B275" i="8" l="1"/>
  <c r="C274" i="8"/>
  <c r="A273" i="1"/>
  <c r="B273" i="1" s="1"/>
  <c r="B276" i="8" l="1"/>
  <c r="C275" i="8"/>
  <c r="A274" i="1"/>
  <c r="B274" i="1" s="1"/>
  <c r="B277" i="8" l="1"/>
  <c r="C276" i="8"/>
  <c r="A275" i="1"/>
  <c r="B275" i="1" s="1"/>
  <c r="B278" i="8" l="1"/>
  <c r="C277" i="8"/>
  <c r="A276" i="1"/>
  <c r="B276" i="1" s="1"/>
  <c r="B279" i="8" l="1"/>
  <c r="C278" i="8"/>
  <c r="A277" i="1"/>
  <c r="B277" i="1" s="1"/>
  <c r="B280" i="8" l="1"/>
  <c r="C279" i="8"/>
  <c r="A278" i="1"/>
  <c r="B278" i="1" s="1"/>
  <c r="B281" i="8" l="1"/>
  <c r="C280" i="8"/>
  <c r="A279" i="1"/>
  <c r="B279" i="1" s="1"/>
  <c r="B282" i="8" l="1"/>
  <c r="C281" i="8"/>
  <c r="A280" i="1"/>
  <c r="B280" i="1" s="1"/>
  <c r="B283" i="8" l="1"/>
  <c r="C282" i="8"/>
  <c r="A281" i="1"/>
  <c r="B281" i="1" s="1"/>
  <c r="B284" i="8" l="1"/>
  <c r="C283" i="8"/>
  <c r="A282" i="1"/>
  <c r="B282" i="1" s="1"/>
  <c r="B285" i="8" l="1"/>
  <c r="C284" i="8"/>
  <c r="A283" i="1"/>
  <c r="B283" i="1" s="1"/>
  <c r="B286" i="8" l="1"/>
  <c r="C285" i="8"/>
  <c r="A284" i="1"/>
  <c r="B284" i="1" s="1"/>
  <c r="B287" i="8" l="1"/>
  <c r="C286" i="8"/>
  <c r="A285" i="1"/>
  <c r="B285" i="1" s="1"/>
  <c r="B288" i="8" l="1"/>
  <c r="C287" i="8"/>
  <c r="A286" i="1"/>
  <c r="B286" i="1" s="1"/>
  <c r="B289" i="8" l="1"/>
  <c r="C288" i="8"/>
  <c r="A287" i="1"/>
  <c r="B287" i="1" s="1"/>
  <c r="B290" i="8" l="1"/>
  <c r="C289" i="8"/>
  <c r="A288" i="1"/>
  <c r="B288" i="1" s="1"/>
  <c r="B291" i="8" l="1"/>
  <c r="C290" i="8"/>
  <c r="A289" i="1"/>
  <c r="B289" i="1" s="1"/>
  <c r="B292" i="8" l="1"/>
  <c r="C291" i="8"/>
  <c r="A290" i="1"/>
  <c r="B290" i="1" s="1"/>
  <c r="B293" i="8" l="1"/>
  <c r="C292" i="8"/>
  <c r="A291" i="1"/>
  <c r="B291" i="1" s="1"/>
  <c r="B294" i="8" l="1"/>
  <c r="C293" i="8"/>
  <c r="A292" i="1"/>
  <c r="B292" i="1" s="1"/>
  <c r="B295" i="8" l="1"/>
  <c r="C294" i="8"/>
  <c r="A293" i="1"/>
  <c r="B293" i="1" s="1"/>
  <c r="B296" i="8" l="1"/>
  <c r="C295" i="8"/>
  <c r="A294" i="1"/>
  <c r="B294" i="1" s="1"/>
  <c r="B297" i="8" l="1"/>
  <c r="C296" i="8"/>
  <c r="A295" i="1"/>
  <c r="B295" i="1" s="1"/>
  <c r="B298" i="8" l="1"/>
  <c r="C297" i="8"/>
  <c r="A296" i="1"/>
  <c r="B296" i="1" s="1"/>
  <c r="B299" i="8" l="1"/>
  <c r="C298" i="8"/>
  <c r="A297" i="1"/>
  <c r="B297" i="1" s="1"/>
  <c r="B300" i="8" l="1"/>
  <c r="C299" i="8"/>
  <c r="A298" i="1"/>
  <c r="B298" i="1" s="1"/>
  <c r="B301" i="8" l="1"/>
  <c r="C300" i="8"/>
  <c r="A299" i="1"/>
  <c r="B299" i="1" s="1"/>
  <c r="B302" i="8" l="1"/>
  <c r="C301" i="8"/>
  <c r="A300" i="1"/>
  <c r="B300" i="1" s="1"/>
  <c r="B303" i="8" l="1"/>
  <c r="C302" i="8"/>
  <c r="A301" i="1"/>
  <c r="B301" i="1" s="1"/>
  <c r="B304" i="8" l="1"/>
  <c r="C303" i="8"/>
  <c r="A302" i="1"/>
  <c r="B302" i="1" s="1"/>
  <c r="B305" i="8" l="1"/>
  <c r="C304" i="8"/>
  <c r="A303" i="1"/>
  <c r="B303" i="1" s="1"/>
  <c r="B306" i="8" l="1"/>
  <c r="C305" i="8"/>
  <c r="A304" i="1"/>
  <c r="B304" i="1" s="1"/>
  <c r="B307" i="8" l="1"/>
  <c r="C306" i="8"/>
  <c r="A305" i="1"/>
  <c r="B305" i="1" s="1"/>
  <c r="B308" i="8" l="1"/>
  <c r="C307" i="8"/>
  <c r="A306" i="1"/>
  <c r="B306" i="1" s="1"/>
  <c r="B309" i="8" l="1"/>
  <c r="C308" i="8"/>
  <c r="A307" i="1"/>
  <c r="B307" i="1" s="1"/>
  <c r="B310" i="8" l="1"/>
  <c r="C309" i="8"/>
  <c r="A308" i="1"/>
  <c r="B308" i="1" s="1"/>
  <c r="B311" i="8" l="1"/>
  <c r="C310" i="8"/>
  <c r="A309" i="1"/>
  <c r="B309" i="1" s="1"/>
  <c r="B312" i="8" l="1"/>
  <c r="C311" i="8"/>
  <c r="A310" i="1"/>
  <c r="B310" i="1" s="1"/>
  <c r="B313" i="8" l="1"/>
  <c r="C312" i="8"/>
  <c r="A311" i="1"/>
  <c r="B311" i="1" s="1"/>
  <c r="B314" i="8" l="1"/>
  <c r="C313" i="8"/>
  <c r="A312" i="1"/>
  <c r="B312" i="1" s="1"/>
  <c r="B315" i="8" l="1"/>
  <c r="C314" i="8"/>
  <c r="A313" i="1"/>
  <c r="B313" i="1" s="1"/>
  <c r="B316" i="8" l="1"/>
  <c r="C315" i="8"/>
  <c r="A314" i="1"/>
  <c r="B314" i="1" s="1"/>
  <c r="B317" i="8" l="1"/>
  <c r="C316" i="8"/>
  <c r="A315" i="1"/>
  <c r="B315" i="1" s="1"/>
  <c r="B318" i="8" l="1"/>
  <c r="C317" i="8"/>
  <c r="A316" i="1"/>
  <c r="B316" i="1" s="1"/>
  <c r="B319" i="8" l="1"/>
  <c r="C318" i="8"/>
  <c r="A317" i="1"/>
  <c r="B317" i="1" s="1"/>
  <c r="B320" i="8" l="1"/>
  <c r="C319" i="8"/>
  <c r="A318" i="1"/>
  <c r="B318" i="1" s="1"/>
  <c r="B321" i="8" l="1"/>
  <c r="C320" i="8"/>
  <c r="A319" i="1"/>
  <c r="B319" i="1" s="1"/>
  <c r="B322" i="8" l="1"/>
  <c r="C321" i="8"/>
  <c r="A320" i="1"/>
  <c r="B320" i="1" s="1"/>
  <c r="B323" i="8" l="1"/>
  <c r="C322" i="8"/>
  <c r="A321" i="1"/>
  <c r="B321" i="1" s="1"/>
  <c r="B324" i="8" l="1"/>
  <c r="C323" i="8"/>
  <c r="A322" i="1"/>
  <c r="B322" i="1" s="1"/>
  <c r="B325" i="8" l="1"/>
  <c r="C324" i="8"/>
  <c r="A323" i="1"/>
  <c r="B323" i="1" s="1"/>
  <c r="B326" i="8" l="1"/>
  <c r="C325" i="8"/>
  <c r="A324" i="1"/>
  <c r="B324" i="1" s="1"/>
  <c r="B327" i="8" l="1"/>
  <c r="C326" i="8"/>
  <c r="A325" i="1"/>
  <c r="B325" i="1" s="1"/>
  <c r="B328" i="8" l="1"/>
  <c r="C327" i="8"/>
  <c r="A326" i="1"/>
  <c r="B326" i="1" s="1"/>
  <c r="B329" i="8" l="1"/>
  <c r="C328" i="8"/>
  <c r="A327" i="1"/>
  <c r="B327" i="1" s="1"/>
  <c r="B330" i="8" l="1"/>
  <c r="C329" i="8"/>
  <c r="A328" i="1"/>
  <c r="B328" i="1" s="1"/>
  <c r="B331" i="8" l="1"/>
  <c r="C330" i="8"/>
  <c r="A329" i="1"/>
  <c r="B329" i="1" s="1"/>
  <c r="B332" i="8" l="1"/>
  <c r="C331" i="8"/>
  <c r="A330" i="1"/>
  <c r="B330" i="1" s="1"/>
  <c r="B333" i="8" l="1"/>
  <c r="C332" i="8"/>
  <c r="A331" i="1"/>
  <c r="B331" i="1" s="1"/>
  <c r="B334" i="8" l="1"/>
  <c r="C333" i="8"/>
  <c r="A332" i="1"/>
  <c r="B332" i="1" s="1"/>
  <c r="B335" i="8" l="1"/>
  <c r="C334" i="8"/>
  <c r="A333" i="1"/>
  <c r="B333" i="1" s="1"/>
  <c r="B336" i="8" l="1"/>
  <c r="C335" i="8"/>
  <c r="A334" i="1"/>
  <c r="B334" i="1" s="1"/>
  <c r="B337" i="8" l="1"/>
  <c r="C336" i="8"/>
  <c r="A335" i="1"/>
  <c r="B335" i="1" s="1"/>
  <c r="B338" i="8" l="1"/>
  <c r="C337" i="8"/>
  <c r="A336" i="1"/>
  <c r="B336" i="1" s="1"/>
  <c r="B339" i="8" l="1"/>
  <c r="C338" i="8"/>
  <c r="A337" i="1"/>
  <c r="B337" i="1" s="1"/>
  <c r="B340" i="8" l="1"/>
  <c r="C339" i="8"/>
  <c r="A338" i="1"/>
  <c r="B338" i="1" s="1"/>
  <c r="B341" i="8" l="1"/>
  <c r="C340" i="8"/>
  <c r="A339" i="1"/>
  <c r="B339" i="1" s="1"/>
  <c r="B342" i="8" l="1"/>
  <c r="C341" i="8"/>
  <c r="A340" i="1"/>
  <c r="B340" i="1" s="1"/>
  <c r="B343" i="8" l="1"/>
  <c r="C342" i="8"/>
  <c r="A341" i="1"/>
  <c r="B341" i="1" s="1"/>
  <c r="B344" i="8" l="1"/>
  <c r="C343" i="8"/>
  <c r="A342" i="1"/>
  <c r="B342" i="1" s="1"/>
  <c r="B345" i="8" l="1"/>
  <c r="C344" i="8"/>
  <c r="A343" i="1"/>
  <c r="B343" i="1" s="1"/>
  <c r="B346" i="8" l="1"/>
  <c r="C345" i="8"/>
  <c r="A344" i="1"/>
  <c r="B344" i="1" s="1"/>
  <c r="B347" i="8" l="1"/>
  <c r="C346" i="8"/>
  <c r="A345" i="1"/>
  <c r="B345" i="1" s="1"/>
  <c r="B348" i="8" l="1"/>
  <c r="C347" i="8"/>
  <c r="A346" i="1"/>
  <c r="B346" i="1" s="1"/>
  <c r="B349" i="8" l="1"/>
  <c r="C348" i="8"/>
  <c r="A347" i="1"/>
  <c r="B347" i="1" s="1"/>
  <c r="B350" i="8" l="1"/>
  <c r="C349" i="8"/>
  <c r="A348" i="1"/>
  <c r="B348" i="1" s="1"/>
  <c r="B351" i="8" l="1"/>
  <c r="C350" i="8"/>
  <c r="A349" i="1"/>
  <c r="B349" i="1" s="1"/>
  <c r="B352" i="8" l="1"/>
  <c r="C351" i="8"/>
  <c r="A350" i="1"/>
  <c r="B350" i="1" s="1"/>
  <c r="B353" i="8" l="1"/>
  <c r="C352" i="8"/>
  <c r="A351" i="1"/>
  <c r="B351" i="1" s="1"/>
  <c r="B354" i="8" l="1"/>
  <c r="C353" i="8"/>
  <c r="A352" i="1"/>
  <c r="B352" i="1" s="1"/>
  <c r="B355" i="8" l="1"/>
  <c r="C354" i="8"/>
  <c r="A353" i="1"/>
  <c r="B353" i="1" s="1"/>
  <c r="B356" i="8" l="1"/>
  <c r="C355" i="8"/>
  <c r="A354" i="1"/>
  <c r="B354" i="1" s="1"/>
  <c r="B357" i="8" l="1"/>
  <c r="C356" i="8"/>
  <c r="A355" i="1"/>
  <c r="B355" i="1" s="1"/>
  <c r="B358" i="8" l="1"/>
  <c r="C357" i="8"/>
  <c r="A356" i="1"/>
  <c r="B356" i="1" s="1"/>
  <c r="B359" i="8" l="1"/>
  <c r="C358" i="8"/>
  <c r="A357" i="1"/>
  <c r="B357" i="1" s="1"/>
  <c r="B360" i="8" l="1"/>
  <c r="C359" i="8"/>
  <c r="A358" i="1"/>
  <c r="B358" i="1" s="1"/>
  <c r="B361" i="8" l="1"/>
  <c r="C360" i="8"/>
  <c r="A359" i="1"/>
  <c r="B359" i="1" s="1"/>
  <c r="B362" i="8" l="1"/>
  <c r="C361" i="8"/>
  <c r="A360" i="1"/>
  <c r="B360" i="1" s="1"/>
  <c r="B363" i="8" l="1"/>
  <c r="C362" i="8"/>
  <c r="A361" i="1"/>
  <c r="B361" i="1" s="1"/>
  <c r="B364" i="8" l="1"/>
  <c r="C363" i="8"/>
  <c r="A362" i="1"/>
  <c r="B362" i="1" s="1"/>
  <c r="B365" i="8" l="1"/>
  <c r="C364" i="8"/>
  <c r="A363" i="1"/>
  <c r="B363" i="1" s="1"/>
  <c r="B366" i="8" l="1"/>
  <c r="C365" i="8"/>
  <c r="A364" i="1"/>
  <c r="B364" i="1" s="1"/>
  <c r="B367" i="8" l="1"/>
  <c r="C366" i="8"/>
  <c r="A365" i="1"/>
  <c r="B365" i="1" s="1"/>
  <c r="B368" i="8" l="1"/>
  <c r="C367" i="8"/>
  <c r="A366" i="1"/>
  <c r="B366" i="1" s="1"/>
  <c r="B369" i="8" l="1"/>
  <c r="C368" i="8"/>
  <c r="A367" i="1"/>
  <c r="B367" i="1" s="1"/>
  <c r="B370" i="8" l="1"/>
  <c r="C369" i="8"/>
  <c r="A368" i="1"/>
  <c r="B368" i="1" l="1"/>
  <c r="B371" i="8"/>
  <c r="C370" i="8"/>
  <c r="D5" i="10" a="1"/>
  <c r="D5" i="10" s="1"/>
  <c r="D6" i="10" a="1"/>
  <c r="D6" i="10" s="1"/>
  <c r="D3" i="10" a="1"/>
  <c r="D3" i="10" s="1"/>
  <c r="D9" i="10" a="1"/>
  <c r="D9" i="10" s="1"/>
  <c r="D8" i="10" a="1"/>
  <c r="D8" i="10" s="1"/>
  <c r="D4" i="10" a="1"/>
  <c r="D4" i="10" s="1"/>
  <c r="D7" i="10" a="1"/>
  <c r="D7" i="10" s="1"/>
  <c r="B372" i="8" l="1"/>
  <c r="C371" i="8"/>
  <c r="C372" i="8" l="1"/>
  <c r="G6" i="11"/>
  <c r="E6" i="11"/>
  <c r="D6" i="11"/>
  <c r="F6" i="1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<sst xmlns="http://schemas.openxmlformats.org/spreadsheetml/2006/main" count="5217" uniqueCount="326">
  <si>
    <t>German</t>
  </si>
  <si>
    <t>French</t>
  </si>
  <si>
    <t>Gym</t>
  </si>
  <si>
    <t>Calisthenics</t>
  </si>
  <si>
    <t>GYM</t>
  </si>
  <si>
    <t>GERMAN</t>
  </si>
  <si>
    <t>Guitar</t>
  </si>
  <si>
    <t>FRENCH</t>
  </si>
  <si>
    <t>Monday</t>
  </si>
  <si>
    <t>Tuesday</t>
  </si>
  <si>
    <t>Wednesday</t>
  </si>
  <si>
    <t>Thursday</t>
  </si>
  <si>
    <t>Friday</t>
  </si>
  <si>
    <t>Saturday</t>
  </si>
  <si>
    <t>Sunday</t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</si>
  <si>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</si>
  <si>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6:20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</si>
  <si>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10:30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</si>
  <si>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Take the Bus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</si>
  <si>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13:00</t>
    </r>
    <r>
      <rPr>
        <sz val="12"/>
        <color theme="1"/>
        <rFont val="Calibri"/>
        <family val="2"/>
        <scheme val="minor"/>
      </rPr>
      <t xml:space="preserve">
Lunch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</si>
  <si>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Play Guitar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</si>
  <si>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</si>
  <si>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19:00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21:00</t>
    </r>
  </si>
  <si>
    <r>
      <rPr>
        <sz val="8"/>
        <color theme="1"/>
        <rFont val="Calibri"/>
        <family val="2"/>
        <scheme val="minor"/>
      </rPr>
      <t>22:00</t>
    </r>
    <r>
      <rPr>
        <sz val="12"/>
        <color theme="1"/>
        <rFont val="Calibri"/>
        <family val="2"/>
        <scheme val="minor"/>
      </rPr>
      <t xml:space="preserve">
Dinner &amp; Get Ready to Sleep
</t>
    </r>
    <r>
      <rPr>
        <sz val="8"/>
        <color theme="1"/>
        <rFont val="Calibri"/>
        <family val="2"/>
        <scheme val="minor"/>
      </rPr>
      <t>22:30</t>
    </r>
  </si>
  <si>
    <t>Strategic Time</t>
  </si>
  <si>
    <t>Summary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</si>
  <si>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5:50</t>
    </r>
  </si>
  <si>
    <r>
      <rPr>
        <sz val="8"/>
        <color theme="1"/>
        <rFont val="Calibri"/>
        <family val="2"/>
        <scheme val="minor"/>
      </rPr>
      <t>5:50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5:55</t>
    </r>
  </si>
  <si>
    <t>Language</t>
  </si>
  <si>
    <t>Objective</t>
  </si>
  <si>
    <t>Estimated Time (Best) [months]</t>
  </si>
  <si>
    <t>Estimated Time (Expected) [months]</t>
  </si>
  <si>
    <t>Termination Date (Best)</t>
  </si>
  <si>
    <t>Termination Date (Expected)</t>
  </si>
  <si>
    <t>Current Level</t>
  </si>
  <si>
    <t>B1</t>
  </si>
  <si>
    <t>C1</t>
  </si>
  <si>
    <t>B2</t>
  </si>
  <si>
    <t>DELF B2</t>
  </si>
  <si>
    <t>- Total Weight: 66 kg</t>
  </si>
  <si>
    <t>- Body Fat: 12%</t>
  </si>
  <si>
    <t>- Visceral Fat: 1%</t>
  </si>
  <si>
    <t>- DELF B2</t>
  </si>
  <si>
    <t>CAREER DEVELOPMENT</t>
  </si>
  <si>
    <t>GUITAR</t>
  </si>
  <si>
    <t>- SAA-C03</t>
  </si>
  <si>
    <t>- Hangar 18 Cover</t>
  </si>
  <si>
    <t>- Far Beyond the Sun</t>
  </si>
  <si>
    <t>- Moonlight Sonata (Relearn)</t>
  </si>
  <si>
    <t>- AIF-C01</t>
  </si>
  <si>
    <t>- Take IELTS</t>
  </si>
  <si>
    <t>- ROS Course</t>
  </si>
  <si>
    <t>- PLC Course + Possible Certification</t>
  </si>
  <si>
    <t>- 3 Projects</t>
  </si>
  <si>
    <t>- AI Courses + Possible Certifications</t>
  </si>
  <si>
    <t>- Handstand</t>
  </si>
  <si>
    <t>- Bent Arm Stand</t>
  </si>
  <si>
    <t>- HSPU</t>
  </si>
  <si>
    <t>CALISTHENICS + GYMNASTICS</t>
  </si>
  <si>
    <t>- Back Handspring</t>
  </si>
  <si>
    <t>- Backflip</t>
  </si>
  <si>
    <t>- Tuck Planche</t>
  </si>
  <si>
    <t>- Tuck Planche Pushup</t>
  </si>
  <si>
    <t>- 1 Cover per mont</t>
  </si>
  <si>
    <t>GOALS</t>
  </si>
  <si>
    <t>Course</t>
  </si>
  <si>
    <t>Review Notes</t>
  </si>
  <si>
    <t>Self-Study</t>
  </si>
  <si>
    <t>Test</t>
  </si>
  <si>
    <t>SAA-C03</t>
  </si>
  <si>
    <t>Course (remaining)</t>
  </si>
  <si>
    <t>Main Book</t>
  </si>
  <si>
    <t>Test Focused Study</t>
  </si>
  <si>
    <t>Test Simulations</t>
  </si>
  <si>
    <t>Review/Reaconditioning</t>
  </si>
  <si>
    <t>Test Inscription (Option 1)</t>
  </si>
  <si>
    <t>Test (Option 1)</t>
  </si>
  <si>
    <t>Test (Option 2)</t>
  </si>
  <si>
    <t>Test Inscription (Option 2)</t>
  </si>
  <si>
    <t>AIF-C01</t>
  </si>
  <si>
    <t>Career Development</t>
  </si>
  <si>
    <t>English</t>
  </si>
  <si>
    <t>B2-C1</t>
  </si>
  <si>
    <t>IELTS</t>
  </si>
  <si>
    <t>-</t>
  </si>
  <si>
    <t>Free Time</t>
  </si>
  <si>
    <t>IELTS (C1)</t>
  </si>
  <si>
    <t>Task</t>
  </si>
  <si>
    <t>Importance (1-5)</t>
  </si>
  <si>
    <t>Deadline</t>
  </si>
  <si>
    <t>Progress (1-5)</t>
  </si>
  <si>
    <t>Priority</t>
  </si>
  <si>
    <t>Saved Jobs Application LinkedIn</t>
  </si>
  <si>
    <t>Bewerbungstracker</t>
  </si>
  <si>
    <t>Make an ordered Watchlist for my free Time</t>
  </si>
  <si>
    <t>Stock Investment</t>
  </si>
  <si>
    <t>Pegboard</t>
  </si>
  <si>
    <t>Redesign CVs</t>
  </si>
  <si>
    <t>Get info abt Scholarships (Alliance Française)</t>
  </si>
  <si>
    <t>Get DAAD Scholarships Info</t>
  </si>
  <si>
    <t>Schedule a Consultation (IMT)</t>
  </si>
  <si>
    <t>Read Stephan Bey (IMT)</t>
  </si>
  <si>
    <t>Read Vincent Gaydon (IMT)</t>
  </si>
  <si>
    <t>Read Taylor Green (Arden University)</t>
  </si>
  <si>
    <t>Read Vinayak Subind (Arden Ujniversity)</t>
  </si>
  <si>
    <t>Reach Contact in THWS and get Info</t>
  </si>
  <si>
    <t>Get Info abt Mainz University</t>
  </si>
  <si>
    <t>Sell PS3</t>
  </si>
  <si>
    <t>Warm-up</t>
  </si>
  <si>
    <t>Skill Block</t>
  </si>
  <si>
    <t>Duration [min]</t>
  </si>
  <si>
    <t>Block</t>
  </si>
  <si>
    <t>Description</t>
  </si>
  <si>
    <t>•  Bridge holds (shoulder extension, back flexibility)
•  Pancake stretch (hamstring/hip mobility)</t>
  </si>
  <si>
    <t>•  Pike push-ups (shoulder strength for handstand stability)
•  Hollow body holds (core control for both skills)
•  Explosive jumps (box jumps, tuck jumps) for spring power</t>
  </si>
  <si>
    <r>
      <rPr>
        <b/>
        <sz val="11"/>
        <color theme="1"/>
        <rFont val="Calibri"/>
        <family val="2"/>
        <scheme val="minor"/>
      </rPr>
      <t>•  Handstand practice</t>
    </r>
    <r>
      <rPr>
        <sz val="11"/>
        <color theme="1"/>
        <rFont val="Calibri"/>
        <family val="2"/>
        <scheme val="minor"/>
      </rPr>
      <t xml:space="preserve">
•	Wall handstand holds (belly-to-wall, 5×30–60s)
•	Freestanding attempts (8–10 kick-ups, focus on balance corrections)
•	Handstand walking or weight shifts (4–5 sets of 5–10s)
</t>
    </r>
    <r>
      <rPr>
        <b/>
        <sz val="11"/>
        <color theme="1"/>
        <rFont val="Calibri"/>
        <family val="2"/>
        <scheme val="minor"/>
      </rPr>
      <t xml:space="preserve">•  Back Handspring drills
</t>
    </r>
    <r>
      <rPr>
        <sz val="11"/>
        <color theme="1"/>
        <rFont val="Calibri"/>
        <family val="2"/>
        <scheme val="minor"/>
      </rPr>
      <t>•	Trampoline or mat: back arch-to-hollow snap drills
•	Backward rolls to stand (confidence in backward motion)
•	Jump back bridges (strengthen arch position)
•	Spotted/supervised handspring attempts if possible</t>
    </r>
  </si>
  <si>
    <t>•  Wrist prep (circles, fingertip push-ups)
•  Shoulder mobility (band dislocates, wall slides)
•  Dynamic core activation (hollow body rocks, arch rocks)
•  Plyometric prep (jump squats, bounding drills)</t>
  </si>
  <si>
    <t>Strength &amp; Conditioning</t>
  </si>
  <si>
    <t>Cool-down</t>
  </si>
  <si>
    <t>Handstand balance drills</t>
  </si>
  <si>
    <t>Back Handspring technique</t>
  </si>
  <si>
    <t>Short freestanding holds, focus on corrections</t>
  </si>
  <si>
    <t>Low-impact drills: backward rolls, jump-backs, arch-to-hollow snaps</t>
  </si>
  <si>
    <t>Organize Room (Router)</t>
  </si>
  <si>
    <t>Status Description</t>
  </si>
  <si>
    <t>Frequency</t>
  </si>
  <si>
    <t>Laundry (underwear)</t>
  </si>
  <si>
    <t>Laundry (uniform)</t>
  </si>
  <si>
    <t>Sweep Room</t>
  </si>
  <si>
    <t>Clean Surfaces</t>
  </si>
  <si>
    <t>Mop Room</t>
  </si>
  <si>
    <t>Haircut</t>
  </si>
  <si>
    <t>Clean Guitar</t>
  </si>
  <si>
    <t>Name</t>
  </si>
  <si>
    <t>Cash Out</t>
  </si>
  <si>
    <t>Cut Nails</t>
  </si>
  <si>
    <t>Shave</t>
  </si>
  <si>
    <t>Adjust Meals in Schedule</t>
  </si>
  <si>
    <t>Cita de Psiquiatría</t>
  </si>
  <si>
    <t>Measure Stats</t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</si>
  <si>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10:30</t>
    </r>
  </si>
  <si>
    <t>5 days</t>
  </si>
  <si>
    <t>Saturdays</t>
  </si>
  <si>
    <t>2 weeks (saturdays)</t>
  </si>
  <si>
    <t>15th of the month</t>
  </si>
  <si>
    <t>Change Towel</t>
  </si>
  <si>
    <t>Change Pijamas</t>
  </si>
  <si>
    <t>Sundays</t>
  </si>
  <si>
    <t>Next Check</t>
  </si>
  <si>
    <t>Pay Kung Fu</t>
  </si>
  <si>
    <t>Recharge Transport Card</t>
  </si>
  <si>
    <t>90 days</t>
  </si>
  <si>
    <t>40 days</t>
  </si>
  <si>
    <t>21 days</t>
  </si>
  <si>
    <t>4 weeks (mondays)</t>
  </si>
  <si>
    <t>Strategic Time Distribution</t>
  </si>
  <si>
    <t>No tasks =</t>
  </si>
  <si>
    <t>To-Do-List</t>
  </si>
  <si>
    <t>Condition</t>
  </si>
  <si>
    <t>Task Priority</t>
  </si>
  <si>
    <t>At least one task &lt;= than:</t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</si>
  <si>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Dinner
</t>
    </r>
    <r>
      <rPr>
        <sz val="8"/>
        <color theme="1"/>
        <rFont val="Calibri"/>
        <family val="2"/>
        <scheme val="minor"/>
      </rPr>
      <t>19:00</t>
    </r>
  </si>
  <si>
    <t>Sleep</t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</si>
  <si>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</si>
  <si>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7:20</t>
    </r>
    <r>
      <rPr>
        <sz val="12"/>
        <color theme="1"/>
        <rFont val="Calibri"/>
        <family val="2"/>
        <scheme val="minor"/>
      </rPr>
      <t xml:space="preserve">
Get Ready for Work
</t>
    </r>
    <r>
      <rPr>
        <sz val="8"/>
        <color theme="1"/>
        <rFont val="Calibri"/>
        <family val="2"/>
        <scheme val="minor"/>
      </rPr>
      <t>7:55</t>
    </r>
  </si>
  <si>
    <r>
      <rPr>
        <sz val="8"/>
        <color theme="1"/>
        <rFont val="Calibri"/>
        <family val="2"/>
        <scheme val="minor"/>
      </rPr>
      <t>7:55</t>
    </r>
    <r>
      <rPr>
        <sz val="12"/>
        <color theme="1"/>
        <rFont val="Calibri"/>
        <family val="2"/>
        <scheme val="minor"/>
      </rPr>
      <t xml:space="preserve">
Morning Break
</t>
    </r>
    <r>
      <rPr>
        <sz val="8"/>
        <color theme="1"/>
        <rFont val="Calibri"/>
        <family val="2"/>
        <scheme val="minor"/>
      </rPr>
      <t>8:30</t>
    </r>
  </si>
  <si>
    <t>Work</t>
  </si>
  <si>
    <r>
      <rPr>
        <sz val="8"/>
        <color theme="1"/>
        <rFont val="Calibri"/>
        <family val="2"/>
        <scheme val="minor"/>
      </rPr>
      <t>4:30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5:00</t>
    </r>
  </si>
  <si>
    <t>Daily Intensity [h]</t>
  </si>
  <si>
    <t>Actual Average Daily Intensity [h]</t>
  </si>
  <si>
    <t>Actual Weekly Intensity [h]</t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</si>
  <si>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17:00</t>
    </r>
  </si>
  <si>
    <r>
      <rPr>
        <sz val="8"/>
        <color theme="1"/>
        <rFont val="Calibri"/>
        <family val="2"/>
        <scheme val="minor"/>
      </rPr>
      <t>17:00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</si>
  <si>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t>Kung Fu</t>
  </si>
  <si>
    <t>Activity</t>
  </si>
  <si>
    <t>Initial Date</t>
  </si>
  <si>
    <t>Final Date</t>
  </si>
  <si>
    <t>Duration (days)</t>
  </si>
  <si>
    <t>Deutsch B2</t>
  </si>
  <si>
    <t>Kapitel 1</t>
  </si>
  <si>
    <t>Kapitel 2</t>
  </si>
  <si>
    <t>Kapitel 3</t>
  </si>
  <si>
    <t>Kapitel 4</t>
  </si>
  <si>
    <t>Kapitel 5</t>
  </si>
  <si>
    <t>Kapitel 6</t>
  </si>
  <si>
    <t>Kapitel 7</t>
  </si>
  <si>
    <t>Kapitel 8</t>
  </si>
  <si>
    <t>Test Simulation 1</t>
  </si>
  <si>
    <t>Test Simulation 2</t>
  </si>
  <si>
    <t>Wortschatzbuch</t>
  </si>
  <si>
    <t>5th of the month</t>
  </si>
  <si>
    <t>Previous Check</t>
  </si>
  <si>
    <t>23th of the month</t>
  </si>
  <si>
    <t>- Goethe-Zertifikat-C1</t>
  </si>
  <si>
    <t>Test Inscription (Option 3)</t>
  </si>
  <si>
    <t>Test (Option 3)</t>
  </si>
  <si>
    <t>Goethe-Zertifikat C1</t>
  </si>
  <si>
    <t>Date</t>
  </si>
  <si>
    <t>Day</t>
  </si>
  <si>
    <t>Deutsch</t>
  </si>
  <si>
    <t>Week Range</t>
  </si>
  <si>
    <t>Week Summary</t>
  </si>
  <si>
    <t>Activity 1</t>
  </si>
  <si>
    <t>Activity 2</t>
  </si>
  <si>
    <t>Activity 3</t>
  </si>
  <si>
    <t>Global Time (min)</t>
  </si>
  <si>
    <t>Global Time</t>
  </si>
  <si>
    <t>Subject 1</t>
  </si>
  <si>
    <t>Pomodoro Blocks 1</t>
  </si>
  <si>
    <t>Overall Time 1</t>
  </si>
  <si>
    <t>Overall Time 1 (min)</t>
  </si>
  <si>
    <t>Excedent Time 1 (min)</t>
  </si>
  <si>
    <t>Subject 2</t>
  </si>
  <si>
    <t>Pomodoro Blocks 2</t>
  </si>
  <si>
    <t>Excedent Time 2 (min)</t>
  </si>
  <si>
    <t>Overall Time 2 (min)</t>
  </si>
  <si>
    <t>Overall Time 2</t>
  </si>
  <si>
    <t>Subject 3</t>
  </si>
  <si>
    <t>Pomodoro Blocks 3</t>
  </si>
  <si>
    <t>Excedent Time 3 (min)</t>
  </si>
  <si>
    <t>Overall Time 3 (min)</t>
  </si>
  <si>
    <t>Overall Time 3</t>
  </si>
  <si>
    <t>Deutsch: Flashcards</t>
  </si>
  <si>
    <t>Product Training</t>
  </si>
  <si>
    <t>AWS Certification</t>
  </si>
  <si>
    <t>Gym Training</t>
  </si>
  <si>
    <t>Deutsch Lernen</t>
  </si>
  <si>
    <t>Tasks</t>
  </si>
  <si>
    <t>Deutsch Flashcards (20 min)</t>
  </si>
  <si>
    <t>Kung Fu Training</t>
  </si>
  <si>
    <t>Guitar Practice</t>
  </si>
  <si>
    <t>☐</t>
  </si>
  <si>
    <t>☑</t>
  </si>
  <si>
    <t>No Scrolling</t>
  </si>
  <si>
    <t>No Videogames</t>
  </si>
  <si>
    <t>Entry Finantial Tracker</t>
  </si>
  <si>
    <t>10th of the month</t>
  </si>
  <si>
    <t>Laundry: Underwear</t>
  </si>
  <si>
    <t>Laundry: Uniform</t>
  </si>
  <si>
    <t>Hire an Image Consultant</t>
  </si>
  <si>
    <t>Count</t>
  </si>
  <si>
    <t>Deutsch Flashcards</t>
  </si>
  <si>
    <t>Weekly Hours</t>
  </si>
  <si>
    <t>Week Start</t>
  </si>
  <si>
    <t>Week End</t>
  </si>
  <si>
    <t>Chart Title</t>
  </si>
  <si>
    <t>Remodelling my Closet</t>
  </si>
  <si>
    <t>PERSONAL DASHBOARD</t>
  </si>
  <si>
    <t>Choose a destination below to open a planning or tracking area</t>
  </si>
  <si>
    <t>NAVIGATION MENU</t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</si>
  <si>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</si>
  <si>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</si>
  <si>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</si>
  <si>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6:05</t>
    </r>
    <r>
      <rPr>
        <sz val="12"/>
        <color theme="1"/>
        <rFont val="Calibri"/>
        <family val="2"/>
        <scheme val="minor"/>
      </rPr>
      <t xml:space="preserve">
Get Ready for Gym
</t>
    </r>
    <r>
      <rPr>
        <sz val="8"/>
        <color theme="1"/>
        <rFont val="Calibri"/>
        <family val="2"/>
        <scheme val="minor"/>
      </rPr>
      <t>6:15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</si>
  <si>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Drive to Office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6:55</t>
    </r>
  </si>
  <si>
    <r>
      <rPr>
        <sz val="8"/>
        <color theme="1"/>
        <rFont val="Calibri"/>
        <family val="2"/>
        <scheme val="minor"/>
      </rPr>
      <t>6:55</t>
    </r>
    <r>
      <rPr>
        <sz val="12"/>
        <color theme="1"/>
        <rFont val="Calibri"/>
        <family val="2"/>
        <scheme val="minor"/>
      </rPr>
      <t xml:space="preserve">
Office Stop and Walk
</t>
    </r>
    <r>
      <rPr>
        <sz val="8"/>
        <color theme="1"/>
        <rFont val="Calibri"/>
        <family val="2"/>
        <scheme val="minor"/>
      </rPr>
      <t>6:10</t>
    </r>
  </si>
  <si>
    <r>
      <rPr>
        <sz val="8"/>
        <color theme="1"/>
        <rFont val="Calibri"/>
        <family val="2"/>
        <scheme val="minor"/>
      </rPr>
      <t>14:00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15:30</t>
    </r>
  </si>
  <si>
    <r>
      <rPr>
        <sz val="8"/>
        <color theme="1"/>
        <rFont val="Calibri"/>
        <family val="2"/>
        <scheme val="minor"/>
      </rPr>
      <t>15:30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16:30</t>
    </r>
  </si>
  <si>
    <r>
      <rPr>
        <sz val="8"/>
        <color theme="1"/>
        <rFont val="Calibri"/>
        <family val="2"/>
        <scheme val="minor"/>
      </rPr>
      <t>16:30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16:50</t>
    </r>
  </si>
  <si>
    <r>
      <rPr>
        <sz val="8"/>
        <color theme="1"/>
        <rFont val="Calibri"/>
        <family val="2"/>
        <scheme val="minor"/>
      </rPr>
      <t>18:15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</si>
  <si>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16:50</t>
    </r>
    <r>
      <rPr>
        <sz val="12"/>
        <color theme="1"/>
        <rFont val="Calibri"/>
        <family val="2"/>
        <scheme val="minor"/>
      </rPr>
      <t xml:space="preserve">
Take the Bus
</t>
    </r>
    <r>
      <rPr>
        <sz val="8"/>
        <color theme="1"/>
        <rFont val="Calibri"/>
        <family val="2"/>
        <scheme val="minor"/>
      </rPr>
      <t>18:15</t>
    </r>
  </si>
  <si>
    <r>
      <rPr>
        <sz val="8"/>
        <color theme="1"/>
        <rFont val="Calibri"/>
        <family val="2"/>
        <scheme val="minor"/>
      </rPr>
      <t>18:30</t>
    </r>
    <r>
      <rPr>
        <sz val="12"/>
        <color theme="1"/>
        <rFont val="Calibri"/>
        <family val="2"/>
        <scheme val="minor"/>
      </rPr>
      <t xml:space="preserve">
Get Ready
</t>
    </r>
    <r>
      <rPr>
        <sz val="8"/>
        <color theme="1"/>
        <rFont val="Calibri"/>
        <family val="2"/>
        <scheme val="minor"/>
      </rPr>
      <t>18:45</t>
    </r>
  </si>
  <si>
    <r>
      <rPr>
        <sz val="8"/>
        <color theme="1"/>
        <rFont val="Calibri"/>
        <family val="2"/>
        <scheme val="minor"/>
      </rPr>
      <t>18:45</t>
    </r>
    <r>
      <rPr>
        <sz val="12"/>
        <color theme="1"/>
        <rFont val="Calibri"/>
        <family val="2"/>
        <scheme val="minor"/>
      </rPr>
      <t xml:space="preserve">
Walk to the Academy
</t>
    </r>
    <r>
      <rPr>
        <sz val="8"/>
        <color theme="1"/>
        <rFont val="Calibri"/>
        <family val="2"/>
        <scheme val="minor"/>
      </rPr>
      <t>19:30</t>
    </r>
  </si>
  <si>
    <r>
      <rPr>
        <sz val="8"/>
        <color theme="1"/>
        <rFont val="Calibri"/>
        <family val="2"/>
        <scheme val="minor"/>
      </rPr>
      <t>19:30</t>
    </r>
    <r>
      <rPr>
        <sz val="12"/>
        <color theme="1"/>
        <rFont val="Calibri"/>
        <family val="2"/>
        <scheme val="minor"/>
      </rPr>
      <t xml:space="preserve">
Kung Fu
</t>
    </r>
    <r>
      <rPr>
        <sz val="8"/>
        <color theme="1"/>
        <rFont val="Calibri"/>
        <family val="2"/>
        <scheme val="minor"/>
      </rPr>
      <t>21:30</t>
    </r>
  </si>
  <si>
    <r>
      <rPr>
        <sz val="8"/>
        <color theme="1"/>
        <rFont val="Calibri"/>
        <family val="2"/>
        <scheme val="minor"/>
      </rPr>
      <t>21:30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22:00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</si>
  <si>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Walk to Bus Stop
</t>
    </r>
    <r>
      <rPr>
        <sz val="8"/>
        <color theme="1"/>
        <rFont val="Calibri"/>
        <family val="2"/>
        <scheme val="minor"/>
      </rPr>
      <t>5:45</t>
    </r>
  </si>
  <si>
    <r>
      <rPr>
        <sz val="8"/>
        <color theme="1"/>
        <rFont val="Calibri"/>
        <family val="2"/>
        <scheme val="minor"/>
      </rPr>
      <t>5:45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Take the Bus
</t>
    </r>
    <r>
      <rPr>
        <sz val="8"/>
        <color theme="1"/>
        <rFont val="Calibri"/>
        <family val="2"/>
        <scheme val="minor"/>
      </rPr>
      <t>6:20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</si>
  <si>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Leave Office
</t>
    </r>
    <r>
      <rPr>
        <sz val="8"/>
        <color theme="1"/>
        <rFont val="Calibri"/>
        <family val="2"/>
        <scheme val="minor"/>
      </rPr>
      <t>16:20</t>
    </r>
  </si>
  <si>
    <r>
      <rPr>
        <sz val="8"/>
        <color theme="1"/>
        <rFont val="Calibri"/>
        <family val="2"/>
        <scheme val="minor"/>
      </rPr>
      <t>16:20</t>
    </r>
    <r>
      <rPr>
        <sz val="12"/>
        <color theme="1"/>
        <rFont val="Calibri"/>
        <family val="2"/>
        <scheme val="minor"/>
      </rPr>
      <t xml:space="preserve">
Ride Home
</t>
    </r>
    <r>
      <rPr>
        <sz val="8"/>
        <color theme="1"/>
        <rFont val="Calibri"/>
        <family val="2"/>
        <scheme val="minor"/>
      </rPr>
      <t>17:30</t>
    </r>
  </si>
  <si>
    <r>
      <rPr>
        <sz val="8"/>
        <color theme="1"/>
        <rFont val="Calibri"/>
        <family val="2"/>
        <scheme val="minor"/>
      </rPr>
      <t>17:30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</si>
  <si>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5:50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 xml:space="preserve">Get Ready for Gym
</t>
    </r>
    <r>
      <rPr>
        <sz val="8"/>
        <color theme="1"/>
        <rFont val="Calibri"/>
        <family val="2"/>
        <scheme val="minor"/>
      </rPr>
      <t>5:55</t>
    </r>
  </si>
  <si>
    <r>
      <rPr>
        <sz val="8"/>
        <color theme="1"/>
        <rFont val="Calibri"/>
        <family val="2"/>
        <scheme val="minor"/>
      </rPr>
      <t>7:30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Shower &amp; 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8:15</t>
    </r>
  </si>
  <si>
    <r>
      <rPr>
        <sz val="8"/>
        <color theme="1"/>
        <rFont val="Calibri"/>
        <family val="2"/>
        <scheme val="minor"/>
      </rPr>
      <t>8:15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11:00</t>
    </r>
  </si>
  <si>
    <r>
      <rPr>
        <sz val="8"/>
        <color theme="1"/>
        <rFont val="Calibri"/>
        <family val="2"/>
        <scheme val="minor"/>
      </rPr>
      <t>13:00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Lunch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14:00</t>
    </r>
  </si>
  <si>
    <r>
      <rPr>
        <sz val="8"/>
        <color theme="1"/>
        <rFont val="Calibri"/>
        <family val="2"/>
        <scheme val="minor"/>
      </rPr>
      <t>14:00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Work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16:00</t>
    </r>
  </si>
  <si>
    <r>
      <rPr>
        <sz val="8"/>
        <color theme="1"/>
        <rFont val="Calibri"/>
        <family val="2"/>
        <scheme val="minor"/>
      </rPr>
      <t>5:55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Gym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</si>
  <si>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5:55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7:05</t>
    </r>
  </si>
  <si>
    <r>
      <rPr>
        <sz val="8"/>
        <color theme="1"/>
        <rFont val="Calibri"/>
        <family val="2"/>
        <scheme val="minor"/>
      </rPr>
      <t>7:05</t>
    </r>
    <r>
      <rPr>
        <sz val="12"/>
        <color theme="1"/>
        <rFont val="Calibri"/>
        <family val="2"/>
        <scheme val="minor"/>
      </rPr>
      <t xml:space="preserve">
Walk Home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</si>
  <si>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7:05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Walk Home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</si>
  <si>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16:00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</si>
  <si>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</si>
  <si>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12:00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</si>
  <si>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11:00</t>
    </r>
    <r>
      <rPr>
        <sz val="12"/>
        <color theme="1"/>
        <rFont val="Calibri"/>
        <family val="2"/>
        <scheme val="minor"/>
      </rPr>
      <t xml:space="preserve">
Strategic Time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</si>
  <si>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12:00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13:00</t>
    </r>
  </si>
  <si>
    <r>
      <rPr>
        <sz val="8"/>
        <color theme="1"/>
        <rFont val="Calibri"/>
        <family val="2"/>
        <scheme val="minor"/>
      </rPr>
      <t>16:00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German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18:00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</si>
  <si>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Work
</t>
    </r>
    <r>
      <rPr>
        <sz val="8"/>
        <color theme="1"/>
        <rFont val="Calibri"/>
        <family val="2"/>
        <scheme val="minor"/>
      </rPr>
      <t>12:00</t>
    </r>
  </si>
  <si>
    <r>
      <rPr>
        <sz val="8"/>
        <color theme="1"/>
        <rFont val="Calibri"/>
        <family val="2"/>
        <scheme val="minor"/>
      </rPr>
      <t>6:15</t>
    </r>
    <r>
      <rPr>
        <sz val="12"/>
        <color theme="1"/>
        <rFont val="Calibri"/>
        <family val="2"/>
        <scheme val="minor"/>
      </rPr>
      <t xml:space="preserve">
Gym
</t>
    </r>
    <r>
      <rPr>
        <sz val="8"/>
        <color theme="1"/>
        <rFont val="Calibri"/>
        <family val="2"/>
        <scheme val="minor"/>
      </rPr>
      <t>7:20</t>
    </r>
  </si>
  <si>
    <r>
      <rPr>
        <sz val="8"/>
        <color theme="1"/>
        <rFont val="Calibri"/>
        <family val="2"/>
        <scheme val="minor"/>
      </rPr>
      <t>5:00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Breakfast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5:30</t>
    </r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</si>
  <si>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6:00</t>
    </r>
  </si>
  <si>
    <r>
      <rPr>
        <sz val="8"/>
        <color theme="1"/>
        <rFont val="Calibri"/>
        <family val="2"/>
        <scheme val="minor"/>
      </rPr>
      <t>6:00</t>
    </r>
    <r>
      <rPr>
        <sz val="12"/>
        <color theme="1"/>
        <rFont val="Calibri"/>
        <family val="2"/>
        <scheme val="minor"/>
      </rPr>
      <t xml:space="preserve">
Strategic Time (Career Development)
</t>
    </r>
    <r>
      <rPr>
        <sz val="8"/>
        <color theme="1"/>
        <rFont val="Calibri"/>
        <family val="2"/>
        <scheme val="minor"/>
      </rPr>
      <t>7:30</t>
    </r>
  </si>
  <si>
    <r>
      <rPr>
        <sz val="8"/>
        <color theme="1"/>
        <rFont val="Calibri"/>
        <family val="2"/>
        <scheme val="minor"/>
      </rPr>
      <t>7:30</t>
    </r>
    <r>
      <rPr>
        <sz val="12"/>
        <color theme="1"/>
        <rFont val="Calibri"/>
        <family val="2"/>
        <scheme val="minor"/>
      </rPr>
      <t xml:space="preserve">
Calisthenics
</t>
    </r>
    <r>
      <rPr>
        <sz val="8"/>
        <color theme="1"/>
        <rFont val="Calibri"/>
        <family val="2"/>
        <scheme val="minor"/>
      </rPr>
      <t>9:30</t>
    </r>
  </si>
  <si>
    <r>
      <rPr>
        <sz val="8"/>
        <color theme="1"/>
        <rFont val="Calibri"/>
        <family val="2"/>
        <scheme val="minor"/>
      </rPr>
      <t>9:30</t>
    </r>
    <r>
      <rPr>
        <sz val="12"/>
        <color theme="1"/>
        <rFont val="Calibri"/>
        <family val="2"/>
        <scheme val="minor"/>
      </rPr>
      <t xml:space="preserve">
Shower &amp; Get Ready
</t>
    </r>
    <r>
      <rPr>
        <sz val="8"/>
        <color theme="1"/>
        <rFont val="Calibri"/>
        <family val="2"/>
        <scheme val="minor"/>
      </rPr>
      <t>9:55</t>
    </r>
  </si>
  <si>
    <r>
      <rPr>
        <sz val="8"/>
        <color theme="1"/>
        <rFont val="Calibri"/>
        <family val="2"/>
        <scheme val="minor"/>
      </rPr>
      <t>9:55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12:55</t>
    </r>
  </si>
  <si>
    <t>Scrolling</t>
  </si>
  <si>
    <t>Review/New Content</t>
  </si>
  <si>
    <t>Schedule Goethe-Zertifikat-C1</t>
  </si>
  <si>
    <t>MAX. 21th</t>
  </si>
  <si>
    <t>Prüfungsvorbereitungsbuch</t>
  </si>
  <si>
    <t>Lesen – Teil 1</t>
  </si>
  <si>
    <t>Lesen – Teil 2</t>
  </si>
  <si>
    <t>Hören – Teil 1</t>
  </si>
  <si>
    <t>Hören – Teil 2</t>
  </si>
  <si>
    <t>Lesen – Teil 3</t>
  </si>
  <si>
    <t>Hören – Teil 3</t>
  </si>
  <si>
    <t>Lesen – Teil 4</t>
  </si>
  <si>
    <t>Hören – Teil 4</t>
  </si>
  <si>
    <t>Schreiben – Teil 1</t>
  </si>
  <si>
    <t>Schreiben – Teil 2</t>
  </si>
  <si>
    <t>Sprechen – Teil 1</t>
  </si>
  <si>
    <t>Sprechen – Teil 2</t>
  </si>
  <si>
    <t>Test Simulation 3 (Modeltest 2)</t>
  </si>
  <si>
    <t>Final Preparation</t>
  </si>
  <si>
    <t>Schedule for the 12th</t>
  </si>
  <si>
    <t>Agendar cita de Control Odontología</t>
  </si>
  <si>
    <r>
      <rPr>
        <sz val="8"/>
        <color theme="1"/>
        <rFont val="Calibri"/>
        <family val="2"/>
        <scheme val="minor"/>
      </rPr>
      <t>5:30</t>
    </r>
    <r>
      <rPr>
        <sz val="11"/>
        <color theme="1"/>
        <rFont val="Calibri"/>
        <family val="2"/>
        <scheme val="minor"/>
      </rPr>
      <t xml:space="preserve">
</t>
    </r>
    <r>
      <rPr>
        <sz val="12"/>
        <color theme="1"/>
        <rFont val="Calibri"/>
        <family val="2"/>
        <scheme val="minor"/>
      </rPr>
      <t>Get Ready</t>
    </r>
    <r>
      <rPr>
        <sz val="11"/>
        <color theme="1"/>
        <rFont val="Calibri"/>
        <family val="2"/>
        <scheme val="minor"/>
      </rPr>
      <t xml:space="preserve">
</t>
    </r>
    <r>
      <rPr>
        <sz val="8"/>
        <color theme="1"/>
        <rFont val="Calibri"/>
        <family val="2"/>
        <scheme val="minor"/>
      </rPr>
      <t>6:30</t>
    </r>
  </si>
  <si>
    <r>
      <rPr>
        <sz val="8"/>
        <color theme="1"/>
        <rFont val="Calibri"/>
        <family val="2"/>
        <scheme val="minor"/>
      </rPr>
      <t>6:30</t>
    </r>
    <r>
      <rPr>
        <sz val="12"/>
        <color theme="1"/>
        <rFont val="Calibri"/>
        <family val="2"/>
        <scheme val="minor"/>
      </rPr>
      <t xml:space="preserve">
German
</t>
    </r>
    <r>
      <rPr>
        <sz val="8"/>
        <color theme="1"/>
        <rFont val="Calibri"/>
        <family val="2"/>
        <scheme val="minor"/>
      </rPr>
      <t>8:30</t>
    </r>
  </si>
  <si>
    <r>
      <rPr>
        <sz val="8"/>
        <color theme="1"/>
        <rFont val="Calibri"/>
        <family val="2"/>
        <scheme val="minor"/>
      </rPr>
      <t>18:00</t>
    </r>
    <r>
      <rPr>
        <sz val="12"/>
        <color theme="1"/>
        <rFont val="Calibri"/>
        <family val="2"/>
        <scheme val="minor"/>
      </rPr>
      <t xml:space="preserve">
Free Time
</t>
    </r>
    <r>
      <rPr>
        <sz val="8"/>
        <color theme="1"/>
        <rFont val="Calibri"/>
        <family val="2"/>
        <scheme val="minor"/>
      </rPr>
      <t>18:30</t>
    </r>
  </si>
  <si>
    <r>
      <rPr>
        <sz val="8"/>
        <color theme="1"/>
        <rFont val="Calibri"/>
        <family val="2"/>
        <scheme val="minor"/>
      </rPr>
      <t>8:30</t>
    </r>
    <r>
      <rPr>
        <sz val="12"/>
        <color theme="1"/>
        <rFont val="Calibri"/>
        <family val="2"/>
        <scheme val="minor"/>
      </rPr>
      <t xml:space="preserve">
Get Ready for Kung Fu
</t>
    </r>
    <r>
      <rPr>
        <sz val="8"/>
        <color theme="1"/>
        <rFont val="Calibri"/>
        <family val="2"/>
        <scheme val="minor"/>
      </rPr>
      <t>8:45</t>
    </r>
  </si>
  <si>
    <r>
      <rPr>
        <sz val="8"/>
        <color theme="1"/>
        <rFont val="Calibri"/>
        <family val="2"/>
        <scheme val="minor"/>
      </rPr>
      <t>8:45</t>
    </r>
    <r>
      <rPr>
        <sz val="12"/>
        <color theme="1"/>
        <rFont val="Calibri"/>
        <family val="2"/>
        <scheme val="minor"/>
      </rPr>
      <t xml:space="preserve">
Walk to the Park
</t>
    </r>
    <r>
      <rPr>
        <sz val="8"/>
        <color theme="1"/>
        <rFont val="Calibri"/>
        <family val="2"/>
        <scheme val="minor"/>
      </rPr>
      <t>9:30</t>
    </r>
  </si>
  <si>
    <t>Zeugnisbewertung</t>
  </si>
  <si>
    <t>Schedule Dermatology Appointment</t>
  </si>
  <si>
    <t>Schedule for the 15th</t>
  </si>
  <si>
    <t>Cash Out (470.000)</t>
  </si>
  <si>
    <t>Recharge Transport Card (56.800)</t>
  </si>
  <si>
    <t>CDT Banco Santander</t>
  </si>
  <si>
    <t>Vence el 19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</si>
</sst>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[$-F800]dddd\,\ mmmm\ dd\,\ yyyy"/>
    <numFmt numFmtId="165" formatCode="[$-407]d/\ mmm/;@"/>
    <numFmt numFmtId="166" formatCode="mm/dd/yyyy"/>
    <numFmt numFmtId="167" formatCode="0.000"/>
  </numFmts>
  <fonts count="20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sz val="11"/>
      <color rgb="FF9C0006"/>
      <name val="Calibri"/>
      <family val="2"/>
      <scheme val="minor"/>
    </font>
    <font>
      <sz val="8"/>
      <name val="Calibri"/>
      <family val="2"/>
      <scheme val="minor"/>
    </font>
    <font>
      <b/>
      <sz val="11"/>
      <color rgb="FF0061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8"/>
      <color rgb="FFFFFFFF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2"/>
      <color rgb="FFFFFFFF"/>
      <name val="Calibri"/>
      <family val="2"/>
      <scheme val="minor"/>
    </font>
    <font>
      <i/>
      <sz val="10"/>
      <color rgb="FF44546A"/>
      <name val="Calibri"/>
      <family val="2"/>
      <scheme val="minor"/>
    </font>
    <font>
      <sz val="11"/>
      <color rgb="FF9C5700"/>
      <name val="Calibri"/>
      <family val="2"/>
      <scheme val="minor"/>
    </font>
  </fonts>
  <fills count="25">
    <fill>
      <patternFill patternType="none"/>
    </fill>
    <fill>
      <patternFill patternType="gray125"/>
    </fill>
    <fill>
      <patternFill patternType="solid">
        <fgColor theme="7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6EFCE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A5A5A5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FFDC8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7CE"/>
      </patternFill>
    </fill>
    <fill>
      <patternFill patternType="solid">
        <fgColor rgb="FF00B050"/>
        <bgColor indexed="64"/>
      </patternFill>
    </fill>
    <fill>
      <patternFill patternType="solid">
        <fgColor theme="1"/>
        <bgColor theme="1"/>
      </patternFill>
    </fill>
    <fill>
      <patternFill patternType="solid">
        <fgColor rgb="FF17365D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EB9C"/>
      </patternFill>
    </fill>
    <fill>
      <patternFill patternType="solid">
        <fgColor rgb="FFFFFF00"/>
        <bgColor indexed="64"/>
      </patternFill>
    </fill>
  </fills>
  <borders count="5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 style="thin">
        <color theme="1"/>
      </left>
      <right/>
      <top/>
      <bottom/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theme="5"/>
      </left>
      <right/>
      <top style="thin">
        <color theme="5"/>
      </top>
      <bottom/>
      <diagonal/>
    </border>
    <border>
      <left style="thin">
        <color theme="5"/>
      </left>
      <right/>
      <top style="medium">
        <color theme="5"/>
      </top>
      <bottom/>
      <diagonal/>
    </border>
    <border>
      <left style="thin">
        <color theme="5"/>
      </left>
      <right style="thin">
        <color theme="5"/>
      </right>
      <top/>
      <bottom/>
      <diagonal/>
    </border>
    <border>
      <left/>
      <right/>
      <top style="thin">
        <color theme="5"/>
      </top>
      <bottom/>
      <diagonal/>
    </border>
    <border>
      <left/>
      <right/>
      <top style="medium">
        <color theme="5"/>
      </top>
      <bottom/>
      <diagonal/>
    </border>
    <border>
      <left style="thin">
        <color theme="5"/>
      </left>
      <right/>
      <top/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5">
    <xf numFmtId="0" fontId="0" fillId="0" borderId="0"/>
    <xf numFmtId="0" fontId="7" fillId="10" borderId="0" applyNumberFormat="0" applyBorder="0" applyAlignment="0" applyProtection="0"/>
    <xf numFmtId="0" fontId="4" fillId="12" borderId="39" applyNumberFormat="0" applyAlignment="0" applyProtection="0"/>
    <xf numFmtId="0" fontId="11" fillId="16" borderId="0" applyNumberFormat="0" applyBorder="0" applyAlignment="0" applyProtection="0"/>
    <xf numFmtId="0" fontId="19" fillId="23" borderId="0" applyNumberFormat="0" applyBorder="0" applyAlignment="0" applyProtection="0"/>
  </cellStyleXfs>
  <cellXfs count="203">
    <xf numFmtId="0" fontId="0" fillId="0" borderId="0" xfId="0"/>
    <xf numFmtId="49" fontId="0" fillId="0" borderId="0" xfId="0" applyNumberFormat="1"/>
    <xf numFmtId="0" fontId="2" fillId="0" borderId="1" xfId="0" applyFont="1" applyBorder="1" applyAlignment="1">
      <alignment horizontal="center" vertical="center" wrapText="1"/>
    </xf>
    <xf numFmtId="0" fontId="3" fillId="2" borderId="9" xfId="0" applyFont="1" applyFill="1" applyBorder="1" applyAlignment="1">
      <alignment horizontal="center" vertical="center"/>
    </xf>
    <xf numFmtId="0" fontId="3" fillId="2" borderId="10" xfId="0" applyFont="1" applyFill="1" applyBorder="1" applyAlignment="1">
      <alignment horizontal="center" vertical="center"/>
    </xf>
    <xf numFmtId="0" fontId="3" fillId="2" borderId="11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0" fontId="0" fillId="0" borderId="8" xfId="0" applyBorder="1" applyAlignment="1">
      <alignment horizontal="center" vertical="center" wrapText="1"/>
    </xf>
    <xf numFmtId="0" fontId="0" fillId="4" borderId="12" xfId="0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0" fontId="2" fillId="4" borderId="12" xfId="0" applyFont="1" applyFill="1" applyBorder="1" applyAlignment="1">
      <alignment horizontal="center" vertical="center" wrapText="1"/>
    </xf>
    <xf numFmtId="0" fontId="2" fillId="0" borderId="12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" xfId="0" applyBorder="1"/>
    <xf numFmtId="0" fontId="0" fillId="0" borderId="13" xfId="0" applyBorder="1"/>
    <xf numFmtId="164" fontId="0" fillId="0" borderId="12" xfId="0" applyNumberFormat="1" applyBorder="1"/>
    <xf numFmtId="0" fontId="0" fillId="0" borderId="18" xfId="0" applyBorder="1"/>
    <xf numFmtId="0" fontId="0" fillId="0" borderId="19" xfId="0" applyBorder="1"/>
    <xf numFmtId="2" fontId="0" fillId="0" borderId="19" xfId="0" applyNumberFormat="1" applyBorder="1"/>
    <xf numFmtId="164" fontId="0" fillId="0" borderId="20" xfId="0" applyNumberFormat="1" applyBorder="1"/>
    <xf numFmtId="49" fontId="0" fillId="7" borderId="21" xfId="0" applyNumberFormat="1" applyFill="1" applyBorder="1"/>
    <xf numFmtId="49" fontId="0" fillId="7" borderId="22" xfId="0" applyNumberFormat="1" applyFill="1" applyBorder="1"/>
    <xf numFmtId="0" fontId="0" fillId="4" borderId="25" xfId="0" applyFill="1" applyBorder="1" applyAlignment="1">
      <alignment horizontal="center" vertical="center" wrapText="1"/>
    </xf>
    <xf numFmtId="0" fontId="2" fillId="0" borderId="25" xfId="0" applyFont="1" applyBorder="1" applyAlignment="1">
      <alignment horizontal="center" vertical="center" wrapText="1"/>
    </xf>
    <xf numFmtId="0" fontId="2" fillId="4" borderId="25" xfId="0" applyFont="1" applyFill="1" applyBorder="1" applyAlignment="1">
      <alignment horizontal="center" vertical="center" wrapText="1"/>
    </xf>
    <xf numFmtId="0" fontId="2" fillId="3" borderId="25" xfId="0" applyFont="1" applyFill="1" applyBorder="1" applyAlignment="1">
      <alignment horizontal="center" vertical="center"/>
    </xf>
    <xf numFmtId="165" fontId="0" fillId="0" borderId="0" xfId="0" applyNumberFormat="1"/>
    <xf numFmtId="16" fontId="0" fillId="0" borderId="1" xfId="0" applyNumberFormat="1" applyBorder="1"/>
    <xf numFmtId="0" fontId="7" fillId="10" borderId="1" xfId="1" applyBorder="1"/>
    <xf numFmtId="2" fontId="0" fillId="11" borderId="1" xfId="0" applyNumberFormat="1" applyFill="1" applyBorder="1" applyAlignment="1">
      <alignment horizontal="right" vertical="center"/>
    </xf>
    <xf numFmtId="2" fontId="0" fillId="11" borderId="32" xfId="0" applyNumberFormat="1" applyFill="1" applyBorder="1" applyAlignment="1">
      <alignment horizontal="right" vertical="center"/>
    </xf>
    <xf numFmtId="1" fontId="0" fillId="5" borderId="33" xfId="0" applyNumberFormat="1" applyFill="1" applyBorder="1" applyAlignment="1">
      <alignment horizontal="right" vertical="center"/>
    </xf>
    <xf numFmtId="1" fontId="0" fillId="5" borderId="3" xfId="0" applyNumberFormat="1" applyFill="1" applyBorder="1" applyAlignment="1">
      <alignment horizontal="right" vertical="center"/>
    </xf>
    <xf numFmtId="2" fontId="0" fillId="11" borderId="5" xfId="0" applyNumberFormat="1" applyFill="1" applyBorder="1" applyAlignment="1">
      <alignment horizontal="right" vertical="center"/>
    </xf>
    <xf numFmtId="1" fontId="0" fillId="5" borderId="6" xfId="0" applyNumberFormat="1" applyFill="1" applyBorder="1" applyAlignment="1">
      <alignment horizontal="right" vertical="center"/>
    </xf>
    <xf numFmtId="0" fontId="0" fillId="3" borderId="15" xfId="0" applyFill="1" applyBorder="1"/>
    <xf numFmtId="0" fontId="0" fillId="3" borderId="16" xfId="0" applyFill="1" applyBorder="1"/>
    <xf numFmtId="0" fontId="0" fillId="3" borderId="21" xfId="0" applyFill="1" applyBorder="1"/>
    <xf numFmtId="0" fontId="0" fillId="3" borderId="22" xfId="0" applyFill="1" applyBorder="1"/>
    <xf numFmtId="1" fontId="0" fillId="5" borderId="30" xfId="0" applyNumberFormat="1" applyFill="1" applyBorder="1" applyAlignment="1">
      <alignment horizontal="right" vertical="center"/>
    </xf>
    <xf numFmtId="2" fontId="0" fillId="11" borderId="35" xfId="0" applyNumberFormat="1" applyFill="1" applyBorder="1" applyAlignment="1">
      <alignment horizontal="right" vertical="center"/>
    </xf>
    <xf numFmtId="2" fontId="0" fillId="11" borderId="12" xfId="0" applyNumberFormat="1" applyFill="1" applyBorder="1" applyAlignment="1">
      <alignment horizontal="right" vertical="center"/>
    </xf>
    <xf numFmtId="2" fontId="0" fillId="11" borderId="36" xfId="0" applyNumberFormat="1" applyFill="1" applyBorder="1" applyAlignment="1">
      <alignment horizontal="right" vertical="center"/>
    </xf>
    <xf numFmtId="2" fontId="0" fillId="5" borderId="31" xfId="0" applyNumberFormat="1" applyFill="1" applyBorder="1" applyAlignment="1">
      <alignment horizontal="right" vertical="center"/>
    </xf>
    <xf numFmtId="2" fontId="0" fillId="5" borderId="2" xfId="0" applyNumberFormat="1" applyFill="1" applyBorder="1" applyAlignment="1">
      <alignment horizontal="right" vertical="center"/>
    </xf>
    <xf numFmtId="2" fontId="0" fillId="5" borderId="29" xfId="0" applyNumberFormat="1" applyFill="1" applyBorder="1" applyAlignment="1">
      <alignment horizontal="right" vertical="center"/>
    </xf>
    <xf numFmtId="2" fontId="0" fillId="5" borderId="4" xfId="0" applyNumberFormat="1" applyFill="1" applyBorder="1" applyAlignment="1">
      <alignment horizontal="right" vertical="center"/>
    </xf>
    <xf numFmtId="2" fontId="0" fillId="11" borderId="37" xfId="0" applyNumberFormat="1" applyFill="1" applyBorder="1" applyAlignment="1">
      <alignment horizontal="right" vertical="center"/>
    </xf>
    <xf numFmtId="2" fontId="0" fillId="11" borderId="13" xfId="0" applyNumberFormat="1" applyFill="1" applyBorder="1" applyAlignment="1">
      <alignment horizontal="right" vertical="center"/>
    </xf>
    <xf numFmtId="2" fontId="0" fillId="11" borderId="38" xfId="0" applyNumberFormat="1" applyFill="1" applyBorder="1" applyAlignment="1">
      <alignment horizontal="right" vertical="center"/>
    </xf>
    <xf numFmtId="0" fontId="5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164" fontId="0" fillId="0" borderId="0" xfId="0" applyNumberForma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3" xfId="0" applyNumberFormat="1" applyBorder="1" applyAlignment="1">
      <alignment horizontal="center" vertical="center"/>
    </xf>
    <xf numFmtId="49" fontId="0" fillId="0" borderId="3" xfId="0" applyNumberFormat="1" applyBorder="1" applyAlignment="1">
      <alignment vertical="center" wrapText="1"/>
    </xf>
    <xf numFmtId="0" fontId="2" fillId="0" borderId="5" xfId="0" applyFont="1" applyBorder="1" applyAlignment="1">
      <alignment horizontal="center" vertical="center" wrapText="1"/>
    </xf>
    <xf numFmtId="49" fontId="0" fillId="0" borderId="6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center" vertical="center" wrapText="1"/>
    </xf>
    <xf numFmtId="0" fontId="0" fillId="0" borderId="0" xfId="0" applyAlignment="1">
      <alignment horizontal="center" vertical="center" wrapText="1"/>
    </xf>
    <xf numFmtId="0" fontId="0" fillId="13" borderId="40" xfId="0" applyFill="1" applyBorder="1"/>
    <xf numFmtId="0" fontId="0" fillId="0" borderId="40" xfId="0" applyBorder="1"/>
    <xf numFmtId="0" fontId="0" fillId="14" borderId="0" xfId="0" applyFill="1"/>
    <xf numFmtId="0" fontId="2" fillId="0" borderId="0" xfId="0" applyFont="1" applyAlignment="1">
      <alignment horizontal="center" vertical="center"/>
    </xf>
    <xf numFmtId="0" fontId="7" fillId="10" borderId="19" xfId="1" applyBorder="1"/>
    <xf numFmtId="0" fontId="7" fillId="10" borderId="18" xfId="1" applyBorder="1"/>
    <xf numFmtId="2" fontId="7" fillId="10" borderId="19" xfId="1" applyNumberFormat="1" applyBorder="1"/>
    <xf numFmtId="164" fontId="7" fillId="10" borderId="19" xfId="1" applyNumberFormat="1" applyBorder="1"/>
    <xf numFmtId="164" fontId="7" fillId="10" borderId="20" xfId="1" applyNumberFormat="1" applyBorder="1"/>
    <xf numFmtId="0" fontId="0" fillId="0" borderId="7" xfId="0" applyBorder="1"/>
    <xf numFmtId="2" fontId="7" fillId="10" borderId="1" xfId="1" applyNumberFormat="1" applyBorder="1"/>
    <xf numFmtId="2" fontId="0" fillId="0" borderId="7" xfId="0" applyNumberFormat="1" applyBorder="1"/>
    <xf numFmtId="14" fontId="5" fillId="0" borderId="17" xfId="0" applyNumberFormat="1" applyFont="1" applyBorder="1" applyAlignment="1">
      <alignment horizontal="center" vertical="center"/>
    </xf>
    <xf numFmtId="14" fontId="5" fillId="0" borderId="7" xfId="0" applyNumberFormat="1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10" fillId="6" borderId="26" xfId="0" applyFont="1" applyFill="1" applyBorder="1" applyAlignment="1">
      <alignment horizontal="center" vertical="center"/>
    </xf>
    <xf numFmtId="0" fontId="10" fillId="6" borderId="27" xfId="0" applyFont="1" applyFill="1" applyBorder="1" applyAlignment="1">
      <alignment horizontal="center" vertical="center"/>
    </xf>
    <xf numFmtId="0" fontId="10" fillId="6" borderId="34" xfId="0" applyFont="1" applyFill="1" applyBorder="1" applyAlignment="1">
      <alignment horizontal="center" vertical="center"/>
    </xf>
    <xf numFmtId="0" fontId="10" fillId="6" borderId="28" xfId="0" applyFont="1" applyFill="1" applyBorder="1" applyAlignment="1">
      <alignment horizontal="center" vertical="center"/>
    </xf>
    <xf numFmtId="0" fontId="4" fillId="17" borderId="1" xfId="0" applyFont="1" applyFill="1" applyBorder="1" applyAlignment="1">
      <alignment horizontal="center" vertical="center"/>
    </xf>
    <xf numFmtId="16" fontId="7" fillId="10" borderId="1" xfId="1" applyNumberFormat="1" applyBorder="1" applyAlignment="1">
      <alignment horizontal="center" vertical="center"/>
    </xf>
    <xf numFmtId="16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16" fontId="7" fillId="10" borderId="19" xfId="1" applyNumberFormat="1" applyBorder="1" applyAlignment="1">
      <alignment horizontal="center" vertical="center"/>
    </xf>
    <xf numFmtId="16" fontId="9" fillId="15" borderId="1" xfId="2" applyNumberFormat="1" applyFont="1" applyFill="1" applyBorder="1" applyAlignment="1">
      <alignment horizontal="center" vertical="center"/>
    </xf>
    <xf numFmtId="1" fontId="9" fillId="15" borderId="1" xfId="2" applyNumberFormat="1" applyFont="1" applyFill="1" applyBorder="1" applyAlignment="1">
      <alignment horizontal="center" vertical="center"/>
    </xf>
    <xf numFmtId="1" fontId="7" fillId="10" borderId="1" xfId="1" applyNumberFormat="1" applyBorder="1" applyAlignment="1">
      <alignment horizontal="center" vertical="center"/>
    </xf>
    <xf numFmtId="16" fontId="11" fillId="16" borderId="1" xfId="3" applyNumberFormat="1" applyBorder="1" applyAlignment="1">
      <alignment horizontal="center" vertical="center"/>
    </xf>
    <xf numFmtId="1" fontId="11" fillId="16" borderId="1" xfId="3" applyNumberFormat="1" applyBorder="1" applyAlignment="1">
      <alignment horizontal="center" vertical="center"/>
    </xf>
    <xf numFmtId="0" fontId="9" fillId="15" borderId="1" xfId="2" applyFont="1" applyFill="1" applyBorder="1" applyAlignment="1">
      <alignment horizontal="center" vertical="center"/>
    </xf>
    <xf numFmtId="1" fontId="9" fillId="15" borderId="1" xfId="0" applyNumberFormat="1" applyFont="1" applyFill="1" applyBorder="1" applyAlignment="1">
      <alignment horizontal="center" vertical="center"/>
    </xf>
    <xf numFmtId="0" fontId="7" fillId="10" borderId="1" xfId="1" applyBorder="1" applyAlignment="1">
      <alignment horizontal="center" vertical="center"/>
    </xf>
    <xf numFmtId="0" fontId="11" fillId="16" borderId="1" xfId="3" applyBorder="1" applyAlignment="1">
      <alignment horizontal="center" vertical="center"/>
    </xf>
    <xf numFmtId="0" fontId="7" fillId="10" borderId="19" xfId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16" fontId="0" fillId="0" borderId="7" xfId="0" applyNumberFormat="1" applyBorder="1" applyAlignment="1">
      <alignment horizontal="center" vertical="center"/>
    </xf>
    <xf numFmtId="1" fontId="0" fillId="0" borderId="7" xfId="0" applyNumberForma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" fontId="0" fillId="0" borderId="5" xfId="0" applyNumberFormat="1" applyBorder="1" applyAlignment="1">
      <alignment horizontal="center" vertical="center"/>
    </xf>
    <xf numFmtId="1" fontId="0" fillId="0" borderId="5" xfId="0" applyNumberFormat="1" applyBorder="1" applyAlignment="1">
      <alignment horizontal="center" vertical="center"/>
    </xf>
    <xf numFmtId="0" fontId="9" fillId="15" borderId="7" xfId="2" applyFont="1" applyFill="1" applyBorder="1" applyAlignment="1">
      <alignment horizontal="center" vertical="center"/>
    </xf>
    <xf numFmtId="16" fontId="9" fillId="15" borderId="7" xfId="2" applyNumberFormat="1" applyFont="1" applyFill="1" applyBorder="1" applyAlignment="1">
      <alignment horizontal="center" vertical="center"/>
    </xf>
    <xf numFmtId="1" fontId="9" fillId="15" borderId="7" xfId="0" applyNumberFormat="1" applyFont="1" applyFill="1" applyBorder="1" applyAlignment="1">
      <alignment horizontal="center" vertical="center"/>
    </xf>
    <xf numFmtId="0" fontId="7" fillId="10" borderId="7" xfId="1" applyBorder="1" applyAlignment="1">
      <alignment horizontal="center" vertical="center"/>
    </xf>
    <xf numFmtId="16" fontId="7" fillId="10" borderId="7" xfId="1" applyNumberFormat="1" applyBorder="1" applyAlignment="1">
      <alignment horizontal="center" vertical="center"/>
    </xf>
    <xf numFmtId="1" fontId="7" fillId="10" borderId="19" xfId="1" applyNumberFormat="1" applyBorder="1" applyAlignment="1">
      <alignment horizontal="center" vertical="center"/>
    </xf>
    <xf numFmtId="0" fontId="0" fillId="0" borderId="0" xfId="0" applyAlignment="1">
      <alignment horizontal="center"/>
    </xf>
    <xf numFmtId="0" fontId="7" fillId="10" borderId="5" xfId="1" applyBorder="1" applyAlignment="1">
      <alignment horizontal="center" vertical="center"/>
    </xf>
    <xf numFmtId="16" fontId="7" fillId="10" borderId="5" xfId="1" applyNumberFormat="1" applyBorder="1" applyAlignment="1">
      <alignment horizontal="center" vertical="center"/>
    </xf>
    <xf numFmtId="1" fontId="7" fillId="10" borderId="5" xfId="1" applyNumberFormat="1" applyBorder="1" applyAlignment="1">
      <alignment horizontal="center" vertical="center"/>
    </xf>
    <xf numFmtId="1" fontId="7" fillId="10" borderId="7" xfId="1" applyNumberFormat="1" applyBorder="1" applyAlignment="1">
      <alignment horizontal="center" vertical="center"/>
    </xf>
    <xf numFmtId="1" fontId="7" fillId="10" borderId="14" xfId="1" applyNumberFormat="1" applyBorder="1" applyAlignment="1">
      <alignment horizontal="center" vertical="center"/>
    </xf>
    <xf numFmtId="0" fontId="13" fillId="10" borderId="42" xfId="1" applyFont="1" applyBorder="1" applyAlignment="1">
      <alignment horizontal="center" vertical="center"/>
    </xf>
    <xf numFmtId="16" fontId="13" fillId="10" borderId="42" xfId="1" applyNumberFormat="1" applyFont="1" applyBorder="1" applyAlignment="1">
      <alignment horizontal="center" vertical="center"/>
    </xf>
    <xf numFmtId="1" fontId="13" fillId="10" borderId="42" xfId="1" applyNumberFormat="1" applyFont="1" applyBorder="1" applyAlignment="1">
      <alignment horizontal="center" vertical="center"/>
    </xf>
    <xf numFmtId="0" fontId="13" fillId="10" borderId="5" xfId="1" applyFont="1" applyBorder="1" applyAlignment="1">
      <alignment horizontal="center" vertical="center"/>
    </xf>
    <xf numFmtId="16" fontId="13" fillId="10" borderId="5" xfId="1" applyNumberFormat="1" applyFont="1" applyBorder="1" applyAlignment="1">
      <alignment horizontal="center" vertical="center"/>
    </xf>
    <xf numFmtId="1" fontId="13" fillId="10" borderId="5" xfId="1" applyNumberFormat="1" applyFont="1" applyBorder="1" applyAlignment="1">
      <alignment horizontal="center" vertical="center"/>
    </xf>
    <xf numFmtId="16" fontId="5" fillId="0" borderId="7" xfId="0" applyNumberFormat="1" applyFont="1" applyBorder="1" applyAlignment="1">
      <alignment horizontal="center" vertical="center"/>
    </xf>
    <xf numFmtId="1" fontId="5" fillId="0" borderId="7" xfId="0" applyNumberFormat="1" applyFont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4" fillId="0" borderId="44" xfId="0" applyFont="1" applyBorder="1" applyAlignment="1">
      <alignment horizontal="center" vertical="center"/>
    </xf>
    <xf numFmtId="14" fontId="0" fillId="0" borderId="44" xfId="0" applyNumberFormat="1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43" xfId="0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7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4" fillId="0" borderId="46" xfId="0" applyFont="1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0" fillId="0" borderId="46" xfId="0" applyBorder="1" applyAlignment="1">
      <alignment horizontal="center" vertical="center"/>
    </xf>
    <xf numFmtId="0" fontId="0" fillId="0" borderId="48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0" fontId="5" fillId="0" borderId="51" xfId="0" applyFont="1" applyBorder="1" applyAlignment="1">
      <alignment horizontal="center" vertical="center"/>
    </xf>
    <xf numFmtId="0" fontId="5" fillId="0" borderId="54" xfId="0" applyFont="1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0" xfId="0" applyBorder="1" applyAlignment="1">
      <alignment horizontal="center" vertical="center"/>
    </xf>
    <xf numFmtId="2" fontId="0" fillId="0" borderId="50" xfId="0" applyNumberFormat="1" applyBorder="1" applyAlignment="1">
      <alignment horizontal="center" vertical="center"/>
    </xf>
    <xf numFmtId="166" fontId="0" fillId="0" borderId="50" xfId="0" applyNumberFormat="1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49" xfId="0" applyBorder="1" applyAlignment="1">
      <alignment horizontal="center" vertical="center"/>
    </xf>
    <xf numFmtId="2" fontId="0" fillId="0" borderId="49" xfId="0" applyNumberFormat="1" applyBorder="1" applyAlignment="1">
      <alignment horizontal="center" vertical="center"/>
    </xf>
    <xf numFmtId="49" fontId="0" fillId="7" borderId="15" xfId="0" applyNumberFormat="1" applyFill="1" applyBorder="1"/>
    <xf numFmtId="49" fontId="0" fillId="7" borderId="55" xfId="0" applyNumberFormat="1" applyFill="1" applyBorder="1"/>
    <xf numFmtId="49" fontId="0" fillId="7" borderId="16" xfId="0" applyNumberFormat="1" applyFill="1" applyBorder="1"/>
    <xf numFmtId="49" fontId="0" fillId="7" borderId="0" xfId="0" applyNumberFormat="1" applyFill="1"/>
    <xf numFmtId="49" fontId="7" fillId="10" borderId="0" xfId="1" applyNumberFormat="1" applyBorder="1"/>
    <xf numFmtId="49" fontId="0" fillId="7" borderId="56" xfId="0" applyNumberFormat="1" applyFill="1" applyBorder="1"/>
    <xf numFmtId="49" fontId="0" fillId="7" borderId="57" xfId="0" applyNumberFormat="1" applyFill="1" applyBorder="1"/>
    <xf numFmtId="49" fontId="0" fillId="7" borderId="58" xfId="0" applyNumberFormat="1" applyFill="1" applyBorder="1"/>
    <xf numFmtId="49" fontId="5" fillId="7" borderId="0" xfId="0" applyNumberFormat="1" applyFont="1" applyFill="1" applyAlignment="1">
      <alignment horizontal="center" vertical="center"/>
    </xf>
    <xf numFmtId="49" fontId="7" fillId="10" borderId="0" xfId="1" applyNumberFormat="1" applyBorder="1" applyAlignment="1">
      <alignment horizontal="center" vertical="center"/>
    </xf>
    <xf numFmtId="49" fontId="5" fillId="7" borderId="0" xfId="0" applyNumberFormat="1" applyFont="1" applyFill="1" applyAlignment="1">
      <alignment horizontal="center"/>
    </xf>
    <xf numFmtId="167" fontId="0" fillId="0" borderId="50" xfId="0" applyNumberFormat="1" applyBorder="1" applyAlignment="1">
      <alignment horizontal="center" vertical="center"/>
    </xf>
    <xf numFmtId="167" fontId="0" fillId="0" borderId="49" xfId="0" applyNumberFormat="1" applyBorder="1" applyAlignment="1">
      <alignment horizontal="center" vertical="center"/>
    </xf>
    <xf numFmtId="0" fontId="2" fillId="22" borderId="1" xfId="0" applyFont="1" applyFill="1" applyBorder="1" applyAlignment="1">
      <alignment horizontal="center" vertical="center" wrapText="1"/>
    </xf>
    <xf numFmtId="0" fontId="2" fillId="3" borderId="12" xfId="0" applyFont="1" applyFill="1" applyBorder="1" applyAlignment="1">
      <alignment horizontal="center" vertical="center"/>
    </xf>
    <xf numFmtId="0" fontId="2" fillId="0" borderId="13" xfId="0" applyFont="1" applyBorder="1" applyAlignment="1">
      <alignment horizontal="center" vertical="center" wrapText="1"/>
    </xf>
    <xf numFmtId="0" fontId="2" fillId="4" borderId="13" xfId="0" applyFont="1" applyFill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166" fontId="0" fillId="0" borderId="49" xfId="0" applyNumberFormat="1" applyBorder="1" applyAlignment="1">
      <alignment horizontal="center" vertical="center"/>
    </xf>
    <xf numFmtId="0" fontId="7" fillId="10" borderId="14" xfId="1" applyBorder="1" applyAlignment="1">
      <alignment horizontal="center" vertical="center"/>
    </xf>
    <xf numFmtId="16" fontId="7" fillId="10" borderId="14" xfId="1" applyNumberFormat="1" applyBorder="1" applyAlignment="1">
      <alignment horizontal="center" vertical="center"/>
    </xf>
    <xf numFmtId="0" fontId="19" fillId="23" borderId="7" xfId="4" applyBorder="1" applyAlignment="1">
      <alignment horizontal="center" vertical="center"/>
    </xf>
    <xf numFmtId="16" fontId="19" fillId="23" borderId="7" xfId="4" applyNumberFormat="1" applyBorder="1" applyAlignment="1">
      <alignment horizontal="center" vertical="center"/>
    </xf>
    <xf numFmtId="1" fontId="19" fillId="23" borderId="7" xfId="4" applyNumberFormat="1" applyBorder="1" applyAlignment="1">
      <alignment horizontal="center" vertical="center"/>
    </xf>
    <xf numFmtId="0" fontId="19" fillId="2" borderId="10" xfId="4" applyFill="1" applyBorder="1" applyAlignment="1">
      <alignment horizontal="center" vertical="center"/>
    </xf>
    <xf numFmtId="16" fontId="19" fillId="2" borderId="10" xfId="4" applyNumberFormat="1" applyFill="1" applyBorder="1" applyAlignment="1">
      <alignment horizontal="center" vertical="center"/>
    </xf>
    <xf numFmtId="1" fontId="19" fillId="2" borderId="10" xfId="4" applyNumberFormat="1" applyFill="1" applyBorder="1" applyAlignment="1">
      <alignment horizontal="center" vertical="center"/>
    </xf>
    <xf numFmtId="15" fontId="0" fillId="0" borderId="0" xfId="0" applyNumberFormat="1" applyAlignment="1">
      <alignment horizontal="center" vertical="center"/>
    </xf>
    <xf numFmtId="0" fontId="0" fillId="24" borderId="0" xfId="0" applyFill="1" applyAlignment="1">
      <alignment horizontal="center" vertical="center"/>
    </xf>
    <xf numFmtId="164" fontId="0" fillId="24" borderId="0" xfId="0" applyNumberFormat="1" applyFill="1" applyAlignment="1">
      <alignment horizontal="center" vertical="center"/>
    </xf>
    <xf numFmtId="0" fontId="0" fillId="24" borderId="0" xfId="0" applyFill="1" applyAlignment="1">
      <alignment horizontal="center" vertical="center" wrapText="1"/>
    </xf>
    <xf numFmtId="0" fontId="4" fillId="9" borderId="41" xfId="0" applyFont="1" applyFill="1" applyBorder="1" applyAlignment="1">
      <alignment horizontal="center"/>
    </xf>
    <xf numFmtId="0" fontId="4" fillId="9" borderId="0" xfId="0" applyFont="1" applyFill="1" applyAlignment="1">
      <alignment horizontal="center"/>
    </xf>
    <xf numFmtId="0" fontId="8" fillId="9" borderId="0" xfId="0" applyFont="1" applyFill="1" applyAlignment="1">
      <alignment horizontal="center" vertical="center"/>
    </xf>
    <xf numFmtId="0" fontId="15" fillId="19" borderId="0" xfId="0" applyFont="1" applyFill="1" applyAlignment="1">
      <alignment horizontal="center" vertical="center"/>
    </xf>
    <xf numFmtId="0" fontId="16" fillId="0" borderId="0" xfId="0" applyFont="1" applyAlignment="1">
      <alignment horizontal="center"/>
    </xf>
    <xf numFmtId="0" fontId="17" fillId="20" borderId="0" xfId="0" applyFont="1" applyFill="1" applyAlignment="1">
      <alignment horizontal="center"/>
    </xf>
    <xf numFmtId="0" fontId="18" fillId="21" borderId="0" xfId="0" applyFont="1" applyFill="1" applyAlignment="1">
      <alignment horizontal="center" vertical="center" wrapText="1"/>
    </xf>
    <xf numFmtId="49" fontId="6" fillId="8" borderId="15" xfId="0" applyNumberFormat="1" applyFont="1" applyFill="1" applyBorder="1" applyAlignment="1">
      <alignment horizontal="center" vertical="center"/>
    </xf>
    <xf numFmtId="49" fontId="6" fillId="8" borderId="55" xfId="0" applyNumberFormat="1" applyFont="1" applyFill="1" applyBorder="1" applyAlignment="1">
      <alignment horizontal="center" vertical="center"/>
    </xf>
    <xf numFmtId="49" fontId="6" fillId="8" borderId="16" xfId="0" applyNumberFormat="1" applyFont="1" applyFill="1" applyBorder="1" applyAlignment="1">
      <alignment horizontal="center" vertical="center"/>
    </xf>
    <xf numFmtId="0" fontId="10" fillId="6" borderId="23" xfId="0" applyFont="1" applyFill="1" applyBorder="1" applyAlignment="1">
      <alignment horizontal="center" vertical="center"/>
    </xf>
    <xf numFmtId="0" fontId="10" fillId="6" borderId="24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4" fillId="18" borderId="43" xfId="0" applyFont="1" applyFill="1" applyBorder="1" applyAlignment="1">
      <alignment horizontal="center" vertical="center"/>
    </xf>
    <xf numFmtId="0" fontId="4" fillId="18" borderId="44" xfId="0" applyFont="1" applyFill="1" applyBorder="1" applyAlignment="1">
      <alignment horizontal="center" vertical="center"/>
    </xf>
    <xf numFmtId="0" fontId="4" fillId="18" borderId="0" xfId="0" applyFont="1" applyFill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19" fillId="23" borderId="5" xfId="4" applyBorder="1" applyAlignment="1">
      <alignment horizontal="center" vertical="center"/>
    </xf>
    <xf numFmtId="16" fontId="19" fillId="23" borderId="5" xfId="4" applyNumberFormat="1" applyBorder="1" applyAlignment="1">
      <alignment horizontal="center" vertical="center"/>
    </xf>
    <xf numFmtId="1" fontId="19" fillId="23" borderId="5" xfId="4" applyNumberFormat="1" applyBorder="1" applyAlignment="1">
      <alignment horizontal="center" vertical="center"/>
    </xf>
  </cellXfs>
  <cellStyles count="5">
    <cellStyle name="Bad" xfId="3" builtinId="27"/>
    <cellStyle name="Check Cell" xfId="2" builtinId="23"/>
    <cellStyle name="Good" xfId="1" builtinId="26"/>
    <cellStyle name="Neutral" xfId="4" builtinId="28"/>
    <cellStyle name="Normal" xfId="0" builtinId="0"/>
  </cellStyles>
  <dxfs count="114"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 patternType="solid">
          <fgColor indexed="64"/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numFmt numFmtId="30" formatCode="@"/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numFmt numFmtId="30" formatCode="@"/>
      <alignment horizontal="general" vertical="center" textRotation="0" wrapText="1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thin">
          <color indexed="64"/>
        </bottom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 style="thin">
          <color indexed="64"/>
        </horizontal>
      </border>
    </dxf>
    <dxf>
      <fill>
        <patternFill patternType="none"/>
      </fill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ill>
        <patternFill patternType="none"/>
      </fill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indexed="64"/>
          <bgColor rgb="FFD9E2F3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/>
        </left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8" formatCode="m/d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/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0" tint="-0.14999847407452621"/>
          <bgColor theme="0" tint="-0.14999847407452621"/>
        </patternFill>
      </fill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2" formatCode="0.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67" formatCode="0.000"/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/>
        <top style="thin">
          <color theme="5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5"/>
        </top>
        <bottom/>
        <vertical/>
        <horizontal/>
      </border>
    </dxf>
    <dxf>
      <border outline="0">
        <left style="thin">
          <color theme="5"/>
        </left>
        <right style="thin">
          <color theme="5"/>
        </right>
        <top style="thin">
          <color theme="5"/>
        </top>
        <bottom style="thin">
          <color theme="5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>
          <fgColor theme="5" tint="0.79998168889431442"/>
          <bgColor theme="5" tint="0.79998168889431442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5"/>
        </left>
        <right style="thin">
          <color theme="5"/>
        </right>
        <top/>
        <bottom/>
      </border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  <vertical/>
        <horizontal/>
      </border>
    </dxf>
    <dxf>
      <numFmt numFmtId="164" formatCode="[$-F800]dddd\,\ mmmm\ dd\,\ yyyy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</font>
      <alignment horizontal="center" vertical="center" textRotation="0" wrapText="0" indent="0" justifyLastLine="0" shrinkToFit="0" readingOrder="0"/>
    </dxf>
    <dxf>
      <fill>
        <patternFill patternType="solid">
          <fgColor indexed="64"/>
          <bgColor rgb="FFFFDC8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numFmt numFmtId="164" formatCode="[$-F800]dddd\,\ mmmm\ dd\,\ yyyy"/>
      <border diagonalUp="0" diagonalDown="0">
        <left style="thin">
          <color indexed="64"/>
        </left>
        <right/>
        <top style="thin">
          <color indexed="64"/>
        </top>
        <bottom/>
        <vertical/>
        <horizontal/>
      </border>
    </dxf>
    <dxf>
      <numFmt numFmtId="164" formatCode="[$-F800]dddd\,\ mmmm\ dd\,\ yyyy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2" formatCode="0.0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/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colors>
    <mruColors>
      <color rgb="FFFFDC81"/>
      <color rgb="FFEA503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17/10/relationships/person" Target="persons/perso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eetMetadata" Target="metadata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'Logbook Totals'!$O$3</c:f>
          <c:strCache>
            <c:ptCount val="1"/>
            <c:pt idx="0">
              <c:v>Total Activity Hours — Oct 19, 2026 to Oct 25, 2026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tx>
            <c:v>Weekly Hours</c:v>
          </c:tx>
          <c:spPr>
            <a:gradFill rotWithShape="1">
              <a:gsLst>
                <a:gs pos="0">
                  <a:schemeClr val="accent1">
                    <a:satMod val="103000"/>
                    <a:lumMod val="102000"/>
                    <a:tint val="94000"/>
                  </a:schemeClr>
                </a:gs>
                <a:gs pos="50000">
                  <a:schemeClr val="accent1">
                    <a:satMod val="110000"/>
                    <a:lumMod val="100000"/>
                    <a:shade val="100000"/>
                  </a:schemeClr>
                </a:gs>
                <a:gs pos="100000">
                  <a:schemeClr val="accent1">
                    <a:lumMod val="99000"/>
                    <a:satMod val="120000"/>
                    <a:shade val="78000"/>
                  </a:schemeClr>
                </a:gs>
              </a:gsLst>
              <a:lin ang="5400000" scaled="0"/>
            </a:gradFill>
            <a:ln>
              <a:noFill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invertIfNegative val="0"/>
          <c:dLbls>
            <c:numFmt formatCode="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lt1">
                        <a:lumMod val="8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lt1">
                          <a:lumMod val="95000"/>
                          <a:alpha val="54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'Logbook Totals'!$C$3:$C$10</c:f>
              <c:strCache>
                <c:ptCount val="8"/>
                <c:pt idx="0">
                  <c:v>Gym Training</c:v>
                </c:pt>
                <c:pt idx="1">
                  <c:v>Deutsch Lernen</c:v>
                </c:pt>
                <c:pt idx="2">
                  <c:v>Deutsch Flashcards</c:v>
                </c:pt>
                <c:pt idx="3">
                  <c:v>Career Development</c:v>
                </c:pt>
                <c:pt idx="4">
                  <c:v>Calisthenics</c:v>
                </c:pt>
                <c:pt idx="5">
                  <c:v>Kung Fu Training</c:v>
                </c:pt>
                <c:pt idx="6">
                  <c:v>Guitar Practice</c:v>
                </c:pt>
                <c:pt idx="7">
                  <c:v>Scrolling</c:v>
                </c:pt>
              </c:strCache>
            </c:strRef>
          </c:cat>
          <c:val>
            <c:numRef>
              <c:f>'Logbook Totals'!$L$3:$L$10</c:f>
              <c:numCache>
                <c:formatCode>0.00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707-4DBC-8F7D-409AED394E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5"/>
        <c:overlap val="-20"/>
        <c:axId val="1106804240"/>
        <c:axId val="2002712495"/>
      </c:barChart>
      <c:catAx>
        <c:axId val="1106804240"/>
        <c:scaling>
          <c:orientation val="maxMin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2700" cap="flat" cmpd="sng" algn="ctr">
            <a:solidFill>
              <a:schemeClr val="lt1">
                <a:lumMod val="95000"/>
                <a:alpha val="54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02712495"/>
        <c:crosses val="autoZero"/>
        <c:auto val="1"/>
        <c:lblAlgn val="ctr"/>
        <c:lblOffset val="100"/>
        <c:noMultiLvlLbl val="0"/>
      </c:catAx>
      <c:valAx>
        <c:axId val="2002712495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06804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2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ize="5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hyperlink" Target="#'Calisthenics Routine'!A1"/><Relationship Id="rId3" Type="http://schemas.openxmlformats.org/officeDocument/2006/relationships/hyperlink" Target="#Schedule!A1"/><Relationship Id="rId7" Type="http://schemas.openxmlformats.org/officeDocument/2006/relationships/hyperlink" Target="#'Study Tracker'!A1"/><Relationship Id="rId2" Type="http://schemas.openxmlformats.org/officeDocument/2006/relationships/hyperlink" Target="#'Detailed Planning'!A1"/><Relationship Id="rId1" Type="http://schemas.openxmlformats.org/officeDocument/2006/relationships/hyperlink" Target="#'Vision Board'!A1"/><Relationship Id="rId6" Type="http://schemas.openxmlformats.org/officeDocument/2006/relationships/hyperlink" Target="#'To-Do List'!A1"/><Relationship Id="rId5" Type="http://schemas.openxmlformats.org/officeDocument/2006/relationships/hyperlink" Target="#'Recurrent Tasks Tracker'!A1"/><Relationship Id="rId4" Type="http://schemas.openxmlformats.org/officeDocument/2006/relationships/hyperlink" Target="#Logbook!A1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hyperlink" Target="#'Logbook Totals'!A1"/><Relationship Id="rId1" Type="http://schemas.openxmlformats.org/officeDocument/2006/relationships/hyperlink" Target="#MAI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.xml"/><Relationship Id="rId1" Type="http://schemas.openxmlformats.org/officeDocument/2006/relationships/hyperlink" Target="#Logbook!A1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hyperlink" Target="#'Study Tracker Totals'!A1"/><Relationship Id="rId1" Type="http://schemas.openxmlformats.org/officeDocument/2006/relationships/hyperlink" Target="#MAIN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hyperlink" Target="#'Study Tracker'!A1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hyperlink" Target="#MAIN!A1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4</xdr:row>
      <xdr:rowOff>7620</xdr:rowOff>
    </xdr:from>
    <xdr:ext cx="3657600" cy="834390"/>
    <xdr:sp macro="" textlink="">
      <xdr:nvSpPr>
        <xdr:cNvPr id="2" name="Menu - Vision Board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62481F5E-9172-4386-B7A9-792EE7D86E81}"/>
            </a:ext>
          </a:extLst>
        </xdr:cNvPr>
        <xdr:cNvSpPr/>
      </xdr:nvSpPr>
      <xdr:spPr>
        <a:xfrm>
          <a:off x="3048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VISION BOARD</a:t>
          </a:r>
        </a:p>
      </xdr:txBody>
    </xdr:sp>
    <xdr:clientData/>
  </xdr:oneCellAnchor>
  <xdr:oneCellAnchor>
    <xdr:from>
      <xdr:col>6</xdr:col>
      <xdr:colOff>0</xdr:colOff>
      <xdr:row>4</xdr:row>
      <xdr:rowOff>7620</xdr:rowOff>
    </xdr:from>
    <xdr:ext cx="3657600" cy="834390"/>
    <xdr:sp macro="" textlink="">
      <xdr:nvSpPr>
        <xdr:cNvPr id="3" name="Menu - Detailed Planning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384EA554-EC71-4C9B-AB4D-9B46341DF9B0}"/>
            </a:ext>
          </a:extLst>
        </xdr:cNvPr>
        <xdr:cNvSpPr/>
      </xdr:nvSpPr>
      <xdr:spPr>
        <a:xfrm>
          <a:off x="4267200" y="1171575"/>
          <a:ext cx="3657600" cy="834390"/>
        </a:xfrm>
        <a:prstGeom prst="roundRect">
          <a:avLst/>
        </a:prstGeom>
        <a:solidFill>
          <a:srgbClr val="2F75B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DETAILED PLANNING</a:t>
          </a:r>
        </a:p>
      </xdr:txBody>
    </xdr:sp>
    <xdr:clientData/>
  </xdr:oneCellAnchor>
  <xdr:oneCellAnchor>
    <xdr:from>
      <xdr:col>1</xdr:col>
      <xdr:colOff>0</xdr:colOff>
      <xdr:row>7</xdr:row>
      <xdr:rowOff>150495</xdr:rowOff>
    </xdr:from>
    <xdr:ext cx="3657600" cy="842010"/>
    <xdr:sp macro="" textlink="">
      <xdr:nvSpPr>
        <xdr:cNvPr id="4" name="Menu - Schedule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149BE11B-5BCB-48CF-98FD-53943BD2357F}"/>
            </a:ext>
          </a:extLst>
        </xdr:cNvPr>
        <xdr:cNvSpPr/>
      </xdr:nvSpPr>
      <xdr:spPr>
        <a:xfrm>
          <a:off x="3048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SCHEDULE</a:t>
          </a:r>
        </a:p>
      </xdr:txBody>
    </xdr:sp>
    <xdr:clientData/>
  </xdr:oneCellAnchor>
  <xdr:oneCellAnchor>
    <xdr:from>
      <xdr:col>6</xdr:col>
      <xdr:colOff>0</xdr:colOff>
      <xdr:row>7</xdr:row>
      <xdr:rowOff>150495</xdr:rowOff>
    </xdr:from>
    <xdr:ext cx="3657600" cy="842010"/>
    <xdr:sp macro="" textlink="">
      <xdr:nvSpPr>
        <xdr:cNvPr id="5" name="Menu - Logbook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A10AC08-3A55-4855-AD12-7027844ACD4B}"/>
            </a:ext>
          </a:extLst>
        </xdr:cNvPr>
        <xdr:cNvSpPr/>
      </xdr:nvSpPr>
      <xdr:spPr>
        <a:xfrm>
          <a:off x="4267200" y="2141220"/>
          <a:ext cx="3657600" cy="842010"/>
        </a:xfrm>
        <a:prstGeom prst="roundRect">
          <a:avLst/>
        </a:prstGeom>
        <a:solidFill>
          <a:srgbClr val="4472C4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LOGBOOK</a:t>
          </a:r>
        </a:p>
      </xdr:txBody>
    </xdr:sp>
    <xdr:clientData/>
  </xdr:oneCellAnchor>
  <xdr:oneCellAnchor>
    <xdr:from>
      <xdr:col>1</xdr:col>
      <xdr:colOff>0</xdr:colOff>
      <xdr:row>11</xdr:row>
      <xdr:rowOff>140970</xdr:rowOff>
    </xdr:from>
    <xdr:ext cx="3657600" cy="842010"/>
    <xdr:sp macro="" textlink="">
      <xdr:nvSpPr>
        <xdr:cNvPr id="6" name="Menu - Recurrent Tasks Tracker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0F1FECA4-0704-4E4D-9B95-4809AE8242A2}"/>
            </a:ext>
          </a:extLst>
        </xdr:cNvPr>
        <xdr:cNvSpPr/>
      </xdr:nvSpPr>
      <xdr:spPr>
        <a:xfrm>
          <a:off x="3048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RECURRENT TASKS TRACKER</a:t>
          </a:r>
        </a:p>
      </xdr:txBody>
    </xdr:sp>
    <xdr:clientData/>
  </xdr:oneCellAnchor>
  <xdr:oneCellAnchor>
    <xdr:from>
      <xdr:col>6</xdr:col>
      <xdr:colOff>0</xdr:colOff>
      <xdr:row>11</xdr:row>
      <xdr:rowOff>140970</xdr:rowOff>
    </xdr:from>
    <xdr:ext cx="3657600" cy="842010"/>
    <xdr:sp macro="" textlink="">
      <xdr:nvSpPr>
        <xdr:cNvPr id="7" name="Menu - To-Do List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D85829DD-503C-4822-8406-898FB89A1C8C}"/>
            </a:ext>
          </a:extLst>
        </xdr:cNvPr>
        <xdr:cNvSpPr/>
      </xdr:nvSpPr>
      <xdr:spPr>
        <a:xfrm>
          <a:off x="4267200" y="3110865"/>
          <a:ext cx="3657600" cy="842010"/>
        </a:xfrm>
        <a:prstGeom prst="roundRect">
          <a:avLst/>
        </a:prstGeom>
        <a:solidFill>
          <a:srgbClr val="5B9BD5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TO-DO LIST</a:t>
          </a:r>
        </a:p>
      </xdr:txBody>
    </xdr:sp>
    <xdr:clientData/>
  </xdr:oneCellAnchor>
  <xdr:oneCellAnchor>
    <xdr:from>
      <xdr:col>1</xdr:col>
      <xdr:colOff>0</xdr:colOff>
      <xdr:row>15</xdr:row>
      <xdr:rowOff>131445</xdr:rowOff>
    </xdr:from>
    <xdr:ext cx="3657600" cy="836295"/>
    <xdr:sp macro="" textlink="">
      <xdr:nvSpPr>
        <xdr:cNvPr id="8" name="Menu - Study Tracker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AAF3ECCC-4E26-4243-BD06-A164E435503D}"/>
            </a:ext>
          </a:extLst>
        </xdr:cNvPr>
        <xdr:cNvSpPr/>
      </xdr:nvSpPr>
      <xdr:spPr>
        <a:xfrm>
          <a:off x="3048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STUDY TRACKER</a:t>
          </a:r>
        </a:p>
      </xdr:txBody>
    </xdr:sp>
    <xdr:clientData/>
  </xdr:oneCellAnchor>
  <xdr:oneCellAnchor>
    <xdr:from>
      <xdr:col>6</xdr:col>
      <xdr:colOff>0</xdr:colOff>
      <xdr:row>15</xdr:row>
      <xdr:rowOff>131445</xdr:rowOff>
    </xdr:from>
    <xdr:ext cx="3657600" cy="836295"/>
    <xdr:sp macro="" textlink="">
      <xdr:nvSpPr>
        <xdr:cNvPr id="9" name="Menu - Calisthenics Routine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E56D593B-9EA1-4AF9-8DCA-C22373761A9C}"/>
            </a:ext>
          </a:extLst>
        </xdr:cNvPr>
        <xdr:cNvSpPr/>
      </xdr:nvSpPr>
      <xdr:spPr>
        <a:xfrm>
          <a:off x="4267200" y="4088130"/>
          <a:ext cx="3657600" cy="836295"/>
        </a:xfrm>
        <a:prstGeom prst="roundRect">
          <a:avLst/>
        </a:prstGeom>
        <a:solidFill>
          <a:srgbClr val="70AD47"/>
        </a:solidFill>
        <a:ln w="12700" cap="flat" cmpd="sng" algn="ctr">
          <a:solidFill>
            <a:srgbClr val="FFFFFF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CALISTHENICS ROUTINE</a:t>
          </a: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771051</xdr:colOff>
      <xdr:row>0</xdr:row>
      <xdr:rowOff>0</xdr:rowOff>
    </xdr:from>
    <xdr:ext cx="777240" cy="19050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3B6A3EE4-3781-4F95-9F4F-522715E54094}"/>
            </a:ext>
          </a:extLst>
        </xdr:cNvPr>
        <xdr:cNvSpPr/>
      </xdr:nvSpPr>
      <xdr:spPr>
        <a:xfrm>
          <a:off x="771051" y="0"/>
          <a:ext cx="7772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92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A282E406-D70F-4CEE-AAF8-13FEDF9442DC}"/>
            </a:ext>
          </a:extLst>
        </xdr:cNvPr>
        <xdr:cNvSpPr/>
      </xdr:nvSpPr>
      <xdr:spPr>
        <a:xfrm>
          <a:off x="0" y="0"/>
          <a:ext cx="792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5</xdr:col>
      <xdr:colOff>842106</xdr:colOff>
      <xdr:row>38</xdr:row>
      <xdr:rowOff>104770</xdr:rowOff>
    </xdr:from>
    <xdr:to>
      <xdr:col>6</xdr:col>
      <xdr:colOff>283533</xdr:colOff>
      <xdr:row>51</xdr:row>
      <xdr:rowOff>177209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93E68692-4C43-AE42-91D1-B9D66661417C}"/>
            </a:ext>
          </a:extLst>
        </xdr:cNvPr>
        <xdr:cNvSpPr/>
      </xdr:nvSpPr>
      <xdr:spPr>
        <a:xfrm>
          <a:off x="7248222" y="7255165"/>
          <a:ext cx="1869195" cy="251792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Modelltest 1:</a:t>
          </a:r>
        </a:p>
        <a:p>
          <a:pPr algn="l"/>
          <a:r>
            <a:rPr lang="en-US" sz="1100"/>
            <a:t>- Lesen Teil 1: 6/8</a:t>
          </a:r>
        </a:p>
        <a:p>
          <a:pPr algn="l"/>
          <a:r>
            <a:rPr lang="en-US" sz="1100"/>
            <a:t>-</a:t>
          </a:r>
          <a:r>
            <a:rPr lang="en-US" sz="1100" baseline="0"/>
            <a:t> Lesen Teil 2: 6/7</a:t>
          </a:r>
        </a:p>
        <a:p>
          <a:pPr algn="l"/>
          <a:r>
            <a:rPr lang="en-US" sz="1100" baseline="0"/>
            <a:t>- Lesen Teil 3: 3/8</a:t>
          </a:r>
        </a:p>
        <a:p>
          <a:pPr algn="l"/>
          <a:r>
            <a:rPr lang="en-US" sz="1100" baseline="0"/>
            <a:t>- Lesen Teil 4: 7/7</a:t>
          </a:r>
        </a:p>
        <a:p>
          <a:pPr algn="l"/>
          <a:r>
            <a:rPr lang="en-US" sz="1100" baseline="0"/>
            <a:t>- Hören Teil 1: 5/6</a:t>
          </a:r>
        </a:p>
        <a:p>
          <a:pPr algn="l"/>
          <a:r>
            <a:rPr lang="en-US" sz="1100" baseline="0"/>
            <a:t>- Hören Teil 2: 7/9</a:t>
          </a:r>
        </a:p>
        <a:p>
          <a:pPr algn="l"/>
          <a:r>
            <a:rPr lang="en-US" sz="1100" baseline="0"/>
            <a:t>- Hören Teil 3: 8/8</a:t>
          </a:r>
        </a:p>
        <a:p>
          <a:pPr algn="l"/>
          <a:r>
            <a:rPr lang="en-US" sz="1100" baseline="0"/>
            <a:t>- Hören Teil 4: 6/7</a:t>
          </a:r>
          <a:br>
            <a:rPr lang="en-US" sz="1100" baseline="0"/>
          </a:br>
          <a:r>
            <a:rPr lang="en-US" sz="1100" baseline="0"/>
            <a:t>- Schreiben Teil 1: 41/60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sz="1100"/>
            <a:t>- Schreiben Teil 2: </a:t>
          </a:r>
          <a:r>
            <a:rPr lang="en-US" sz="1100" b="0" i="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27,5/40</a:t>
          </a:r>
        </a:p>
        <a:p>
          <a:pPr algn="l"/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700479</xdr:colOff>
      <xdr:row>2</xdr:row>
      <xdr:rowOff>13644</xdr:rowOff>
    </xdr:from>
    <xdr:ext cx="1823085" cy="26860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C940FF1A-4B53-46B2-AB3E-6ED9CC5EF1C7}"/>
            </a:ext>
          </a:extLst>
        </xdr:cNvPr>
        <xdr:cNvSpPr/>
      </xdr:nvSpPr>
      <xdr:spPr>
        <a:xfrm>
          <a:off x="700479" y="405850"/>
          <a:ext cx="1823085" cy="26860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8346</xdr:colOff>
      <xdr:row>0</xdr:row>
      <xdr:rowOff>0</xdr:rowOff>
    </xdr:from>
    <xdr:ext cx="1348740" cy="190500"/>
    <xdr:sp macro="" textlink="">
      <xdr:nvSpPr>
        <xdr:cNvPr id="5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D16B1D9-05EC-4828-9914-1CAD520C8FD3}"/>
            </a:ext>
          </a:extLst>
        </xdr:cNvPr>
        <xdr:cNvSpPr/>
      </xdr:nvSpPr>
      <xdr:spPr>
        <a:xfrm>
          <a:off x="16232386" y="0"/>
          <a:ext cx="134874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13</xdr:col>
      <xdr:colOff>16685</xdr:colOff>
      <xdr:row>0</xdr:row>
      <xdr:rowOff>8883</xdr:rowOff>
    </xdr:from>
    <xdr:ext cx="1348740" cy="180356"/>
    <xdr:sp macro="" textlink="">
      <xdr:nvSpPr>
        <xdr:cNvPr id="6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98772FA5-9F52-454E-BA5D-D299849A6ACF}"/>
            </a:ext>
          </a:extLst>
        </xdr:cNvPr>
        <xdr:cNvSpPr/>
      </xdr:nvSpPr>
      <xdr:spPr>
        <a:xfrm>
          <a:off x="16240725" y="8883"/>
          <a:ext cx="1348740" cy="180356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12</xdr:col>
      <xdr:colOff>15967</xdr:colOff>
      <xdr:row>0</xdr:row>
      <xdr:rowOff>10244</xdr:rowOff>
    </xdr:from>
    <xdr:ext cx="1348740" cy="164600"/>
    <xdr:sp macro="" textlink="">
      <xdr:nvSpPr>
        <xdr:cNvPr id="7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7880A353-43F3-4CE5-22E2-C7A2CC651EB8}"/>
            </a:ext>
          </a:extLst>
        </xdr:cNvPr>
        <xdr:cNvSpPr/>
      </xdr:nvSpPr>
      <xdr:spPr>
        <a:xfrm>
          <a:off x="14890106" y="10244"/>
          <a:ext cx="1348740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  <xdr:oneCellAnchor>
    <xdr:from>
      <xdr:col>12</xdr:col>
      <xdr:colOff>4529</xdr:colOff>
      <xdr:row>0</xdr:row>
      <xdr:rowOff>15959</xdr:rowOff>
    </xdr:from>
    <xdr:ext cx="1341506" cy="164600"/>
    <xdr:sp macro="" textlink="">
      <xdr:nvSpPr>
        <xdr:cNvPr id="8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1390842-E98E-1BF7-B312-1BD7BBE9AADF}"/>
            </a:ext>
          </a:extLst>
        </xdr:cNvPr>
        <xdr:cNvSpPr/>
      </xdr:nvSpPr>
      <xdr:spPr>
        <a:xfrm>
          <a:off x="14878668" y="15959"/>
          <a:ext cx="1341506" cy="1646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90500"/>
    <xdr:sp macro="" textlink="">
      <xdr:nvSpPr>
        <xdr:cNvPr id="3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6F6EA74-8443-409E-B47D-F1A7ED69E90D}"/>
            </a:ext>
          </a:extLst>
        </xdr:cNvPr>
        <xdr:cNvSpPr/>
      </xdr:nvSpPr>
      <xdr:spPr>
        <a:xfrm>
          <a:off x="0" y="0"/>
          <a:ext cx="609600" cy="19050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twoCellAnchor>
    <xdr:from>
      <xdr:col>2</xdr:col>
      <xdr:colOff>0</xdr:colOff>
      <xdr:row>11</xdr:row>
      <xdr:rowOff>20955</xdr:rowOff>
    </xdr:from>
    <xdr:to>
      <xdr:col>13</xdr:col>
      <xdr:colOff>965835</xdr:colOff>
      <xdr:row>30</xdr:row>
      <xdr:rowOff>57150</xdr:rowOff>
    </xdr:to>
    <xdr:graphicFrame macro="">
      <xdr:nvGraphicFramePr>
        <xdr:cNvPr id="4" name="Chart 1">
          <a:extLst>
            <a:ext uri="{FF2B5EF4-FFF2-40B4-BE49-F238E27FC236}">
              <a16:creationId xmlns:a16="http://schemas.microsoft.com/office/drawing/2014/main" id="{4B3B4E01-D6BF-CF8A-A243-E70ED241A46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155448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CC23606-2407-4410-9A2A-4C7F6286BA9E}"/>
            </a:ext>
          </a:extLst>
        </xdr:cNvPr>
        <xdr:cNvSpPr/>
      </xdr:nvSpPr>
      <xdr:spPr>
        <a:xfrm>
          <a:off x="0" y="0"/>
          <a:ext cx="155448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4860" cy="18288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B7BA8578-C1D9-4247-A82A-CE24E7DB47F3}"/>
            </a:ext>
          </a:extLst>
        </xdr:cNvPr>
        <xdr:cNvSpPr/>
      </xdr:nvSpPr>
      <xdr:spPr>
        <a:xfrm>
          <a:off x="0" y="0"/>
          <a:ext cx="784860" cy="18288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9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E89D562F-4F86-4EF7-A997-827B937D6BF8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  <xdr:oneCellAnchor>
    <xdr:from>
      <xdr:col>1</xdr:col>
      <xdr:colOff>0</xdr:colOff>
      <xdr:row>0</xdr:row>
      <xdr:rowOff>0</xdr:rowOff>
    </xdr:from>
    <xdr:ext cx="745435" cy="186358"/>
    <xdr:sp macro="" textlink="">
      <xdr:nvSpPr>
        <xdr:cNvPr id="3" name="Back Button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55FEBD34-157B-4876-A594-A4C90B141955}"/>
            </a:ext>
          </a:extLst>
        </xdr:cNvPr>
        <xdr:cNvSpPr/>
      </xdr:nvSpPr>
      <xdr:spPr>
        <a:xfrm>
          <a:off x="610842" y="0"/>
          <a:ext cx="745435" cy="186358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Totals</a:t>
          </a:r>
        </a:p>
      </xdr:txBody>
    </xdr:sp>
    <xdr:clientData/>
  </xdr:oneCellAnchor>
</xdr:wsDr>
</file>

<file path=xl/drawings/drawing10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609600" cy="184785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166D6B1F-9CDE-4FC0-8FE8-DF6288BD67F0}"/>
            </a:ext>
          </a:extLst>
        </xdr:cNvPr>
        <xdr:cNvSpPr/>
      </xdr:nvSpPr>
      <xdr:spPr>
        <a:xfrm>
          <a:off x="0" y="0"/>
          <a:ext cx="609600" cy="184785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drawings/drawing1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0</xdr:colOff>
      <xdr:row>0</xdr:row>
      <xdr:rowOff>0</xdr:rowOff>
    </xdr:from>
    <xdr:ext cx="788670" cy="285750"/>
    <xdr:sp macro="" textlink="">
      <xdr:nvSpPr>
        <xdr:cNvPr id="2" name="Back Button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AA9EA9-AF12-4D3A-9B4E-37B729AA5C1D}"/>
            </a:ext>
          </a:extLst>
        </xdr:cNvPr>
        <xdr:cNvSpPr/>
      </xdr:nvSpPr>
      <xdr:spPr>
        <a:xfrm>
          <a:off x="0" y="0"/>
          <a:ext cx="788670" cy="285750"/>
        </a:xfrm>
        <a:prstGeom prst="roundRect">
          <a:avLst/>
        </a:prstGeom>
        <a:solidFill>
          <a:srgbClr val="1F4E78"/>
        </a:solidFill>
        <a:ln w="12700" cap="flat" cmpd="sng" algn="ctr">
          <a:solidFill>
            <a:srgbClr val="17365D"/>
          </a:solidFill>
          <a:prstDash val="solid"/>
          <a:miter lim="800000"/>
        </a:ln>
        <a:effectLst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0" lang="en-US" sz="1200" b="1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Calibri" panose="020F0502020204030204"/>
            </a:rPr>
            <a:t>Back</a:t>
          </a:r>
        </a:p>
      </xdr:txBody>
    </xdr:sp>
    <xdr:clientData/>
  </xdr:one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A0D32330-27B6-422A-9D1F-1FC5BAE5E4DB}" name="Tabla1" displayName="Tabla1" ref="B4:K7" totalsRowShown="0" headerRowDxfId="113" headerRowBorderDxfId="112" tableBorderDxfId="111" totalsRowBorderDxfId="110">
  <autoFilter ref="B4:K7" xr:uid="{A0D32330-27B6-422A-9D1F-1FC5BAE5E4DB}"/>
  <tableColumns count="10">
    <tableColumn id="1" xr3:uid="{19F98066-679F-4EEC-9A8C-22860A587D58}" name="Language" dataDxfId="109"/>
    <tableColumn id="2" xr3:uid="{9BE73F99-3CBD-49DC-86AA-136DA5596E56}" name="Current Level" dataDxfId="108"/>
    <tableColumn id="3" xr3:uid="{D1CA6F26-E592-4F65-8835-ED17E93DB151}" name="Objective" dataDxfId="107"/>
    <tableColumn id="4" xr3:uid="{F859D955-4AE2-43E1-84D7-DDB739CAE75B}" name="Daily Intensity [h]" dataDxfId="106"/>
    <tableColumn id="5" xr3:uid="{D6D3DADB-90B1-49DA-9D0F-69E54089656D}" name="Estimated Time (Best) [months]" dataDxfId="105" dataCellStyle="Good"/>
    <tableColumn id="6" xr3:uid="{7BF26971-99B7-4341-9936-055654ADE3C7}" name="Estimated Time (Expected) [months]" dataDxfId="104" dataCellStyle="Good"/>
    <tableColumn id="7" xr3:uid="{2E85D0AD-3119-4874-89FE-74923BCA0E5B}" name="Actual Average Daily Intensity [h]" dataDxfId="103" dataCellStyle="Good"/>
    <tableColumn id="8" xr3:uid="{2E862DF0-5B48-469F-9CE4-BDBEF11C9796}" name="Actual Weekly Intensity [h]" dataDxfId="102" dataCellStyle="Good"/>
    <tableColumn id="9" xr3:uid="{E007EA51-E3B8-4B5E-B04D-776D525232C7}" name="Termination Date (Best)" dataDxfId="101" dataCellStyle="Good">
      <calculatedColumnFormula>EDATE(Logbook!#REF!,'Detailed Planning'!F5)</calculatedColumnFormula>
    </tableColumn>
    <tableColumn id="10" xr3:uid="{71F0CAF6-D6C3-43DE-A41C-85D4DA3C78E2}" name="Termination Date (Expected)" dataDxfId="100" dataCellStyle="Good">
      <calculatedColumnFormula>EDATE(Logbook!#REF!,'Detailed Planning'!G5)</calculatedColumnFormula>
    </tableColumn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A80FA068-EA4A-45AE-A57E-F297B509054A}" name="Table8" displayName="Table8" ref="G11:I13" totalsRowShown="0" headerRowDxfId="99">
  <autoFilter ref="G11:I13" xr:uid="{A80FA068-EA4A-45AE-A57E-F297B509054A}"/>
  <tableColumns count="3">
    <tableColumn id="1" xr3:uid="{D8FF2D70-8D4E-40F6-8222-6587517BA496}" name="Task"/>
    <tableColumn id="2" xr3:uid="{178FC228-3B72-466B-939E-55B81A2A8551}" name="Condition"/>
    <tableColumn id="3" xr3:uid="{7A00B730-B233-4377-94C3-25553C7654A1}" name="Task Priority" dataDxfId="98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8EDE20C-CB7F-4EF3-B4C7-DEE7F6A4F11C}" name="Table7" displayName="Table7" ref="A1:L368" totalsRowShown="0" headerRowDxfId="97" dataDxfId="96">
  <autoFilter ref="A1:L368" xr:uid="{B8EDE20C-CB7F-4EF3-B4C7-DEE7F6A4F11C}"/>
  <tableColumns count="12">
    <tableColumn id="1" xr3:uid="{AC74041C-0D51-466A-8989-E76B8DEFD438}" name="Date" dataDxfId="95"/>
    <tableColumn id="2" xr3:uid="{0AD3397B-F72F-4A30-A7C9-1258DE821AD0}" name="Day" dataDxfId="94">
      <calculatedColumnFormula>CHOOSE(WEEKDAY(A2,2),"Monday","Tuesday","Wednesday","Thursday","Friday","Saturday","Sunday")</calculatedColumnFormula>
    </tableColumn>
    <tableColumn id="3" xr3:uid="{5962303B-7BAF-451A-AFDE-BEBC012C72A8}" name="Gym Training" dataDxfId="93"/>
    <tableColumn id="4" xr3:uid="{24CAEC62-68E5-4280-AAAB-EE68058C65AC}" name="Deutsch Lernen" dataDxfId="92"/>
    <tableColumn id="5" xr3:uid="{29713649-9C40-4A41-AA9B-38F1D74948C1}" name="Deutsch Flashcards (20 min)" dataDxfId="91"/>
    <tableColumn id="6" xr3:uid="{37486B5C-4C23-43D9-8735-09EB742C21A8}" name="Tasks" dataDxfId="90"/>
    <tableColumn id="7" xr3:uid="{3034ABE1-AAEC-417D-AA07-BA607F90D21A}" name="Career Development" dataDxfId="89"/>
    <tableColumn id="8" xr3:uid="{B60BDB65-58C4-4074-A625-D7DC35E6DEB0}" name="Calisthenics" dataDxfId="88"/>
    <tableColumn id="9" xr3:uid="{E419CAC6-0EDA-4339-9D8B-745FCBCD1397}" name="Kung Fu Training" dataDxfId="87"/>
    <tableColumn id="10" xr3:uid="{CC58E3C5-5764-4B28-A387-5DAB2E7CE225}" name="Guitar Practice" dataDxfId="86"/>
    <tableColumn id="11" xr3:uid="{C6972EC0-9D21-4990-9D11-F65D73DE82EF}" name="No Scrolling" dataDxfId="85"/>
    <tableColumn id="12" xr3:uid="{16D58CC7-4101-4A5E-9AB5-2C4C10C8DB88}" name="No Videogames" dataDxfId="84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7362C473-E08F-4975-BA6B-A1DBE7616197}" name="Table11" displayName="Table11" ref="C2:N10" totalsRowShown="0" headerRowDxfId="83" dataDxfId="82" tableBorderDxfId="81">
  <autoFilter ref="C2:N10" xr:uid="{7362C473-E08F-4975-BA6B-A1DBE7616197}"/>
  <tableColumns count="12">
    <tableColumn id="1" xr3:uid="{F9B0BAAF-006E-476C-B218-FD4598D0501D}" name="Activity" dataDxfId="80"/>
    <tableColumn id="2" xr3:uid="{660ADDE9-88BA-4530-B394-7F5384C7B677}" name="Count" dataDxfId="79"/>
    <tableColumn id="3" xr3:uid="{C0DC861A-3B3F-4C70-9AE6-F67AA6D3D0C6}" name="Monday" dataDxfId="78"/>
    <tableColumn id="4" xr3:uid="{DA5B8548-6DD9-445D-9722-197202CA6AD9}" name="Tuesday" dataDxfId="77"/>
    <tableColumn id="5" xr3:uid="{3722C7D1-49D8-4742-B0CD-BF746C712E01}" name="Wednesday" dataDxfId="76"/>
    <tableColumn id="6" xr3:uid="{2387A70D-C48D-4A82-9C54-7259B7D6C857}" name="Thursday" dataDxfId="75"/>
    <tableColumn id="7" xr3:uid="{FA6FA3AE-EA62-41B3-8671-2919F7110155}" name="Friday" dataDxfId="74"/>
    <tableColumn id="8" xr3:uid="{326131E1-9AFE-4C5F-8C82-58C6BAA02C46}" name="Saturday" dataDxfId="73"/>
    <tableColumn id="9" xr3:uid="{7B473873-766C-48EF-AB58-9EC3902C799C}" name="Sunday" dataDxfId="72"/>
    <tableColumn id="10" xr3:uid="{4E7596FA-D42A-4A12-B855-35E0C1EF8F08}" name="Weekly Hours" dataDxfId="71">
      <calculatedColumnFormula array="1">SUMPRODUCT((Table7[Date]&gt;=$M3)*(Table7[Date]&lt;=MIN($N3,TODAY()))*_xlfn.SWITCH($C3,"Gym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Scrolling]="☐"),0)*CHOOSE(WEEKDAY(Table7[Date],2),$E3,$F3,$G3,$H3,$I3,$J3,$K3))</calculatedColumnFormula>
    </tableColumn>
    <tableColumn id="11" xr3:uid="{EB378DAD-B8B8-4DD9-B8E2-5A8C60B22432}" name="Week Start" dataDxfId="70">
      <calculatedColumnFormula>TODAY()-WEEKDAY(TODAY(),2)+1</calculatedColumnFormula>
    </tableColumn>
    <tableColumn id="12" xr3:uid="{06B03854-E6C1-4AA5-A148-1ED7A029477F}" name="Week End" dataDxfId="69">
      <calculatedColumnFormula>TODAY()-WEEKDAY(TODAY(),2)+7</calculatedColumnFormula>
    </tableColumn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70045C9D-EFD2-41E0-96DE-0347BB9EF768}" name="Tabla5" displayName="Tabla5" ref="B2:E18" totalsRowShown="0" headerRowDxfId="68" dataDxfId="67">
  <autoFilter ref="B2:E18" xr:uid="{70045C9D-EFD2-41E0-96DE-0347BB9EF768}"/>
  <sortState xmlns:xlrd2="http://schemas.microsoft.com/office/spreadsheetml/2017/richdata2" ref="B3:E18">
    <sortCondition ref="E2:E18"/>
  </sortState>
  <tableColumns count="4">
    <tableColumn id="1" xr3:uid="{0E6145F2-6F29-4A26-AB8F-9DF7DB3ECBE6}" name="Name" dataDxfId="66"/>
    <tableColumn id="2" xr3:uid="{01AABBA1-86AF-4CDD-8059-B6B90931FA25}" name="Frequency" dataDxfId="65"/>
    <tableColumn id="4" xr3:uid="{7E9972C0-1274-4C43-9D4F-294C74FAC42E}" name="Previous Check" dataDxfId="64"/>
    <tableColumn id="3" xr3:uid="{FF1D2EE6-735A-4AB4-9038-F2B4580252C7}" name="Next Check" dataDxfId="63">
      <calculatedColumnFormula>#REF!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D30F8FA-BB4E-4693-A0C5-CD0454701FBA}" name="Table1" displayName="Table1" ref="B1:G27" totalsRowShown="0" headerRowDxfId="62" dataDxfId="61">
  <autoFilter ref="B1:G27" xr:uid="{6D30F8FA-BB4E-4693-A0C5-CD0454701FBA}"/>
  <sortState xmlns:xlrd2="http://schemas.microsoft.com/office/spreadsheetml/2017/richdata2" ref="B2:G26">
    <sortCondition descending="1" ref="F1:F26"/>
  </sortState>
  <tableColumns count="6">
    <tableColumn id="1" xr3:uid="{05477FFA-5BEC-45BA-8CF7-36BEDCF32429}" name="Task" dataDxfId="60"/>
    <tableColumn id="2" xr3:uid="{0BA13A88-2DB2-42F4-9C09-E56CF8590AED}" name="Importance (1-5)" dataDxfId="59"/>
    <tableColumn id="3" xr3:uid="{1A6917C2-468C-48ED-9177-AA8E25AD4AF8}" name="Deadline" dataDxfId="58"/>
    <tableColumn id="4" xr3:uid="{FEAE9DBB-3AC6-424C-9191-E939A3B53451}" name="Progress (1-5)" dataDxfId="57"/>
    <tableColumn id="5" xr3:uid="{999FE4F4-1750-4966-B8AA-6A4C8C62DCC5}" name="Priority" dataDxfId="56">
      <calculatedColumnFormula>C2 + MAX(0, (30-_xlfn.DAYS(D2, TODAY()))) + (10-E2)</calculatedColumnFormula>
    </tableColumn>
    <tableColumn id="6" xr3:uid="{75E8F6A4-CE29-4B38-8EFC-46F951A46AE3}" name="Status Description" dataDxfId="55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C1733386-F110-479C-91BD-D01624C166EE}" name="Table9" displayName="Table9" ref="B5:T372" totalsRowShown="0" headerRowDxfId="54" dataDxfId="53" tableBorderDxfId="52">
  <autoFilter ref="B5:T372" xr:uid="{C1733386-F110-479C-91BD-D01624C166EE}"/>
  <tableColumns count="19">
    <tableColumn id="1" xr3:uid="{41928414-AA25-436C-AAD6-22A01EE0E28C}" name="Date" dataDxfId="51">
      <calculatedColumnFormula>B5+1</calculatedColumnFormula>
    </tableColumn>
    <tableColumn id="2" xr3:uid="{4E6FFDB2-BBDB-43B2-9B0E-996E1538EDD7}" name="Day" dataDxfId="50">
      <calculatedColumnFormula>CHOOSE(WEEKDAY(B6,2),"Monday","Tuesday","Wednesday","Thursday","Friday","Saturday","Sunday")</calculatedColumnFormula>
    </tableColumn>
    <tableColumn id="3" xr3:uid="{9C53ADA4-3AA7-4C7C-A4EC-893CCA42B44A}" name="Subject 1" dataDxfId="49"/>
    <tableColumn id="4" xr3:uid="{7F81F37E-4302-47B2-98F3-A8FFCCC83FBE}" name="Pomodoro Blocks 1" dataDxfId="48"/>
    <tableColumn id="5" xr3:uid="{1EEC1A94-6317-47E5-ABA0-E4296EB62F93}" name="Excedent Time 1 (min)" dataDxfId="47"/>
    <tableColumn id="6" xr3:uid="{133235D3-4023-4EDE-AE36-45FEE50FB1DA}" name="Overall Time 1 (min)" dataDxfId="46">
      <calculatedColumnFormula>E6*25+F6</calculatedColumnFormula>
    </tableColumn>
    <tableColumn id="7" xr3:uid="{9C0BE3F7-F6F1-4A5D-9874-533DB8BCA2C6}" name="Overall Time 1" dataDxfId="45">
      <calculatedColumnFormula>ROUNDDOWN(G6/60, 0)&amp;"h"&amp;ROUNDUP((G6/60-ROUNDDOWN(G6/60, 0))*60,0)</calculatedColumnFormula>
    </tableColumn>
    <tableColumn id="8" xr3:uid="{7C9F0561-DC13-4232-B4ED-B9CB1CC7C643}" name="Subject 2" dataDxfId="44"/>
    <tableColumn id="9" xr3:uid="{F542C03E-286C-4558-AFE1-9BFA959E2955}" name="Pomodoro Blocks 2" dataDxfId="43"/>
    <tableColumn id="10" xr3:uid="{16036902-CB81-45CC-A15E-3EF8281D91E5}" name="Excedent Time 2 (min)" dataDxfId="42"/>
    <tableColumn id="11" xr3:uid="{04E369B2-AA3D-408C-9652-BB8EEDDF8322}" name="Overall Time 2 (min)" dataDxfId="41">
      <calculatedColumnFormula>J6*25+K6</calculatedColumnFormula>
    </tableColumn>
    <tableColumn id="12" xr3:uid="{405B021F-0D68-4328-8AE7-815743A5DD92}" name="Overall Time 2" dataDxfId="40">
      <calculatedColumnFormula>ROUNDDOWN(L6/60, 0)&amp;"h"&amp;ROUNDUP((L6/60-ROUNDDOWN(L6/60, 0))*60,0)</calculatedColumnFormula>
    </tableColumn>
    <tableColumn id="13" xr3:uid="{8703B6E6-D7D8-4876-BBCB-24D9E2989676}" name="Subject 3" dataDxfId="39"/>
    <tableColumn id="14" xr3:uid="{16561968-5E16-46E0-8E87-4D9431C26168}" name="Pomodoro Blocks 3" dataDxfId="38"/>
    <tableColumn id="15" xr3:uid="{A70712B3-3FA6-42E6-A9EE-84AA5E243007}" name="Excedent Time 3 (min)" dataDxfId="37"/>
    <tableColumn id="16" xr3:uid="{C13303DA-307A-4952-BB47-8F8B5D2273B4}" name="Overall Time 3 (min)" dataDxfId="36">
      <calculatedColumnFormula>O6*25+P6</calculatedColumnFormula>
    </tableColumn>
    <tableColumn id="17" xr3:uid="{72CF339A-A5BA-4C00-8717-BB1F06A8F79E}" name="Overall Time 3" dataDxfId="35">
      <calculatedColumnFormula>ROUNDDOWN(Q6/60, 0)&amp;"h"&amp;ROUNDUP((Q6/60-ROUNDDOWN(Q6/60, 0))*60,0)</calculatedColumnFormula>
    </tableColumn>
    <tableColumn id="18" xr3:uid="{DD71BA26-8370-4383-8FA7-7BFEF06508AE}" name="Global Time (min)" dataDxfId="34">
      <calculatedColumnFormula>G6+L6+Q6</calculatedColumnFormula>
    </tableColumn>
    <tableColumn id="19" xr3:uid="{1D56DAB2-9ACF-47FE-B3A0-73AF0F0285CB}" name="Global Time" dataDxfId="33">
      <calculatedColumnFormula>ROUNDDOWN(S6/60, 0)&amp;"h"&amp;ROUNDUP((S6/60-ROUNDDOWN(S6/60, 0))*60,0)</calculatedColumnFormula>
    </tableColumn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6A67491-F779-41C3-BCF7-1F55E2C88DAF}" name="Table4" displayName="Table4" ref="C4:G57" totalsRowShown="0" headerRowDxfId="32" dataDxfId="30" headerRowBorderDxfId="31" tableBorderDxfId="29" totalsRowBorderDxfId="28">
  <autoFilter ref="C4:G57" xr:uid="{76A67491-F779-41C3-BCF7-1F55E2C88DAF}"/>
  <tableColumns count="5">
    <tableColumn id="1" xr3:uid="{1F3C6D5E-3795-43E1-BE20-E8220F65D680}" name="Week Range" dataDxfId="27">
      <calculatedColumnFormula array="1">IFERROR(IF(6+(ROW()-6)*7&gt;372,"",_xlfn.LET(_xlpm.s,6+(ROW()-6)*7,_xlpm.e,MIN(_xlpm.s+6,372),TEXT(INDIRECT("B"&amp;_xlpm.s),"mm/dd/yy")&amp;"-"&amp;TEXT(INDIRECT("B"&amp;_xlpm.e),"mm/dd/yy"))),"")</calculatedColumnFormula>
    </tableColumn>
    <tableColumn id="2" xr3:uid="{DAEF02BE-3403-4584-AF91-C5E21F0317B9}" name="Deutsch" dataDxfId="26">
      <calculatedColumnFormula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calculatedColumnFormula>
    </tableColumn>
    <tableColumn id="3" xr3:uid="{11DA6DB4-30E8-4C16-A420-91DB92A210B2}" name="Deutsch: Flashcards" dataDxfId="25">
      <calculatedColumnFormula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calculatedColumnFormula>
    </tableColumn>
    <tableColumn id="4" xr3:uid="{F032F997-9B4A-4878-A059-625327737853}" name="Product Training" dataDxfId="24">
      <calculatedColumnFormula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calculatedColumnFormula>
    </tableColumn>
    <tableColumn id="5" xr3:uid="{4D2CA85D-A7D6-4E93-AB9A-59F4688B8EC3}" name="AWS Certification" dataDxfId="23">
      <calculatedColumnFormula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calculatedColumnFormula>
    </tableColumn>
  </tableColumns>
  <tableStyleInfo name="TableStyleMedium7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6A82D3A0-C9C6-4CC5-93AF-387804D1534E}" name="Tabla3" displayName="Tabla3" ref="B3:D7" totalsRowShown="0" headerRowDxfId="22" headerRowBorderDxfId="21" tableBorderDxfId="20" totalsRowBorderDxfId="19">
  <autoFilter ref="B3:D7" xr:uid="{6A82D3A0-C9C6-4CC5-93AF-387804D1534E}"/>
  <tableColumns count="3">
    <tableColumn id="2" xr3:uid="{C82188A7-91BB-4892-990F-80EEDD116086}" name="Duration [min]" dataDxfId="18"/>
    <tableColumn id="3" xr3:uid="{257FEA3E-E906-47EB-888B-4DEEEF6D8878}" name="Block" dataDxfId="17"/>
    <tableColumn id="4" xr3:uid="{527EA0BB-9801-4FAC-8F42-CA26BDEE1F3B}" name="Description" dataDxfId="16"/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8364237B-DD86-44AF-942F-8B66E19DA637}" name="Tabla6" displayName="Tabla6" ref="F3:H5" totalsRowShown="0" headerRowDxfId="15" headerRowBorderDxfId="14" tableBorderDxfId="13" totalsRowBorderDxfId="12">
  <autoFilter ref="F3:H5" xr:uid="{8364237B-DD86-44AF-942F-8B66E19DA637}"/>
  <tableColumns count="3">
    <tableColumn id="1" xr3:uid="{62BF850A-C29F-410C-A5B4-15F22457F59F}" name="Duration [min]" dataDxfId="11"/>
    <tableColumn id="2" xr3:uid="{3C68A4B7-0799-4829-93E5-5A00844CC609}" name="Block" dataDxfId="10"/>
    <tableColumn id="3" xr3:uid="{B46AE227-4594-4C8D-9283-576CF7CBEDA5}" name="Description" dataDxfId="9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8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10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6.bin"/><Relationship Id="rId4" Type="http://schemas.openxmlformats.org/officeDocument/2006/relationships/table" Target="../tables/table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BD7E80-B8E0-4CE8-A790-94EB1E14DF8B}">
  <sheetPr codeName="Sheet9"/>
  <dimension ref="A1:J22"/>
  <sheetViews>
    <sheetView workbookViewId="0">
      <selection sqref="A1:J1"/>
    </sheetView>
  </sheetViews>
  <sheetFormatPr defaultRowHeight="14.4" x14ac:dyDescent="0.3"/>
  <cols>
    <col min="1" max="1" width="4.44140625" customWidth="1"/>
    <col min="2" max="5" width="13.33203125" customWidth="1"/>
    <col min="6" max="6" width="4.44140625" customWidth="1"/>
    <col min="7" max="10" width="13.33203125" customWidth="1"/>
  </cols>
  <sheetData>
    <row r="1" spans="1:10" ht="31.95" customHeight="1" x14ac:dyDescent="0.3">
      <c r="A1" s="186" t="s">
        <v>247</v>
      </c>
      <c r="B1" s="186"/>
      <c r="C1" s="186"/>
      <c r="D1" s="186"/>
      <c r="E1" s="186"/>
      <c r="F1" s="186"/>
      <c r="G1" s="186"/>
      <c r="H1" s="186"/>
      <c r="I1" s="186"/>
      <c r="J1" s="186"/>
    </row>
    <row r="2" spans="1:10" ht="22.2" customHeight="1" x14ac:dyDescent="0.3">
      <c r="A2" s="187" t="s">
        <v>248</v>
      </c>
      <c r="B2" s="187"/>
      <c r="C2" s="187"/>
      <c r="D2" s="187"/>
      <c r="E2" s="187"/>
      <c r="F2" s="187"/>
      <c r="G2" s="187"/>
      <c r="H2" s="187"/>
      <c r="I2" s="187"/>
      <c r="J2" s="187"/>
    </row>
    <row r="4" spans="1:10" ht="24" customHeight="1" x14ac:dyDescent="0.3">
      <c r="A4" s="188" t="s">
        <v>249</v>
      </c>
      <c r="B4" s="188"/>
      <c r="C4" s="188"/>
      <c r="D4" s="188"/>
      <c r="E4" s="188"/>
      <c r="F4" s="188"/>
      <c r="G4" s="188"/>
      <c r="H4" s="188"/>
      <c r="I4" s="188"/>
      <c r="J4" s="188"/>
    </row>
    <row r="5" spans="1:10" ht="22.2" customHeight="1" x14ac:dyDescent="0.3"/>
    <row r="6" spans="1:10" ht="22.2" customHeight="1" x14ac:dyDescent="0.3"/>
    <row r="7" spans="1:10" ht="22.2" customHeight="1" x14ac:dyDescent="0.3"/>
    <row r="8" spans="1:10" ht="12" customHeight="1" x14ac:dyDescent="0.3"/>
    <row r="9" spans="1:10" ht="22.2" customHeight="1" x14ac:dyDescent="0.3"/>
    <row r="10" spans="1:10" ht="22.2" customHeight="1" x14ac:dyDescent="0.3"/>
    <row r="11" spans="1:10" ht="22.2" customHeight="1" x14ac:dyDescent="0.3"/>
    <row r="12" spans="1:10" ht="12" customHeight="1" x14ac:dyDescent="0.3"/>
    <row r="13" spans="1:10" ht="22.2" customHeight="1" x14ac:dyDescent="0.3"/>
    <row r="14" spans="1:10" ht="22.2" customHeight="1" x14ac:dyDescent="0.3"/>
    <row r="15" spans="1:10" ht="22.2" customHeight="1" x14ac:dyDescent="0.3"/>
    <row r="16" spans="1:10" ht="12" customHeight="1" x14ac:dyDescent="0.3"/>
    <row r="17" spans="1:10" ht="22.2" customHeight="1" x14ac:dyDescent="0.3"/>
    <row r="18" spans="1:10" ht="22.2" customHeight="1" x14ac:dyDescent="0.3"/>
    <row r="19" spans="1:10" ht="22.2" customHeight="1" x14ac:dyDescent="0.3"/>
    <row r="20" spans="1:10" ht="12" customHeight="1" x14ac:dyDescent="0.3"/>
    <row r="21" spans="1:10" ht="21" customHeight="1" x14ac:dyDescent="0.3">
      <c r="A21" s="189"/>
      <c r="B21" s="189"/>
      <c r="C21" s="189"/>
      <c r="D21" s="189"/>
      <c r="E21" s="189"/>
      <c r="F21" s="189"/>
      <c r="G21" s="189"/>
      <c r="H21" s="189"/>
      <c r="I21" s="189"/>
      <c r="J21" s="189"/>
    </row>
    <row r="22" spans="1:10" ht="21" customHeight="1" x14ac:dyDescent="0.3">
      <c r="A22" s="189"/>
      <c r="B22" s="189"/>
      <c r="C22" s="189"/>
      <c r="D22" s="189"/>
      <c r="E22" s="189"/>
      <c r="F22" s="189"/>
      <c r="G22" s="189"/>
      <c r="H22" s="189"/>
      <c r="I22" s="189"/>
      <c r="J22" s="189"/>
    </row>
  </sheetData>
  <mergeCells count="4">
    <mergeCell ref="A1:J1"/>
    <mergeCell ref="A2:J2"/>
    <mergeCell ref="A4:J4"/>
    <mergeCell ref="A21:J22"/>
  </mergeCell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A16B06-AB03-4E19-B596-04EDEF386744}">
  <sheetPr codeName="Sheet1"/>
  <dimension ref="B1:L24"/>
  <sheetViews>
    <sheetView zoomScale="112" workbookViewId="0"/>
  </sheetViews>
  <sheetFormatPr defaultColWidth="11.44140625" defaultRowHeight="14.4" x14ac:dyDescent="0.3"/>
  <cols>
    <col min="1" max="3" width="11.44140625" style="1"/>
    <col min="4" max="4" width="19" style="1" bestFit="1" customWidth="1"/>
    <col min="5" max="6" width="11.44140625" style="1"/>
    <col min="7" max="7" width="36.5546875" style="1" bestFit="1" customWidth="1"/>
    <col min="8" max="9" width="11.44140625" style="1"/>
    <col min="10" max="10" width="26.88671875" style="1" bestFit="1" customWidth="1"/>
    <col min="11" max="16384" width="11.44140625" style="1"/>
  </cols>
  <sheetData>
    <row r="1" spans="2:12" ht="15" thickBot="1" x14ac:dyDescent="0.35"/>
    <row r="2" spans="2:12" ht="29.4" thickBot="1" x14ac:dyDescent="0.35">
      <c r="B2" s="190" t="s">
        <v>64</v>
      </c>
      <c r="C2" s="191"/>
      <c r="D2" s="191"/>
      <c r="E2" s="191"/>
      <c r="F2" s="191"/>
      <c r="G2" s="191"/>
      <c r="H2" s="191"/>
      <c r="I2" s="191"/>
      <c r="J2" s="191"/>
      <c r="K2" s="191"/>
      <c r="L2" s="192"/>
    </row>
    <row r="3" spans="2:12" x14ac:dyDescent="0.3">
      <c r="B3" s="152"/>
      <c r="C3" s="153"/>
      <c r="D3" s="153"/>
      <c r="E3" s="153"/>
      <c r="F3" s="153"/>
      <c r="G3" s="153"/>
      <c r="H3" s="153"/>
      <c r="I3" s="153"/>
      <c r="J3" s="153"/>
      <c r="K3" s="153"/>
      <c r="L3" s="154"/>
    </row>
    <row r="4" spans="2:12" x14ac:dyDescent="0.3">
      <c r="B4" s="24"/>
      <c r="C4" s="155"/>
      <c r="D4" s="155"/>
      <c r="E4" s="155"/>
      <c r="F4" s="155"/>
      <c r="G4" s="155"/>
      <c r="H4" s="155"/>
      <c r="I4" s="155"/>
      <c r="J4" s="155"/>
      <c r="K4" s="155"/>
      <c r="L4" s="25"/>
    </row>
    <row r="5" spans="2:12" x14ac:dyDescent="0.3">
      <c r="B5" s="24"/>
      <c r="C5" s="155"/>
      <c r="D5" s="155"/>
      <c r="E5" s="155"/>
      <c r="F5" s="155"/>
      <c r="G5" s="155"/>
      <c r="H5" s="155"/>
      <c r="I5" s="155"/>
      <c r="J5" s="155"/>
      <c r="K5" s="155"/>
      <c r="L5" s="25"/>
    </row>
    <row r="6" spans="2:12" x14ac:dyDescent="0.3">
      <c r="B6" s="24"/>
      <c r="C6" s="155"/>
      <c r="D6" s="160" t="s">
        <v>4</v>
      </c>
      <c r="E6" s="155"/>
      <c r="F6" s="155"/>
      <c r="G6" s="160" t="s">
        <v>58</v>
      </c>
      <c r="H6" s="155"/>
      <c r="I6" s="155"/>
      <c r="J6" s="160" t="s">
        <v>5</v>
      </c>
      <c r="K6" s="155"/>
      <c r="L6" s="25"/>
    </row>
    <row r="7" spans="2:12" x14ac:dyDescent="0.3">
      <c r="B7" s="24"/>
      <c r="C7" s="155"/>
      <c r="D7" s="155" t="s">
        <v>39</v>
      </c>
      <c r="E7" s="155"/>
      <c r="F7" s="155"/>
      <c r="G7" s="155" t="s">
        <v>55</v>
      </c>
      <c r="H7" s="155"/>
      <c r="I7" s="155"/>
      <c r="J7" s="155" t="s">
        <v>193</v>
      </c>
      <c r="K7" s="155"/>
      <c r="L7" s="25"/>
    </row>
    <row r="8" spans="2:12" x14ac:dyDescent="0.3">
      <c r="B8" s="24"/>
      <c r="C8" s="155"/>
      <c r="D8" s="155" t="s">
        <v>40</v>
      </c>
      <c r="E8" s="155"/>
      <c r="F8" s="155"/>
      <c r="G8" s="155" t="s">
        <v>56</v>
      </c>
      <c r="H8" s="155"/>
      <c r="I8" s="155"/>
      <c r="J8" s="155"/>
      <c r="K8" s="155"/>
      <c r="L8" s="25"/>
    </row>
    <row r="9" spans="2:12" x14ac:dyDescent="0.3">
      <c r="B9" s="24"/>
      <c r="C9" s="155"/>
      <c r="D9" s="155" t="s">
        <v>41</v>
      </c>
      <c r="E9" s="155"/>
      <c r="F9" s="155"/>
      <c r="G9" s="155" t="s">
        <v>57</v>
      </c>
      <c r="H9" s="155"/>
      <c r="I9" s="155"/>
      <c r="J9" s="155"/>
      <c r="K9" s="155"/>
      <c r="L9" s="25"/>
    </row>
    <row r="10" spans="2:12" x14ac:dyDescent="0.3">
      <c r="B10" s="24"/>
      <c r="C10" s="155"/>
      <c r="D10" s="155"/>
      <c r="E10" s="155"/>
      <c r="F10" s="155"/>
      <c r="G10" s="155" t="s">
        <v>59</v>
      </c>
      <c r="H10" s="155"/>
      <c r="I10" s="155"/>
      <c r="J10" s="155"/>
      <c r="K10" s="155"/>
      <c r="L10" s="25"/>
    </row>
    <row r="11" spans="2:12" x14ac:dyDescent="0.3">
      <c r="B11" s="24"/>
      <c r="C11" s="155"/>
      <c r="D11" s="155"/>
      <c r="E11" s="155"/>
      <c r="F11" s="155"/>
      <c r="G11" s="155" t="s">
        <v>60</v>
      </c>
      <c r="H11" s="155"/>
      <c r="I11" s="155"/>
      <c r="J11" s="155"/>
      <c r="K11" s="155"/>
      <c r="L11" s="25"/>
    </row>
    <row r="12" spans="2:12" x14ac:dyDescent="0.3">
      <c r="B12" s="24"/>
      <c r="C12" s="155"/>
      <c r="D12" s="155"/>
      <c r="E12" s="155"/>
      <c r="F12" s="155"/>
      <c r="G12" s="155" t="s">
        <v>61</v>
      </c>
      <c r="H12" s="155"/>
      <c r="I12" s="155"/>
      <c r="J12" s="155"/>
      <c r="K12" s="155"/>
      <c r="L12" s="25"/>
    </row>
    <row r="13" spans="2:12" x14ac:dyDescent="0.3">
      <c r="B13" s="24"/>
      <c r="C13" s="155"/>
      <c r="D13" s="155"/>
      <c r="E13" s="155"/>
      <c r="F13" s="155"/>
      <c r="G13" s="155" t="s">
        <v>62</v>
      </c>
      <c r="H13" s="155"/>
      <c r="I13" s="155"/>
      <c r="J13" s="155"/>
      <c r="K13" s="155"/>
      <c r="L13" s="25"/>
    </row>
    <row r="14" spans="2:12" x14ac:dyDescent="0.3">
      <c r="B14" s="24"/>
      <c r="C14" s="155"/>
      <c r="D14" s="155"/>
      <c r="E14" s="155"/>
      <c r="F14" s="155"/>
      <c r="G14" s="155"/>
      <c r="H14" s="155"/>
      <c r="I14" s="155"/>
      <c r="J14" s="155"/>
      <c r="K14" s="155"/>
      <c r="L14" s="25"/>
    </row>
    <row r="15" spans="2:12" x14ac:dyDescent="0.3">
      <c r="B15" s="24"/>
      <c r="C15" s="155"/>
      <c r="D15" s="155"/>
      <c r="E15" s="155"/>
      <c r="F15" s="155"/>
      <c r="G15" s="155"/>
      <c r="H15" s="155"/>
      <c r="I15" s="155"/>
      <c r="J15" s="155"/>
      <c r="K15" s="155"/>
      <c r="L15" s="25"/>
    </row>
    <row r="16" spans="2:12" x14ac:dyDescent="0.3">
      <c r="B16" s="24"/>
      <c r="C16" s="155"/>
      <c r="D16" s="161" t="s">
        <v>7</v>
      </c>
      <c r="E16" s="155"/>
      <c r="F16" s="155"/>
      <c r="G16" s="160" t="s">
        <v>43</v>
      </c>
      <c r="H16" s="155"/>
      <c r="I16" s="155"/>
      <c r="J16" s="162" t="s">
        <v>44</v>
      </c>
      <c r="K16" s="155"/>
      <c r="L16" s="25"/>
    </row>
    <row r="17" spans="2:12" x14ac:dyDescent="0.3">
      <c r="B17" s="24"/>
      <c r="C17" s="155"/>
      <c r="D17" s="156" t="s">
        <v>42</v>
      </c>
      <c r="E17" s="155"/>
      <c r="F17" s="155"/>
      <c r="G17" s="155" t="s">
        <v>45</v>
      </c>
      <c r="H17" s="155"/>
      <c r="I17" s="155"/>
      <c r="J17" s="155" t="s">
        <v>46</v>
      </c>
      <c r="K17" s="155"/>
      <c r="L17" s="25"/>
    </row>
    <row r="18" spans="2:12" x14ac:dyDescent="0.3">
      <c r="B18" s="24"/>
      <c r="C18" s="155"/>
      <c r="D18" s="155"/>
      <c r="E18" s="155"/>
      <c r="F18" s="155"/>
      <c r="G18" s="155" t="s">
        <v>49</v>
      </c>
      <c r="H18" s="155"/>
      <c r="I18" s="155"/>
      <c r="J18" s="155" t="s">
        <v>47</v>
      </c>
      <c r="K18" s="155"/>
      <c r="L18" s="25"/>
    </row>
    <row r="19" spans="2:12" x14ac:dyDescent="0.3">
      <c r="B19" s="24"/>
      <c r="C19" s="155"/>
      <c r="D19" s="155"/>
      <c r="E19" s="155"/>
      <c r="F19" s="155"/>
      <c r="G19" s="155" t="s">
        <v>50</v>
      </c>
      <c r="H19" s="155"/>
      <c r="I19" s="155"/>
      <c r="J19" s="155" t="s">
        <v>48</v>
      </c>
      <c r="K19" s="155"/>
      <c r="L19" s="25"/>
    </row>
    <row r="20" spans="2:12" x14ac:dyDescent="0.3">
      <c r="B20" s="24"/>
      <c r="C20" s="155"/>
      <c r="D20" s="155"/>
      <c r="E20" s="155"/>
      <c r="F20" s="155"/>
      <c r="G20" s="155" t="s">
        <v>51</v>
      </c>
      <c r="H20" s="155"/>
      <c r="I20" s="155"/>
      <c r="J20" s="155" t="s">
        <v>63</v>
      </c>
      <c r="K20" s="155"/>
      <c r="L20" s="25"/>
    </row>
    <row r="21" spans="2:12" x14ac:dyDescent="0.3">
      <c r="B21" s="24"/>
      <c r="C21" s="155"/>
      <c r="D21" s="155"/>
      <c r="E21" s="155"/>
      <c r="F21" s="155"/>
      <c r="G21" s="155" t="s">
        <v>52</v>
      </c>
      <c r="H21" s="155"/>
      <c r="I21" s="155"/>
      <c r="J21" s="155"/>
      <c r="K21" s="155"/>
      <c r="L21" s="25"/>
    </row>
    <row r="22" spans="2:12" x14ac:dyDescent="0.3">
      <c r="B22" s="24"/>
      <c r="C22" s="155"/>
      <c r="D22" s="155"/>
      <c r="E22" s="155"/>
      <c r="F22" s="155"/>
      <c r="G22" s="155" t="s">
        <v>53</v>
      </c>
      <c r="H22" s="155"/>
      <c r="I22" s="155"/>
      <c r="J22" s="155"/>
      <c r="K22" s="155"/>
      <c r="L22" s="25"/>
    </row>
    <row r="23" spans="2:12" x14ac:dyDescent="0.3">
      <c r="B23" s="24"/>
      <c r="C23" s="155"/>
      <c r="D23" s="155"/>
      <c r="E23" s="155"/>
      <c r="F23" s="155"/>
      <c r="G23" s="155" t="s">
        <v>54</v>
      </c>
      <c r="H23" s="155"/>
      <c r="I23" s="155"/>
      <c r="J23" s="155"/>
      <c r="K23" s="155"/>
      <c r="L23" s="25"/>
    </row>
    <row r="24" spans="2:12" ht="15" thickBot="1" x14ac:dyDescent="0.35">
      <c r="B24" s="157"/>
      <c r="C24" s="158"/>
      <c r="D24" s="158"/>
      <c r="E24" s="158"/>
      <c r="F24" s="158"/>
      <c r="G24" s="158"/>
      <c r="H24" s="158"/>
      <c r="I24" s="158"/>
      <c r="J24" s="158"/>
      <c r="K24" s="158"/>
      <c r="L24" s="159"/>
    </row>
  </sheetData>
  <mergeCells count="1">
    <mergeCell ref="B2:L2"/>
  </mergeCells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A03CB1-554C-455C-A53A-36BAE898A385}">
  <sheetPr codeName="Sheet2"/>
  <dimension ref="B4:K78"/>
  <sheetViews>
    <sheetView tabSelected="1" zoomScale="86" zoomScaleNormal="115" workbookViewId="0">
      <pane ySplit="1" topLeftCell="A41" activePane="bottomLeft" state="frozen"/>
      <selection pane="bottomLeft" activeCell="B55" sqref="B55"/>
    </sheetView>
  </sheetViews>
  <sheetFormatPr defaultColWidth="11.5546875" defaultRowHeight="14.4" x14ac:dyDescent="0.3"/>
  <cols>
    <col min="2" max="2" width="28.33203125" bestFit="1" customWidth="1"/>
    <col min="3" max="3" width="17.44140625" bestFit="1" customWidth="1"/>
    <col min="4" max="4" width="14.44140625" bestFit="1" customWidth="1"/>
    <col min="5" max="5" width="21.6640625" bestFit="1" customWidth="1"/>
    <col min="6" max="6" width="35.44140625" customWidth="1"/>
    <col min="7" max="7" width="36.44140625" bestFit="1" customWidth="1"/>
    <col min="8" max="8" width="33.44140625" bestFit="1" customWidth="1"/>
    <col min="9" max="9" width="28" bestFit="1" customWidth="1"/>
    <col min="10" max="10" width="28.5546875" customWidth="1"/>
    <col min="11" max="11" width="29.33203125" bestFit="1" customWidth="1"/>
  </cols>
  <sheetData>
    <row r="4" spans="2:11" x14ac:dyDescent="0.3">
      <c r="B4" s="77" t="s">
        <v>28</v>
      </c>
      <c r="C4" s="78" t="s">
        <v>34</v>
      </c>
      <c r="D4" s="79" t="s">
        <v>29</v>
      </c>
      <c r="E4" s="79" t="s">
        <v>168</v>
      </c>
      <c r="F4" s="79" t="s">
        <v>30</v>
      </c>
      <c r="G4" s="79" t="s">
        <v>31</v>
      </c>
      <c r="H4" s="79" t="s">
        <v>169</v>
      </c>
      <c r="I4" s="79" t="s">
        <v>170</v>
      </c>
      <c r="J4" s="79" t="s">
        <v>32</v>
      </c>
      <c r="K4" s="79" t="s">
        <v>33</v>
      </c>
    </row>
    <row r="5" spans="2:11" x14ac:dyDescent="0.3">
      <c r="B5" s="18" t="s">
        <v>0</v>
      </c>
      <c r="C5" s="17" t="s">
        <v>35</v>
      </c>
      <c r="D5" s="17" t="s">
        <v>36</v>
      </c>
      <c r="E5" s="74">
        <v>3</v>
      </c>
      <c r="F5">
        <v>4.5</v>
      </c>
      <c r="G5">
        <v>7.5</v>
      </c>
      <c r="H5" s="76">
        <f>Schedule!J25/7</f>
        <v>2.9285714285714284</v>
      </c>
      <c r="I5">
        <f>Schedule!J25</f>
        <v>20.5</v>
      </c>
      <c r="K5" s="19"/>
    </row>
    <row r="6" spans="2:11" x14ac:dyDescent="0.3">
      <c r="B6" s="70" t="s">
        <v>1</v>
      </c>
      <c r="C6" s="69" t="s">
        <v>37</v>
      </c>
      <c r="D6" s="69" t="s">
        <v>38</v>
      </c>
      <c r="E6" s="32">
        <v>1</v>
      </c>
      <c r="F6" s="69">
        <v>2</v>
      </c>
      <c r="G6" s="71">
        <v>3</v>
      </c>
      <c r="H6" s="75">
        <v>1</v>
      </c>
      <c r="I6" s="71">
        <v>7</v>
      </c>
      <c r="J6" s="72"/>
      <c r="K6" s="73"/>
    </row>
    <row r="7" spans="2:11" x14ac:dyDescent="0.3">
      <c r="B7" s="20" t="s">
        <v>81</v>
      </c>
      <c r="C7" s="21" t="s">
        <v>82</v>
      </c>
      <c r="D7" s="21" t="s">
        <v>86</v>
      </c>
      <c r="E7" s="21">
        <v>2</v>
      </c>
      <c r="F7">
        <v>2.5</v>
      </c>
      <c r="G7">
        <v>3.5</v>
      </c>
      <c r="H7" s="22">
        <f>Schedule!$J$31/7</f>
        <v>1.0714285714285714</v>
      </c>
      <c r="I7">
        <f>Schedule!$J$31</f>
        <v>7.5</v>
      </c>
      <c r="K7" s="23"/>
    </row>
    <row r="10" spans="2:11" ht="18" x14ac:dyDescent="0.3">
      <c r="B10" s="84" t="s">
        <v>174</v>
      </c>
      <c r="C10" s="84" t="s">
        <v>175</v>
      </c>
      <c r="D10" s="84" t="s">
        <v>176</v>
      </c>
      <c r="E10" s="84" t="s">
        <v>177</v>
      </c>
      <c r="G10" s="185" t="s">
        <v>155</v>
      </c>
      <c r="H10" s="185"/>
      <c r="I10" s="185"/>
    </row>
    <row r="11" spans="2:11" ht="15.6" x14ac:dyDescent="0.3">
      <c r="B11" s="183" t="s">
        <v>69</v>
      </c>
      <c r="C11" s="184"/>
      <c r="D11" s="184"/>
      <c r="E11" s="184"/>
      <c r="G11" s="68" t="s">
        <v>87</v>
      </c>
      <c r="H11" s="68" t="s">
        <v>158</v>
      </c>
      <c r="I11" s="68" t="s">
        <v>159</v>
      </c>
      <c r="J11" s="30"/>
      <c r="K11" s="30"/>
    </row>
    <row r="12" spans="2:11" x14ac:dyDescent="0.3">
      <c r="B12" s="96" t="s">
        <v>70</v>
      </c>
      <c r="C12" s="85">
        <v>46024</v>
      </c>
      <c r="D12" s="85">
        <v>46029</v>
      </c>
      <c r="E12" s="91">
        <f>_xlfn.DAYS(D12, C12)+1</f>
        <v>6</v>
      </c>
      <c r="G12" t="s">
        <v>157</v>
      </c>
      <c r="H12" t="s">
        <v>160</v>
      </c>
      <c r="I12" s="67"/>
      <c r="J12" s="30"/>
      <c r="K12" s="30"/>
    </row>
    <row r="13" spans="2:11" x14ac:dyDescent="0.3">
      <c r="B13" s="96" t="s">
        <v>66</v>
      </c>
      <c r="C13" s="85">
        <v>46037</v>
      </c>
      <c r="D13" s="85">
        <v>46044</v>
      </c>
      <c r="E13" s="91">
        <f t="shared" ref="E13:E15" si="0">_xlfn.DAYS(D13, C13)+1</f>
        <v>8</v>
      </c>
      <c r="G13" t="s">
        <v>80</v>
      </c>
      <c r="H13" t="s">
        <v>156</v>
      </c>
      <c r="I13" s="67"/>
      <c r="J13" s="30"/>
      <c r="K13" s="30"/>
    </row>
    <row r="14" spans="2:11" x14ac:dyDescent="0.3">
      <c r="B14" s="97" t="s">
        <v>67</v>
      </c>
      <c r="C14" s="92">
        <v>46045</v>
      </c>
      <c r="D14" s="92">
        <v>46059</v>
      </c>
      <c r="E14" s="93">
        <f t="shared" si="0"/>
        <v>15</v>
      </c>
      <c r="I14" s="30"/>
      <c r="J14" s="30"/>
      <c r="K14" s="30"/>
    </row>
    <row r="15" spans="2:11" x14ac:dyDescent="0.3">
      <c r="B15" s="97" t="s">
        <v>68</v>
      </c>
      <c r="C15" s="92">
        <v>46060</v>
      </c>
      <c r="D15" s="92">
        <v>46060</v>
      </c>
      <c r="E15" s="93">
        <f t="shared" si="0"/>
        <v>1</v>
      </c>
      <c r="F15" s="30"/>
      <c r="G15" s="30"/>
      <c r="H15" s="30"/>
      <c r="I15" s="30"/>
      <c r="J15" s="30"/>
      <c r="K15" s="30"/>
    </row>
    <row r="16" spans="2:11" x14ac:dyDescent="0.3">
      <c r="B16" s="183" t="s">
        <v>79</v>
      </c>
      <c r="C16" s="184"/>
      <c r="D16" s="184"/>
      <c r="E16" s="184"/>
      <c r="F16" s="30"/>
      <c r="G16" s="30"/>
      <c r="H16" s="30"/>
      <c r="I16" s="30"/>
      <c r="J16" s="30"/>
      <c r="K16" s="30"/>
    </row>
    <row r="17" spans="2:5" x14ac:dyDescent="0.3">
      <c r="B17" s="57" t="s">
        <v>65</v>
      </c>
      <c r="C17" s="86" t="s">
        <v>84</v>
      </c>
      <c r="D17" s="86" t="s">
        <v>84</v>
      </c>
      <c r="E17" s="87" t="e">
        <f t="shared" ref="E17:E20" si="1">_xlfn.DAYS(D17, C17)</f>
        <v>#VALUE!</v>
      </c>
    </row>
    <row r="18" spans="2:5" x14ac:dyDescent="0.3">
      <c r="B18" s="57" t="s">
        <v>66</v>
      </c>
      <c r="C18" s="86" t="s">
        <v>84</v>
      </c>
      <c r="D18" s="86" t="s">
        <v>84</v>
      </c>
      <c r="E18" s="87" t="e">
        <f t="shared" si="1"/>
        <v>#VALUE!</v>
      </c>
    </row>
    <row r="19" spans="2:5" x14ac:dyDescent="0.3">
      <c r="B19" s="57" t="s">
        <v>67</v>
      </c>
      <c r="C19" s="86" t="s">
        <v>84</v>
      </c>
      <c r="D19" s="86" t="s">
        <v>84</v>
      </c>
      <c r="E19" s="87" t="e">
        <f t="shared" si="1"/>
        <v>#VALUE!</v>
      </c>
    </row>
    <row r="20" spans="2:5" x14ac:dyDescent="0.3">
      <c r="B20" s="57" t="s">
        <v>68</v>
      </c>
      <c r="C20" s="86" t="s">
        <v>84</v>
      </c>
      <c r="D20" s="86" t="s">
        <v>84</v>
      </c>
      <c r="E20" s="87" t="e">
        <f t="shared" si="1"/>
        <v>#VALUE!</v>
      </c>
    </row>
    <row r="21" spans="2:5" x14ac:dyDescent="0.3">
      <c r="B21" s="183" t="s">
        <v>178</v>
      </c>
      <c r="C21" s="184"/>
      <c r="D21" s="184"/>
      <c r="E21" s="184"/>
    </row>
    <row r="22" spans="2:5" x14ac:dyDescent="0.3">
      <c r="B22" s="96" t="s">
        <v>71</v>
      </c>
      <c r="C22" s="85">
        <v>46024</v>
      </c>
      <c r="D22" s="85">
        <v>46066</v>
      </c>
      <c r="E22" s="91">
        <f>_xlfn.DAYS(D22, C22)+1</f>
        <v>43</v>
      </c>
    </row>
    <row r="23" spans="2:5" x14ac:dyDescent="0.3">
      <c r="B23" s="96" t="s">
        <v>72</v>
      </c>
      <c r="C23" s="85">
        <v>46067</v>
      </c>
      <c r="D23" s="85">
        <v>46080</v>
      </c>
      <c r="E23" s="91">
        <f t="shared" ref="E23:E24" si="2">_xlfn.DAYS(D23, C23)+1</f>
        <v>14</v>
      </c>
    </row>
    <row r="24" spans="2:5" x14ac:dyDescent="0.3">
      <c r="B24" s="96" t="s">
        <v>73</v>
      </c>
      <c r="C24" s="85">
        <v>46081</v>
      </c>
      <c r="D24" s="85">
        <v>46094</v>
      </c>
      <c r="E24" s="91">
        <f t="shared" si="2"/>
        <v>14</v>
      </c>
    </row>
    <row r="25" spans="2:5" x14ac:dyDescent="0.3">
      <c r="B25" s="183" t="s">
        <v>196</v>
      </c>
      <c r="C25" s="184"/>
      <c r="D25" s="184"/>
      <c r="E25" s="184"/>
    </row>
    <row r="26" spans="2:5" ht="15" thickBot="1" x14ac:dyDescent="0.35">
      <c r="B26" s="120" t="s">
        <v>71</v>
      </c>
      <c r="C26" s="121">
        <v>46114</v>
      </c>
      <c r="D26" s="121">
        <v>46169</v>
      </c>
      <c r="E26" s="122">
        <f>_xlfn.DAYS(D26, C26)+1</f>
        <v>56</v>
      </c>
    </row>
    <row r="27" spans="2:5" x14ac:dyDescent="0.3">
      <c r="B27" s="108" t="s">
        <v>179</v>
      </c>
      <c r="C27" s="109">
        <v>46114</v>
      </c>
      <c r="D27" s="109">
        <v>46120</v>
      </c>
      <c r="E27" s="115">
        <f t="shared" ref="E27:E62" si="3">_xlfn.DAYS(D27, C27)+1</f>
        <v>7</v>
      </c>
    </row>
    <row r="28" spans="2:5" x14ac:dyDescent="0.3">
      <c r="B28" s="96" t="s">
        <v>180</v>
      </c>
      <c r="C28" s="85">
        <v>46121</v>
      </c>
      <c r="D28" s="85">
        <v>46127</v>
      </c>
      <c r="E28" s="91">
        <f t="shared" si="3"/>
        <v>7</v>
      </c>
    </row>
    <row r="29" spans="2:5" x14ac:dyDescent="0.3">
      <c r="B29" s="96" t="s">
        <v>181</v>
      </c>
      <c r="C29" s="85">
        <v>46128</v>
      </c>
      <c r="D29" s="85">
        <v>46134</v>
      </c>
      <c r="E29" s="91">
        <f t="shared" si="3"/>
        <v>7</v>
      </c>
    </row>
    <row r="30" spans="2:5" x14ac:dyDescent="0.3">
      <c r="B30" s="96" t="s">
        <v>182</v>
      </c>
      <c r="C30" s="85">
        <v>46135</v>
      </c>
      <c r="D30" s="85">
        <v>46141</v>
      </c>
      <c r="E30" s="91">
        <f t="shared" si="3"/>
        <v>7</v>
      </c>
    </row>
    <row r="31" spans="2:5" x14ac:dyDescent="0.3">
      <c r="B31" s="96" t="s">
        <v>183</v>
      </c>
      <c r="C31" s="85">
        <v>46142</v>
      </c>
      <c r="D31" s="85">
        <v>46148</v>
      </c>
      <c r="E31" s="91">
        <f t="shared" si="3"/>
        <v>7</v>
      </c>
    </row>
    <row r="32" spans="2:5" x14ac:dyDescent="0.3">
      <c r="B32" s="96" t="s">
        <v>184</v>
      </c>
      <c r="C32" s="85">
        <v>46149</v>
      </c>
      <c r="D32" s="85">
        <v>46155</v>
      </c>
      <c r="E32" s="91">
        <f t="shared" si="3"/>
        <v>7</v>
      </c>
    </row>
    <row r="33" spans="2:5" x14ac:dyDescent="0.3">
      <c r="B33" s="96" t="s">
        <v>185</v>
      </c>
      <c r="C33" s="85">
        <v>46156</v>
      </c>
      <c r="D33" s="85">
        <v>46162</v>
      </c>
      <c r="E33" s="91">
        <f t="shared" si="3"/>
        <v>7</v>
      </c>
    </row>
    <row r="34" spans="2:5" ht="15" thickBot="1" x14ac:dyDescent="0.35">
      <c r="B34" s="112" t="s">
        <v>186</v>
      </c>
      <c r="C34" s="113">
        <v>46163</v>
      </c>
      <c r="D34" s="113">
        <v>46169</v>
      </c>
      <c r="E34" s="114">
        <f t="shared" si="3"/>
        <v>7</v>
      </c>
    </row>
    <row r="35" spans="2:5" ht="15" thickBot="1" x14ac:dyDescent="0.35">
      <c r="B35" s="117" t="s">
        <v>189</v>
      </c>
      <c r="C35" s="118">
        <v>46114</v>
      </c>
      <c r="D35" s="118">
        <v>46163</v>
      </c>
      <c r="E35" s="119">
        <f t="shared" si="3"/>
        <v>50</v>
      </c>
    </row>
    <row r="36" spans="2:5" x14ac:dyDescent="0.3">
      <c r="B36" s="108" t="s">
        <v>179</v>
      </c>
      <c r="C36" s="109">
        <v>46114</v>
      </c>
      <c r="D36" s="109">
        <v>46123</v>
      </c>
      <c r="E36" s="116">
        <f t="shared" si="3"/>
        <v>10</v>
      </c>
    </row>
    <row r="37" spans="2:5" x14ac:dyDescent="0.3">
      <c r="B37" s="108" t="s">
        <v>180</v>
      </c>
      <c r="C37" s="109">
        <v>46124</v>
      </c>
      <c r="D37" s="109">
        <v>46133</v>
      </c>
      <c r="E37" s="110">
        <f t="shared" si="3"/>
        <v>10</v>
      </c>
    </row>
    <row r="38" spans="2:5" x14ac:dyDescent="0.3">
      <c r="B38" s="108" t="s">
        <v>181</v>
      </c>
      <c r="C38" s="109">
        <v>46134</v>
      </c>
      <c r="D38" s="109">
        <v>46143</v>
      </c>
      <c r="E38" s="110">
        <f t="shared" si="3"/>
        <v>10</v>
      </c>
    </row>
    <row r="39" spans="2:5" x14ac:dyDescent="0.3">
      <c r="B39" s="108" t="s">
        <v>182</v>
      </c>
      <c r="C39" s="109">
        <v>46144</v>
      </c>
      <c r="D39" s="109">
        <v>46153</v>
      </c>
      <c r="E39" s="110">
        <f t="shared" si="3"/>
        <v>10</v>
      </c>
    </row>
    <row r="40" spans="2:5" ht="15" thickBot="1" x14ac:dyDescent="0.35">
      <c r="B40" s="112" t="s">
        <v>183</v>
      </c>
      <c r="C40" s="113">
        <v>46154</v>
      </c>
      <c r="D40" s="113">
        <v>46163</v>
      </c>
      <c r="E40" s="114">
        <f t="shared" si="3"/>
        <v>10</v>
      </c>
    </row>
    <row r="41" spans="2:5" ht="15" thickBot="1" x14ac:dyDescent="0.35">
      <c r="B41" s="171" t="s">
        <v>294</v>
      </c>
      <c r="C41" s="172">
        <v>46272</v>
      </c>
      <c r="D41" s="172">
        <v>46278</v>
      </c>
      <c r="E41" s="116">
        <f t="shared" si="3"/>
        <v>7</v>
      </c>
    </row>
    <row r="42" spans="2:5" ht="15" thickBot="1" x14ac:dyDescent="0.35">
      <c r="B42" s="176" t="s">
        <v>297</v>
      </c>
      <c r="C42" s="177">
        <v>46278</v>
      </c>
      <c r="D42" s="177">
        <v>46305</v>
      </c>
      <c r="E42" s="178">
        <f t="shared" si="3"/>
        <v>28</v>
      </c>
    </row>
    <row r="43" spans="2:5" x14ac:dyDescent="0.3">
      <c r="B43" s="108" t="s">
        <v>298</v>
      </c>
      <c r="C43" s="109">
        <v>46278</v>
      </c>
      <c r="D43" s="109">
        <v>46280</v>
      </c>
      <c r="E43" s="115">
        <f t="shared" si="3"/>
        <v>3</v>
      </c>
    </row>
    <row r="44" spans="2:5" x14ac:dyDescent="0.3">
      <c r="B44" s="108" t="s">
        <v>300</v>
      </c>
      <c r="C44" s="109">
        <v>46281</v>
      </c>
      <c r="D44" s="109">
        <v>46283</v>
      </c>
      <c r="E44" s="115">
        <f t="shared" si="3"/>
        <v>3</v>
      </c>
    </row>
    <row r="45" spans="2:5" x14ac:dyDescent="0.3">
      <c r="B45" s="108" t="s">
        <v>299</v>
      </c>
      <c r="C45" s="109">
        <v>46284</v>
      </c>
      <c r="D45" s="109">
        <v>46286</v>
      </c>
      <c r="E45" s="115">
        <f t="shared" si="3"/>
        <v>3</v>
      </c>
    </row>
    <row r="46" spans="2:5" x14ac:dyDescent="0.3">
      <c r="B46" s="108" t="s">
        <v>301</v>
      </c>
      <c r="C46" s="109">
        <v>46287</v>
      </c>
      <c r="D46" s="109">
        <v>46289</v>
      </c>
      <c r="E46" s="115">
        <f t="shared" si="3"/>
        <v>3</v>
      </c>
    </row>
    <row r="47" spans="2:5" x14ac:dyDescent="0.3">
      <c r="B47" s="108" t="s">
        <v>302</v>
      </c>
      <c r="C47" s="109">
        <v>46290</v>
      </c>
      <c r="D47" s="109">
        <v>46292</v>
      </c>
      <c r="E47" s="115">
        <f t="shared" si="3"/>
        <v>3</v>
      </c>
    </row>
    <row r="48" spans="2:5" x14ac:dyDescent="0.3">
      <c r="B48" s="108" t="s">
        <v>303</v>
      </c>
      <c r="C48" s="109">
        <v>46293</v>
      </c>
      <c r="D48" s="109">
        <v>46295</v>
      </c>
      <c r="E48" s="115">
        <f t="shared" si="3"/>
        <v>3</v>
      </c>
    </row>
    <row r="49" spans="2:5" x14ac:dyDescent="0.3">
      <c r="B49" s="108" t="s">
        <v>304</v>
      </c>
      <c r="C49" s="109">
        <v>46296</v>
      </c>
      <c r="D49" s="109">
        <v>46298</v>
      </c>
      <c r="E49" s="115">
        <f t="shared" si="3"/>
        <v>3</v>
      </c>
    </row>
    <row r="50" spans="2:5" x14ac:dyDescent="0.3">
      <c r="B50" s="108" t="s">
        <v>305</v>
      </c>
      <c r="C50" s="109">
        <v>46299</v>
      </c>
      <c r="D50" s="109">
        <v>46301</v>
      </c>
      <c r="E50" s="115">
        <f t="shared" si="3"/>
        <v>3</v>
      </c>
    </row>
    <row r="51" spans="2:5" x14ac:dyDescent="0.3">
      <c r="B51" s="108" t="s">
        <v>306</v>
      </c>
      <c r="C51" s="109">
        <v>46278</v>
      </c>
      <c r="D51" s="109">
        <v>46284</v>
      </c>
      <c r="E51" s="115">
        <f t="shared" si="3"/>
        <v>7</v>
      </c>
    </row>
    <row r="52" spans="2:5" x14ac:dyDescent="0.3">
      <c r="B52" s="173" t="s">
        <v>308</v>
      </c>
      <c r="C52" s="174">
        <v>46285</v>
      </c>
      <c r="D52" s="174">
        <v>46291</v>
      </c>
      <c r="E52" s="175">
        <f t="shared" si="3"/>
        <v>7</v>
      </c>
    </row>
    <row r="53" spans="2:5" x14ac:dyDescent="0.3">
      <c r="B53" s="108" t="s">
        <v>307</v>
      </c>
      <c r="C53" s="109">
        <v>46292</v>
      </c>
      <c r="D53" s="109">
        <v>46298</v>
      </c>
      <c r="E53" s="115">
        <f t="shared" si="3"/>
        <v>7</v>
      </c>
    </row>
    <row r="54" spans="2:5" ht="15" thickBot="1" x14ac:dyDescent="0.35">
      <c r="B54" s="200" t="s">
        <v>309</v>
      </c>
      <c r="C54" s="201">
        <v>46299</v>
      </c>
      <c r="D54" s="201">
        <v>46305</v>
      </c>
      <c r="E54" s="202">
        <f t="shared" si="3"/>
        <v>7</v>
      </c>
    </row>
    <row r="55" spans="2:5" x14ac:dyDescent="0.3">
      <c r="B55" s="99" t="s">
        <v>187</v>
      </c>
      <c r="C55" s="100">
        <v>46305</v>
      </c>
      <c r="D55" s="100">
        <v>46305</v>
      </c>
      <c r="E55" s="101">
        <f t="shared" ref="E55:E57" si="4">_xlfn.DAYS(D55, C55)+1</f>
        <v>1</v>
      </c>
    </row>
    <row r="56" spans="2:5" x14ac:dyDescent="0.3">
      <c r="B56" s="57" t="s">
        <v>188</v>
      </c>
      <c r="C56" s="100">
        <v>46312</v>
      </c>
      <c r="D56" s="100">
        <v>46312</v>
      </c>
      <c r="E56" s="101">
        <f t="shared" si="4"/>
        <v>1</v>
      </c>
    </row>
    <row r="57" spans="2:5" x14ac:dyDescent="0.3">
      <c r="B57" s="99" t="s">
        <v>310</v>
      </c>
      <c r="C57" s="100">
        <v>46326</v>
      </c>
      <c r="D57" s="100">
        <v>46326</v>
      </c>
      <c r="E57" s="101">
        <f t="shared" si="4"/>
        <v>1</v>
      </c>
    </row>
    <row r="58" spans="2:5" ht="15" thickBot="1" x14ac:dyDescent="0.35">
      <c r="B58" s="102" t="s">
        <v>311</v>
      </c>
      <c r="C58" s="103">
        <v>46327</v>
      </c>
      <c r="D58" s="103">
        <v>46336</v>
      </c>
      <c r="E58" s="104">
        <f t="shared" si="3"/>
        <v>10</v>
      </c>
    </row>
    <row r="59" spans="2:5" x14ac:dyDescent="0.3">
      <c r="B59" s="105" t="s">
        <v>75</v>
      </c>
      <c r="C59" s="106">
        <v>46146</v>
      </c>
      <c r="D59" s="106">
        <v>46148</v>
      </c>
      <c r="E59" s="107">
        <f t="shared" si="3"/>
        <v>3</v>
      </c>
    </row>
    <row r="60" spans="2:5" x14ac:dyDescent="0.3">
      <c r="B60" s="94" t="s">
        <v>76</v>
      </c>
      <c r="C60" s="89">
        <v>46169</v>
      </c>
      <c r="D60" s="89">
        <v>46169</v>
      </c>
      <c r="E60" s="95">
        <f t="shared" si="3"/>
        <v>1</v>
      </c>
    </row>
    <row r="61" spans="2:5" x14ac:dyDescent="0.3">
      <c r="B61" s="105" t="s">
        <v>78</v>
      </c>
      <c r="C61" s="106">
        <v>46174</v>
      </c>
      <c r="D61" s="106">
        <v>46176</v>
      </c>
      <c r="E61" s="107">
        <f t="shared" si="3"/>
        <v>3</v>
      </c>
    </row>
    <row r="62" spans="2:5" x14ac:dyDescent="0.3">
      <c r="B62" s="105" t="s">
        <v>77</v>
      </c>
      <c r="C62" s="106">
        <v>46197</v>
      </c>
      <c r="D62" s="106">
        <v>46197</v>
      </c>
      <c r="E62" s="107">
        <f t="shared" si="3"/>
        <v>1</v>
      </c>
    </row>
    <row r="63" spans="2:5" ht="15" thickBot="1" x14ac:dyDescent="0.35">
      <c r="B63" s="102" t="s">
        <v>194</v>
      </c>
      <c r="C63" s="103">
        <v>46314</v>
      </c>
      <c r="D63" s="103">
        <v>46316</v>
      </c>
      <c r="E63" s="104">
        <f t="shared" ref="E63:E64" si="5">_xlfn.DAYS(D63, C63)+1</f>
        <v>3</v>
      </c>
    </row>
    <row r="64" spans="2:5" x14ac:dyDescent="0.3">
      <c r="B64" s="79" t="s">
        <v>195</v>
      </c>
      <c r="C64" s="123">
        <v>46337</v>
      </c>
      <c r="D64" s="123">
        <v>46337</v>
      </c>
      <c r="E64" s="124">
        <f t="shared" si="5"/>
        <v>1</v>
      </c>
    </row>
    <row r="65" spans="2:5" x14ac:dyDescent="0.3">
      <c r="B65" s="183" t="s">
        <v>38</v>
      </c>
      <c r="C65" s="184"/>
      <c r="D65" s="184"/>
      <c r="E65" s="184"/>
    </row>
    <row r="66" spans="2:5" x14ac:dyDescent="0.3">
      <c r="B66" s="96" t="s">
        <v>74</v>
      </c>
      <c r="C66" s="85">
        <v>46024</v>
      </c>
      <c r="D66" s="85">
        <v>46053</v>
      </c>
      <c r="E66" s="91">
        <f>_xlfn.DAYS(D66, C66)+1</f>
        <v>30</v>
      </c>
    </row>
    <row r="67" spans="2:5" x14ac:dyDescent="0.3">
      <c r="B67" s="96" t="s">
        <v>72</v>
      </c>
      <c r="C67" s="85">
        <v>46053</v>
      </c>
      <c r="D67" s="85">
        <v>46098</v>
      </c>
      <c r="E67" s="91">
        <f t="shared" ref="E67:E69" si="6">_xlfn.DAYS(D67, C67)+1</f>
        <v>46</v>
      </c>
    </row>
    <row r="68" spans="2:5" x14ac:dyDescent="0.3">
      <c r="B68" s="96" t="s">
        <v>75</v>
      </c>
      <c r="C68" s="85">
        <v>46041</v>
      </c>
      <c r="D68" s="85">
        <v>46069</v>
      </c>
      <c r="E68" s="91">
        <f t="shared" si="6"/>
        <v>29</v>
      </c>
    </row>
    <row r="69" spans="2:5" x14ac:dyDescent="0.3">
      <c r="B69" s="98" t="s">
        <v>76</v>
      </c>
      <c r="C69" s="88">
        <v>46100</v>
      </c>
      <c r="D69" s="88">
        <v>46100</v>
      </c>
      <c r="E69" s="91">
        <f t="shared" si="6"/>
        <v>1</v>
      </c>
    </row>
    <row r="70" spans="2:5" x14ac:dyDescent="0.3">
      <c r="B70" s="94" t="s">
        <v>78</v>
      </c>
      <c r="C70" s="89">
        <v>46139</v>
      </c>
      <c r="D70" s="89">
        <v>46165</v>
      </c>
      <c r="E70" s="90">
        <f>_xlfn.DAYS(D70, C70)+1</f>
        <v>27</v>
      </c>
    </row>
    <row r="71" spans="2:5" x14ac:dyDescent="0.3">
      <c r="B71" s="94" t="s">
        <v>77</v>
      </c>
      <c r="C71" s="89">
        <v>46191</v>
      </c>
      <c r="D71" s="89">
        <v>46191</v>
      </c>
      <c r="E71" s="90">
        <f>_xlfn.DAYS(D71, C71)+1</f>
        <v>1</v>
      </c>
    </row>
    <row r="72" spans="2:5" x14ac:dyDescent="0.3">
      <c r="B72" s="183" t="s">
        <v>83</v>
      </c>
      <c r="C72" s="184"/>
      <c r="D72" s="184"/>
      <c r="E72" s="184"/>
    </row>
    <row r="73" spans="2:5" x14ac:dyDescent="0.3">
      <c r="B73" s="57" t="s">
        <v>71</v>
      </c>
      <c r="C73" s="31"/>
      <c r="D73" s="31"/>
      <c r="E73" s="87">
        <f>_xlfn.DAYS(D73, C73)+1</f>
        <v>1</v>
      </c>
    </row>
    <row r="74" spans="2:5" x14ac:dyDescent="0.3">
      <c r="B74" s="57" t="s">
        <v>72</v>
      </c>
      <c r="C74" s="31"/>
      <c r="D74" s="31"/>
      <c r="E74" s="87">
        <f t="shared" ref="E74:E78" si="7">_xlfn.DAYS(D74, C74)+1</f>
        <v>1</v>
      </c>
    </row>
    <row r="75" spans="2:5" x14ac:dyDescent="0.3">
      <c r="B75" s="57" t="s">
        <v>75</v>
      </c>
      <c r="C75" s="31"/>
      <c r="D75" s="31"/>
      <c r="E75" s="87">
        <f t="shared" si="7"/>
        <v>1</v>
      </c>
    </row>
    <row r="76" spans="2:5" x14ac:dyDescent="0.3">
      <c r="B76" s="57" t="s">
        <v>76</v>
      </c>
      <c r="C76" s="31"/>
      <c r="D76" s="31"/>
      <c r="E76" s="87">
        <f t="shared" si="7"/>
        <v>1</v>
      </c>
    </row>
    <row r="77" spans="2:5" x14ac:dyDescent="0.3">
      <c r="B77" s="57" t="s">
        <v>78</v>
      </c>
      <c r="C77" s="31"/>
      <c r="D77" s="31"/>
      <c r="E77" s="87">
        <f t="shared" si="7"/>
        <v>1</v>
      </c>
    </row>
    <row r="78" spans="2:5" x14ac:dyDescent="0.3">
      <c r="B78" s="57" t="s">
        <v>77</v>
      </c>
      <c r="C78" s="31"/>
      <c r="D78" s="31"/>
      <c r="E78" s="87">
        <f t="shared" si="7"/>
        <v>1</v>
      </c>
    </row>
  </sheetData>
  <mergeCells count="7">
    <mergeCell ref="B25:E25"/>
    <mergeCell ref="B65:E65"/>
    <mergeCell ref="B72:E72"/>
    <mergeCell ref="G10:I10"/>
    <mergeCell ref="B11:E11"/>
    <mergeCell ref="B16:E16"/>
    <mergeCell ref="B21:E21"/>
  </mergeCells>
  <phoneticPr fontId="12" type="noConversion"/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8C7420-0C7D-49A8-8B9A-AAD982F08176}">
  <sheetPr codeName="Sheet3"/>
  <dimension ref="B2:K33"/>
  <sheetViews>
    <sheetView zoomScale="82" zoomScaleNormal="85" workbookViewId="0">
      <pane xSplit="2" ySplit="3" topLeftCell="C24" activePane="bottomRight" state="frozen"/>
      <selection pane="topRight" activeCell="C1" sqref="C1"/>
      <selection pane="bottomLeft" activeCell="A4" sqref="A4"/>
      <selection pane="bottomRight" activeCell="E19" sqref="E19"/>
    </sheetView>
  </sheetViews>
  <sheetFormatPr defaultColWidth="11.5546875" defaultRowHeight="14.4" x14ac:dyDescent="0.3"/>
  <cols>
    <col min="2" max="2" width="26.44140625" bestFit="1" customWidth="1"/>
    <col min="3" max="3" width="20.6640625" bestFit="1" customWidth="1"/>
    <col min="4" max="4" width="28" bestFit="1" customWidth="1"/>
    <col min="5" max="5" width="28.6640625" bestFit="1" customWidth="1"/>
    <col min="6" max="6" width="30" bestFit="1" customWidth="1"/>
    <col min="7" max="9" width="28.6640625" bestFit="1" customWidth="1"/>
    <col min="10" max="10" width="30.6640625" bestFit="1" customWidth="1"/>
    <col min="11" max="13" width="29.44140625" bestFit="1" customWidth="1"/>
  </cols>
  <sheetData>
    <row r="2" spans="3:11" ht="15" thickBot="1" x14ac:dyDescent="0.35"/>
    <row r="3" spans="3:11" ht="21.6" thickBot="1" x14ac:dyDescent="0.35">
      <c r="C3" s="3" t="s">
        <v>8</v>
      </c>
      <c r="D3" s="4" t="s">
        <v>9</v>
      </c>
      <c r="E3" s="4" t="s">
        <v>10</v>
      </c>
      <c r="F3" s="4" t="s">
        <v>11</v>
      </c>
      <c r="G3" s="4" t="s">
        <v>12</v>
      </c>
      <c r="H3" s="4" t="s">
        <v>13</v>
      </c>
      <c r="I3" s="5" t="s">
        <v>14</v>
      </c>
      <c r="J3" s="193" t="s">
        <v>25</v>
      </c>
      <c r="K3" s="194"/>
    </row>
    <row r="4" spans="3:11" ht="40.200000000000003" x14ac:dyDescent="0.3">
      <c r="C4" s="16" t="s">
        <v>167</v>
      </c>
      <c r="D4" s="16" t="s">
        <v>167</v>
      </c>
      <c r="E4" s="16" t="s">
        <v>167</v>
      </c>
      <c r="F4" s="16" t="s">
        <v>167</v>
      </c>
      <c r="G4" s="16" t="s">
        <v>167</v>
      </c>
      <c r="H4" s="16" t="s">
        <v>287</v>
      </c>
      <c r="I4" s="11" t="s">
        <v>287</v>
      </c>
      <c r="J4" s="39"/>
      <c r="K4" s="40"/>
    </row>
    <row r="5" spans="3:11" ht="40.200000000000003" x14ac:dyDescent="0.3">
      <c r="C5" s="12" t="s">
        <v>15</v>
      </c>
      <c r="D5" s="12" t="s">
        <v>15</v>
      </c>
      <c r="E5" s="12" t="s">
        <v>15</v>
      </c>
      <c r="F5" s="12" t="s">
        <v>15</v>
      </c>
      <c r="G5" s="12" t="s">
        <v>15</v>
      </c>
      <c r="H5" s="9" t="s">
        <v>288</v>
      </c>
      <c r="I5" s="26" t="s">
        <v>314</v>
      </c>
      <c r="J5" s="41"/>
      <c r="K5" s="42"/>
    </row>
    <row r="6" spans="3:11" ht="57" x14ac:dyDescent="0.3">
      <c r="C6" s="13" t="s">
        <v>26</v>
      </c>
      <c r="D6" s="13" t="s">
        <v>254</v>
      </c>
      <c r="E6" s="13" t="s">
        <v>265</v>
      </c>
      <c r="F6" s="13" t="s">
        <v>26</v>
      </c>
      <c r="G6" s="13" t="s">
        <v>26</v>
      </c>
      <c r="H6" s="169" t="s">
        <v>289</v>
      </c>
      <c r="I6" s="27" t="s">
        <v>315</v>
      </c>
      <c r="J6" s="41"/>
      <c r="K6" s="42"/>
    </row>
    <row r="7" spans="3:11" ht="41.4" x14ac:dyDescent="0.3">
      <c r="C7" s="14" t="s">
        <v>27</v>
      </c>
      <c r="D7" s="14" t="s">
        <v>255</v>
      </c>
      <c r="E7" s="14" t="s">
        <v>266</v>
      </c>
      <c r="F7" s="14" t="s">
        <v>270</v>
      </c>
      <c r="G7" s="14" t="s">
        <v>27</v>
      </c>
      <c r="H7" s="10" t="s">
        <v>290</v>
      </c>
      <c r="I7" s="28" t="s">
        <v>317</v>
      </c>
      <c r="J7" s="41"/>
      <c r="K7" s="42"/>
    </row>
    <row r="8" spans="3:11" ht="41.4" x14ac:dyDescent="0.3">
      <c r="C8" s="15" t="s">
        <v>276</v>
      </c>
      <c r="D8" s="15" t="s">
        <v>253</v>
      </c>
      <c r="E8" s="15" t="s">
        <v>16</v>
      </c>
      <c r="F8" s="15" t="s">
        <v>275</v>
      </c>
      <c r="G8" s="15" t="s">
        <v>276</v>
      </c>
      <c r="H8" s="2" t="s">
        <v>291</v>
      </c>
      <c r="I8" s="27" t="s">
        <v>318</v>
      </c>
      <c r="J8" s="41"/>
      <c r="K8" s="42"/>
    </row>
    <row r="9" spans="3:11" ht="41.4" x14ac:dyDescent="0.3">
      <c r="C9" s="14" t="s">
        <v>277</v>
      </c>
      <c r="D9" s="14" t="s">
        <v>286</v>
      </c>
      <c r="E9" s="14" t="s">
        <v>163</v>
      </c>
      <c r="F9" s="14" t="s">
        <v>278</v>
      </c>
      <c r="G9" s="14" t="s">
        <v>278</v>
      </c>
      <c r="H9" s="10" t="s">
        <v>292</v>
      </c>
      <c r="I9" s="28" t="s">
        <v>140</v>
      </c>
      <c r="J9" s="41"/>
      <c r="K9" s="42"/>
    </row>
    <row r="10" spans="3:11" ht="41.4" x14ac:dyDescent="0.3">
      <c r="C10" s="15" t="s">
        <v>250</v>
      </c>
      <c r="D10" s="15" t="s">
        <v>164</v>
      </c>
      <c r="E10" s="15" t="s">
        <v>164</v>
      </c>
      <c r="F10" s="15" t="s">
        <v>271</v>
      </c>
      <c r="G10" s="15" t="s">
        <v>250</v>
      </c>
      <c r="H10" s="2" t="s">
        <v>19</v>
      </c>
      <c r="I10" s="27" t="s">
        <v>17</v>
      </c>
      <c r="J10" s="41"/>
      <c r="K10" s="42"/>
    </row>
    <row r="11" spans="3:11" ht="41.4" x14ac:dyDescent="0.3">
      <c r="C11" s="10" t="s">
        <v>251</v>
      </c>
      <c r="D11" s="10" t="s">
        <v>165</v>
      </c>
      <c r="E11" s="10" t="s">
        <v>165</v>
      </c>
      <c r="F11" s="10" t="s">
        <v>272</v>
      </c>
      <c r="G11" s="10" t="s">
        <v>251</v>
      </c>
      <c r="H11" s="10" t="s">
        <v>20</v>
      </c>
      <c r="I11" s="26" t="s">
        <v>18</v>
      </c>
      <c r="J11" s="41"/>
      <c r="K11" s="42"/>
    </row>
    <row r="12" spans="3:11" ht="41.4" x14ac:dyDescent="0.3">
      <c r="C12" s="2" t="s">
        <v>282</v>
      </c>
      <c r="D12" s="2" t="s">
        <v>285</v>
      </c>
      <c r="E12" s="2" t="s">
        <v>285</v>
      </c>
      <c r="F12" s="2" t="s">
        <v>282</v>
      </c>
      <c r="G12" s="2" t="s">
        <v>282</v>
      </c>
      <c r="H12" s="2" t="s">
        <v>171</v>
      </c>
      <c r="I12" s="27" t="s">
        <v>19</v>
      </c>
      <c r="J12" s="41"/>
      <c r="K12" s="42"/>
    </row>
    <row r="13" spans="3:11" ht="41.4" x14ac:dyDescent="0.3">
      <c r="C13" s="14" t="s">
        <v>281</v>
      </c>
      <c r="D13" s="14" t="s">
        <v>281</v>
      </c>
      <c r="E13" s="14" t="s">
        <v>281</v>
      </c>
      <c r="F13" s="14" t="s">
        <v>283</v>
      </c>
      <c r="G13" s="14" t="s">
        <v>281</v>
      </c>
      <c r="H13" s="10" t="s">
        <v>172</v>
      </c>
      <c r="I13" s="28" t="s">
        <v>20</v>
      </c>
      <c r="J13" s="41"/>
      <c r="K13" s="42"/>
    </row>
    <row r="14" spans="3:11" ht="41.4" x14ac:dyDescent="0.3">
      <c r="C14" s="2" t="s">
        <v>19</v>
      </c>
      <c r="D14" s="2" t="s">
        <v>19</v>
      </c>
      <c r="E14" s="2" t="s">
        <v>19</v>
      </c>
      <c r="F14" s="2" t="s">
        <v>273</v>
      </c>
      <c r="G14" s="2" t="s">
        <v>19</v>
      </c>
      <c r="H14" s="2" t="s">
        <v>161</v>
      </c>
      <c r="I14" s="167" t="s">
        <v>279</v>
      </c>
      <c r="J14" s="41"/>
      <c r="K14" s="42"/>
    </row>
    <row r="15" spans="3:11" ht="41.4" x14ac:dyDescent="0.3">
      <c r="C15" s="10" t="s">
        <v>252</v>
      </c>
      <c r="D15" s="10" t="s">
        <v>256</v>
      </c>
      <c r="E15" s="10" t="s">
        <v>252</v>
      </c>
      <c r="F15" s="10" t="s">
        <v>274</v>
      </c>
      <c r="G15" s="10" t="s">
        <v>252</v>
      </c>
      <c r="H15" s="10" t="s">
        <v>22</v>
      </c>
      <c r="I15" s="168" t="s">
        <v>316</v>
      </c>
      <c r="J15" s="41"/>
      <c r="K15" s="42"/>
    </row>
    <row r="16" spans="3:11" ht="41.4" x14ac:dyDescent="0.3">
      <c r="C16" s="16" t="s">
        <v>279</v>
      </c>
      <c r="D16" s="16" t="s">
        <v>257</v>
      </c>
      <c r="E16" s="16" t="s">
        <v>267</v>
      </c>
      <c r="F16" s="16" t="s">
        <v>284</v>
      </c>
      <c r="G16" s="16" t="s">
        <v>279</v>
      </c>
      <c r="H16" s="7"/>
      <c r="I16" s="2" t="s">
        <v>161</v>
      </c>
      <c r="J16" s="41"/>
      <c r="K16" s="42"/>
    </row>
    <row r="17" spans="2:11" ht="41.4" x14ac:dyDescent="0.3">
      <c r="C17" s="12" t="s">
        <v>280</v>
      </c>
      <c r="D17" s="12" t="s">
        <v>258</v>
      </c>
      <c r="E17" s="12" t="s">
        <v>268</v>
      </c>
      <c r="F17" s="12" t="s">
        <v>21</v>
      </c>
      <c r="G17" s="12" t="s">
        <v>280</v>
      </c>
      <c r="H17" s="7"/>
      <c r="I17" s="10" t="s">
        <v>22</v>
      </c>
      <c r="J17" s="41"/>
      <c r="K17" s="42"/>
    </row>
    <row r="18" spans="2:11" ht="41.4" x14ac:dyDescent="0.3">
      <c r="C18" s="13" t="s">
        <v>161</v>
      </c>
      <c r="D18" s="13" t="s">
        <v>260</v>
      </c>
      <c r="E18" s="13" t="s">
        <v>269</v>
      </c>
      <c r="F18" s="13" t="s">
        <v>262</v>
      </c>
      <c r="G18" s="13" t="s">
        <v>161</v>
      </c>
      <c r="H18" s="7"/>
      <c r="I18" s="29"/>
      <c r="J18" s="41"/>
      <c r="K18" s="42"/>
    </row>
    <row r="19" spans="2:11" ht="63" customHeight="1" x14ac:dyDescent="0.3">
      <c r="C19" s="14" t="s">
        <v>22</v>
      </c>
      <c r="D19" s="14" t="s">
        <v>259</v>
      </c>
      <c r="E19" s="14" t="s">
        <v>161</v>
      </c>
      <c r="F19" s="14" t="s">
        <v>263</v>
      </c>
      <c r="G19" s="14" t="s">
        <v>22</v>
      </c>
      <c r="H19" s="7"/>
      <c r="I19" s="8"/>
      <c r="J19" s="41"/>
      <c r="K19" s="42"/>
    </row>
    <row r="20" spans="2:11" ht="63" customHeight="1" x14ac:dyDescent="0.3">
      <c r="C20" s="6"/>
      <c r="D20" s="15" t="s">
        <v>261</v>
      </c>
      <c r="E20" s="15" t="s">
        <v>22</v>
      </c>
      <c r="F20" s="15" t="s">
        <v>264</v>
      </c>
      <c r="G20" s="7"/>
      <c r="H20" s="7"/>
      <c r="I20" s="166"/>
      <c r="J20" s="41"/>
      <c r="K20" s="42"/>
    </row>
    <row r="21" spans="2:11" ht="63" customHeight="1" x14ac:dyDescent="0.3">
      <c r="C21" s="6"/>
      <c r="D21" s="14" t="s">
        <v>262</v>
      </c>
      <c r="E21" s="7"/>
      <c r="F21" s="14" t="s">
        <v>23</v>
      </c>
      <c r="G21" s="7"/>
      <c r="H21" s="7"/>
      <c r="I21" s="166"/>
      <c r="J21" s="41"/>
      <c r="K21" s="42"/>
    </row>
    <row r="22" spans="2:11" ht="63" customHeight="1" x14ac:dyDescent="0.3">
      <c r="C22" s="6"/>
      <c r="D22" s="2" t="s">
        <v>263</v>
      </c>
      <c r="E22" s="7"/>
      <c r="F22" s="7"/>
      <c r="G22" s="7"/>
      <c r="H22" s="7"/>
      <c r="I22" s="166"/>
      <c r="J22" s="41"/>
      <c r="K22" s="42"/>
    </row>
    <row r="23" spans="2:11" ht="66.75" customHeight="1" x14ac:dyDescent="0.3">
      <c r="C23" s="6"/>
      <c r="D23" s="10" t="s">
        <v>264</v>
      </c>
      <c r="E23" s="7"/>
      <c r="F23" s="7"/>
      <c r="G23" s="7"/>
      <c r="H23" s="7"/>
      <c r="I23" s="7"/>
      <c r="J23" s="41"/>
      <c r="K23" s="42"/>
    </row>
    <row r="24" spans="2:11" ht="66.75" customHeight="1" thickBot="1" x14ac:dyDescent="0.35">
      <c r="C24" s="6"/>
      <c r="D24" s="165" t="s">
        <v>23</v>
      </c>
      <c r="E24" s="7"/>
      <c r="F24" s="7"/>
      <c r="G24" s="7"/>
      <c r="H24" s="7"/>
      <c r="I24" s="7"/>
      <c r="J24" s="41"/>
      <c r="K24" s="42"/>
    </row>
    <row r="25" spans="2:11" ht="21" x14ac:dyDescent="0.3">
      <c r="B25" s="80" t="s">
        <v>0</v>
      </c>
      <c r="C25" s="51" t="str">
        <f>ROUND(3,3)&amp;" (3h)"</f>
        <v>3 (3h)</v>
      </c>
      <c r="D25" s="34" t="str">
        <f>ROUND(2,3)&amp;" (2h)"</f>
        <v>2 (2h)</v>
      </c>
      <c r="E25" s="34" t="str">
        <f>ROUND(2,3)&amp;" (2h)"</f>
        <v>2 (2h)</v>
      </c>
      <c r="F25" s="34" t="str">
        <f>ROUND(3,3)&amp;" (3h)"</f>
        <v>3 (3h)</v>
      </c>
      <c r="G25" s="34" t="str">
        <f>ROUND(3,3)&amp;" (3h)"</f>
        <v>3 (3h)</v>
      </c>
      <c r="H25" s="34" t="str">
        <f>ROUND(4,3)&amp;" (4h)"</f>
        <v>4 (4h)</v>
      </c>
      <c r="I25" s="44" t="str">
        <f>ROUND(3.5,3)&amp;" (3h30)"</f>
        <v>3,5 (3h30)</v>
      </c>
      <c r="J25" s="47">
        <f t="shared" ref="J25" si="0">SUM(VALUE(LEFT(C25,FIND(" ",C25)-1)),VALUE(LEFT(D25,FIND(" ",D25)-1)),VALUE(LEFT(E25,FIND(" ",E25)-1)),VALUE(LEFT(F25,FIND(" ",F25)-1)),VALUE(LEFT(G25,FIND(" ",G25)-1)),VALUE(LEFT(H25,FIND(" ",H25)-1)),VALUE(LEFT(I25,FIND(" ",I25)-1)))</f>
        <v>20.5</v>
      </c>
      <c r="K25" s="35" t="str">
        <f t="shared" ref="K25" si="1">ROUNDDOWN(J25,0)&amp;"h"&amp;ROUND((J25-ROUNDDOWN(J25,0))*60,0)</f>
        <v>20h30</v>
      </c>
    </row>
    <row r="26" spans="2:11" ht="21" x14ac:dyDescent="0.3">
      <c r="B26" s="81" t="s">
        <v>2</v>
      </c>
      <c r="C26" s="52" t="str">
        <f>ROUND(95/60,3)&amp;" (1h10)"</f>
        <v>1,583 (1h10)</v>
      </c>
      <c r="D26" s="33" t="str">
        <f>ROUND(70/60,3)&amp;" (1h05)"</f>
        <v>1,167 (1h05)</v>
      </c>
      <c r="E26" s="33" t="str">
        <f>ROUND(50/60,3)&amp;" (0h50)"</f>
        <v>0,833 (0h50)</v>
      </c>
      <c r="F26" s="33" t="str">
        <f t="shared" ref="C26:I32" si="2">ROUND(0,3)&amp;" (0h)"</f>
        <v>0 (0h)</v>
      </c>
      <c r="G26" s="52" t="str">
        <f>ROUND(95/60,3)&amp;" (1h10)"</f>
        <v>1,583 (1h10)</v>
      </c>
      <c r="H26" s="33" t="str">
        <f>ROUND(0,3)&amp;" (0h)"</f>
        <v>0 (0h)</v>
      </c>
      <c r="I26" s="45" t="str">
        <f>ROUND(0,3)&amp;" (0h)"</f>
        <v>0 (0h)</v>
      </c>
      <c r="J26" s="48">
        <f>SUM(VALUE(LEFT(C26,FIND(" ",C26)-1)),VALUE(LEFT(D26,FIND(" ",D26)-1)),VALUE(LEFT(E26,FIND(" ",E26)-1)),VALUE(LEFT(F26,FIND(" ",F26)-1)),VALUE(LEFT(G26,FIND(" ",G26)-1)),VALUE(LEFT(H26,FIND(" ",H26)-1)),VALUE(LEFT(I26,FIND(" ",I26)-1)))</f>
        <v>5.1660000000000004</v>
      </c>
      <c r="K26" s="36" t="str">
        <f>ROUNDDOWN(J26,0)&amp;"h"&amp;ROUND((J26-ROUNDDOWN(J26,0))*60,0)</f>
        <v>5h10</v>
      </c>
    </row>
    <row r="27" spans="2:11" ht="21" x14ac:dyDescent="0.3">
      <c r="B27" s="81" t="s">
        <v>166</v>
      </c>
      <c r="C27" s="52" t="str">
        <f>ROUND(4+3/4,3)&amp;" (4h45)"</f>
        <v>4,75 (4h45)</v>
      </c>
      <c r="D27" s="52" t="str">
        <f>ROUND(5,3)&amp;" (5h)"</f>
        <v>5 (5h)</v>
      </c>
      <c r="E27" s="52" t="str">
        <f>ROUND(5.5,3)&amp;" (5h30)"</f>
        <v>5,5 (5h30)</v>
      </c>
      <c r="F27" s="52" t="str">
        <f>ROUND(4+3/4,3)&amp;" (4h45)"</f>
        <v>4,75 (4h45)</v>
      </c>
      <c r="G27" s="52" t="str">
        <f>ROUND(4+3/4,3)&amp;" (4h45)"</f>
        <v>4,75 (4h45)</v>
      </c>
      <c r="H27" s="52" t="str">
        <f t="shared" si="2"/>
        <v>0 (0h)</v>
      </c>
      <c r="I27" s="52" t="str">
        <f t="shared" si="2"/>
        <v>0 (0h)</v>
      </c>
      <c r="J27" s="48">
        <f>SUM(VALUE(LEFT(C27,FIND(" ",C27)-1)),VALUE(LEFT(D27,FIND(" ",D27)-1)),VALUE(LEFT(E27,FIND(" ",E27)-1)),VALUE(LEFT(F27,FIND(" ",F27)-1)),VALUE(LEFT(G27,FIND(" ",G27)-1)),VALUE(LEFT(H27,FIND(" ",H27)-1)),VALUE(LEFT(I27,FIND(" ",I27)-1)))</f>
        <v>24.75</v>
      </c>
      <c r="K27" s="36" t="str">
        <f>ROUNDDOWN(J27,0)&amp;"h"&amp;ROUND((J27-ROUNDDOWN(J27,0))*60,0)</f>
        <v>24h45</v>
      </c>
    </row>
    <row r="28" spans="2:11" ht="21" x14ac:dyDescent="0.3">
      <c r="B28" s="81" t="s">
        <v>3</v>
      </c>
      <c r="C28" s="52" t="str">
        <f t="shared" si="2"/>
        <v>0 (0h)</v>
      </c>
      <c r="D28" s="33" t="str">
        <f t="shared" si="2"/>
        <v>0 (0h)</v>
      </c>
      <c r="E28" s="33" t="str">
        <f t="shared" si="2"/>
        <v>0 (0h)</v>
      </c>
      <c r="F28" s="52" t="str">
        <f>ROUND(95/60,3)&amp;" (1h10)"</f>
        <v>1,583 (1h10)</v>
      </c>
      <c r="G28" s="33" t="str">
        <f t="shared" si="2"/>
        <v>0 (0h)</v>
      </c>
      <c r="H28" s="33" t="str">
        <f>ROUND(2,3)&amp;" (2h)"</f>
        <v>2 (2h)</v>
      </c>
      <c r="I28" s="45" t="str">
        <f>ROUND(1,3)&amp;" (1h)"</f>
        <v>1 (1h)</v>
      </c>
      <c r="J28" s="48">
        <f>SUM(VALUE(LEFT(C28,FIND(" ",C28)-1)),VALUE(LEFT(D28,FIND(" ",D28)-1)),VALUE(LEFT(E28,FIND(" ",E28)-1)),VALUE(LEFT(F28,FIND(" ",F28)-1)),VALUE(LEFT(G28,FIND(" ",G28)-1)),VALUE(LEFT(H28,FIND(" ",H28)-1)),VALUE(LEFT(I28,FIND(" ",I28)-1)))</f>
        <v>4.5830000000000002</v>
      </c>
      <c r="K28" s="36" t="str">
        <f>ROUNDDOWN(J28,0)&amp;"h"&amp;ROUND((J28-ROUNDDOWN(J28,0))*60,0)</f>
        <v>4h35</v>
      </c>
    </row>
    <row r="29" spans="2:11" ht="21" x14ac:dyDescent="0.3">
      <c r="B29" s="81" t="s">
        <v>173</v>
      </c>
      <c r="C29" s="52" t="str">
        <f t="shared" si="2"/>
        <v>0 (0h)</v>
      </c>
      <c r="D29" s="33" t="str">
        <f>ROUND(2,3)&amp;" (2h)"</f>
        <v>2 (2h)</v>
      </c>
      <c r="E29" s="33" t="str">
        <f t="shared" si="2"/>
        <v>0 (0h)</v>
      </c>
      <c r="F29" s="33" t="str">
        <f>ROUND(2,3)&amp;" (2h)"</f>
        <v>2 (2h)</v>
      </c>
      <c r="G29" s="33" t="str">
        <f t="shared" si="2"/>
        <v>0 (0h)</v>
      </c>
      <c r="H29" s="33" t="str">
        <f t="shared" si="2"/>
        <v>0 (0h)</v>
      </c>
      <c r="I29" s="45" t="str">
        <f>ROUND(1.5,3)&amp;" (1h30)"</f>
        <v>1,5 (1h30)</v>
      </c>
      <c r="J29" s="48">
        <f>SUM(VALUE(LEFT(C29,FIND(" ",C29)-1)),VALUE(LEFT(D29,FIND(" ",D29)-1)),VALUE(LEFT(E29,FIND(" ",E29)-1)),VALUE(LEFT(F29,FIND(" ",F29)-1)),VALUE(LEFT(G29,FIND(" ",G29)-1)),VALUE(LEFT(H29,FIND(" ",H29)-1)),VALUE(LEFT(I29,FIND(" ",I29)-1)))</f>
        <v>5.5</v>
      </c>
      <c r="K29" s="36" t="str">
        <f>ROUNDDOWN(J29,0)&amp;"h"&amp;ROUND((J29-ROUNDDOWN(J29,0))*60,0)</f>
        <v>5h30</v>
      </c>
    </row>
    <row r="30" spans="2:11" ht="21" x14ac:dyDescent="0.3">
      <c r="B30" s="81" t="s">
        <v>6</v>
      </c>
      <c r="C30" s="52" t="str">
        <f t="shared" si="2"/>
        <v>0 (0h)</v>
      </c>
      <c r="D30" s="33" t="str">
        <f t="shared" si="2"/>
        <v>0 (0h)</v>
      </c>
      <c r="E30" s="33" t="str">
        <f t="shared" si="2"/>
        <v>0 (0h)</v>
      </c>
      <c r="F30" s="33" t="str">
        <f t="shared" si="2"/>
        <v>0 (0h)</v>
      </c>
      <c r="G30" s="33" t="str">
        <f t="shared" si="2"/>
        <v>0 (0h)</v>
      </c>
      <c r="H30" s="33" t="str">
        <f>ROUND(2,3)&amp;" (2h)"</f>
        <v>2 (2h)</v>
      </c>
      <c r="I30" s="45" t="str">
        <f>ROUND(2,3)&amp;" (2h)"</f>
        <v>2 (2h)</v>
      </c>
      <c r="J30" s="48">
        <f t="shared" ref="J30:J31" si="3">SUM(VALUE(LEFT(C30,FIND(" ",C30)-1)),VALUE(LEFT(D30,FIND(" ",D30)-1)),VALUE(LEFT(E30,FIND(" ",E30)-1)),VALUE(LEFT(F30,FIND(" ",F30)-1)),VALUE(LEFT(G30,FIND(" ",G30)-1)),VALUE(LEFT(H30,FIND(" ",H30)-1)),VALUE(LEFT(I30,FIND(" ",I30)-1)))</f>
        <v>4</v>
      </c>
      <c r="K30" s="36" t="str">
        <f>ROUNDDOWN(J30,0)&amp;"h"&amp;ROUND((J30-ROUNDDOWN(J30,0))*60,0)</f>
        <v>4h0</v>
      </c>
    </row>
    <row r="31" spans="2:11" ht="21" x14ac:dyDescent="0.3">
      <c r="B31" s="81" t="s">
        <v>24</v>
      </c>
      <c r="C31" s="52" t="str">
        <f>ROUND(2.5,3)&amp;" (2h30)"</f>
        <v>2,5 (2h30)</v>
      </c>
      <c r="D31" s="33" t="str">
        <f>ROUND(0,3)&amp;" (0h)"</f>
        <v>0 (0h)</v>
      </c>
      <c r="E31" s="33" t="str">
        <f>ROUND(0,3)&amp;" (0h)"</f>
        <v>0 (0h)</v>
      </c>
      <c r="F31" s="33" t="str">
        <f>ROUND(1,3)&amp;" (1h)"</f>
        <v>1 (1h)</v>
      </c>
      <c r="G31" s="52" t="str">
        <f>ROUND(2.5,3)&amp;" (2h30)"</f>
        <v>2,5 (2h30)</v>
      </c>
      <c r="H31" s="33" t="str">
        <f>ROUND(1.5,3)&amp;" (1h30)"</f>
        <v>1,5 (1h30)</v>
      </c>
      <c r="I31" s="45" t="str">
        <f>ROUND(0,3)&amp;" (0h)"</f>
        <v>0 (0h)</v>
      </c>
      <c r="J31" s="48">
        <f t="shared" si="3"/>
        <v>7.5</v>
      </c>
      <c r="K31" s="36" t="str">
        <f t="shared" ref="K31" si="4">ROUNDDOWN(J31,0)&amp;"h"&amp;ROUND((J31-ROUNDDOWN(J31,0))*60,0)</f>
        <v>7h30</v>
      </c>
    </row>
    <row r="32" spans="2:11" ht="21" x14ac:dyDescent="0.3">
      <c r="B32" s="82" t="s">
        <v>85</v>
      </c>
      <c r="C32" s="52" t="str">
        <f>ROUND(2,3)&amp;" (2h)"</f>
        <v>2 (2h)</v>
      </c>
      <c r="D32" s="33" t="str">
        <f>ROUND(0,3)&amp;" (0h)"</f>
        <v>0 (0h)</v>
      </c>
      <c r="E32" s="33" t="str">
        <f>ROUND(2,3)&amp;" (2h)"</f>
        <v>2 (2h)</v>
      </c>
      <c r="F32" s="33" t="str">
        <f t="shared" si="2"/>
        <v>0 (0h)</v>
      </c>
      <c r="G32" s="33" t="str">
        <f>ROUND(2,3)&amp;" (2h)"</f>
        <v>2 (2h)</v>
      </c>
      <c r="H32" s="33" t="str">
        <f>ROUND(3.5,3)&amp;" (3h30)"</f>
        <v>3,5 (3h30)</v>
      </c>
      <c r="I32" s="33" t="str">
        <f>ROUND(2.5,3)&amp;" (2h30)"</f>
        <v>2,5 (2h30)</v>
      </c>
      <c r="J32" s="49">
        <f>SUM(VALUE(LEFT(C32,FIND(" ",C32)-1)),VALUE(LEFT(D32,FIND(" ",D32)-1)),VALUE(LEFT(E32,FIND(" ",E32)-1)),VALUE(LEFT(F32,FIND(" ",F32)-1)),VALUE(LEFT(G32,FIND(" ",G32)-1)),VALUE(LEFT(H32,FIND(" ",H32)-1)),VALUE(LEFT(I32,FIND(" ",I32)-1)))</f>
        <v>12</v>
      </c>
      <c r="K32" s="43" t="str">
        <f>ROUNDDOWN(J32,0)&amp;"h"&amp;ROUND((J32-ROUNDDOWN(J32,0))*60,0)</f>
        <v>12h0</v>
      </c>
    </row>
    <row r="33" spans="2:11" ht="21.6" thickBot="1" x14ac:dyDescent="0.35">
      <c r="B33" s="83" t="s">
        <v>162</v>
      </c>
      <c r="C33" s="53" t="str">
        <f>ROUND(7.5,3)&amp;" (7h30)"</f>
        <v>7,5 (7h30)</v>
      </c>
      <c r="D33" s="37" t="str">
        <f>ROUND(6,3)&amp;" (6h)"</f>
        <v>6 (6h)</v>
      </c>
      <c r="E33" s="37" t="str">
        <f t="shared" ref="E33:I33" si="5">ROUND(7.5,3)&amp;" (7h30)"</f>
        <v>7,5 (7h30)</v>
      </c>
      <c r="F33" s="37" t="str">
        <f>ROUND(6,3)&amp;" (6h)"</f>
        <v>6 (6h)</v>
      </c>
      <c r="G33" s="37" t="str">
        <f>ROUND(8,3)&amp;" (8h)"</f>
        <v>8 (8h)</v>
      </c>
      <c r="H33" s="37" t="str">
        <f>ROUND(8,3)&amp;" (8h)"</f>
        <v>8 (8h)</v>
      </c>
      <c r="I33" s="46" t="str">
        <f t="shared" si="5"/>
        <v>7,5 (7h30)</v>
      </c>
      <c r="J33" s="50">
        <f>SUM(VALUE(LEFT(C33,FIND(" ",C33)-1)),VALUE(LEFT(D33,FIND(" ",D33)-1)),VALUE(LEFT(E33,FIND(" ",E33)-1)),VALUE(LEFT(F33,FIND(" ",F33)-1)),VALUE(LEFT(G33,FIND(" ",G33)-1)),VALUE(LEFT(H33,FIND(" ",H33)-1)),VALUE(LEFT(I33,FIND(" ",I33)-1)))</f>
        <v>50.5</v>
      </c>
      <c r="K33" s="38" t="str">
        <f>ROUNDDOWN(J33,0)&amp;"h"&amp;ROUND((J33-ROUNDDOWN(J33,0))*60,0)</f>
        <v>50h30</v>
      </c>
    </row>
  </sheetData>
  <mergeCells count="1">
    <mergeCell ref="J3:K3"/>
  </mergeCells>
  <pageMargins left="0.7" right="0.7" top="0.75" bottom="0.75" header="0.3" footer="0.3"/>
  <pageSetup paperSize="9" orientation="portrait" r:id="rId1"/>
  <ignoredErrors>
    <ignoredError sqref="H26" formula="1"/>
  </ignoredErrors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L1048576"/>
  <sheetViews>
    <sheetView zoomScale="79" zoomScaleNormal="56" workbookViewId="0">
      <pane xSplit="2" ySplit="1" topLeftCell="C63" activePane="bottomRight" state="frozen"/>
      <selection pane="topRight" activeCell="C1" sqref="C1"/>
      <selection pane="bottomLeft" activeCell="A2" sqref="A2"/>
      <selection pane="bottomRight" activeCell="J87" sqref="J87"/>
    </sheetView>
  </sheetViews>
  <sheetFormatPr defaultColWidth="13.6640625" defaultRowHeight="14.4" x14ac:dyDescent="0.3"/>
  <cols>
    <col min="1" max="1" width="13.44140625" bestFit="1" customWidth="1"/>
    <col min="2" max="2" width="11.33203125" bestFit="1" customWidth="1"/>
    <col min="3" max="3" width="17.5546875" bestFit="1" customWidth="1"/>
    <col min="4" max="4" width="20.109375" customWidth="1"/>
    <col min="5" max="5" width="31" bestFit="1" customWidth="1"/>
    <col min="6" max="6" width="10.6640625" bestFit="1" customWidth="1"/>
    <col min="7" max="7" width="25" bestFit="1" customWidth="1"/>
    <col min="8" max="8" width="16.33203125" bestFit="1" customWidth="1"/>
    <col min="9" max="9" width="20.6640625" bestFit="1" customWidth="1"/>
    <col min="10" max="10" width="19.109375" bestFit="1" customWidth="1"/>
    <col min="11" max="11" width="15.44140625" bestFit="1" customWidth="1"/>
    <col min="12" max="12" width="18.6640625" bestFit="1" customWidth="1"/>
    <col min="13" max="13" width="19.6640625" bestFit="1" customWidth="1"/>
    <col min="14" max="14" width="19.88671875" customWidth="1"/>
    <col min="15" max="15" width="11.109375" bestFit="1" customWidth="1"/>
    <col min="16" max="22" width="12.88671875" bestFit="1" customWidth="1"/>
    <col min="23" max="23" width="17.6640625" bestFit="1" customWidth="1"/>
    <col min="24" max="24" width="15.5546875" bestFit="1" customWidth="1"/>
    <col min="25" max="25" width="14.44140625" bestFit="1" customWidth="1"/>
    <col min="26" max="26" width="31.6640625" bestFit="1" customWidth="1"/>
  </cols>
  <sheetData>
    <row r="1" spans="1:12" x14ac:dyDescent="0.3">
      <c r="A1" s="54" t="s">
        <v>197</v>
      </c>
      <c r="B1" s="54" t="s">
        <v>198</v>
      </c>
      <c r="C1" s="54" t="s">
        <v>225</v>
      </c>
      <c r="D1" s="54" t="s">
        <v>226</v>
      </c>
      <c r="E1" s="54" t="s">
        <v>228</v>
      </c>
      <c r="F1" s="54" t="s">
        <v>227</v>
      </c>
      <c r="G1" s="54" t="s">
        <v>80</v>
      </c>
      <c r="H1" s="54" t="s">
        <v>3</v>
      </c>
      <c r="I1" s="54" t="s">
        <v>229</v>
      </c>
      <c r="J1" s="54" t="s">
        <v>230</v>
      </c>
      <c r="K1" s="54" t="s">
        <v>233</v>
      </c>
      <c r="L1" s="54" t="s">
        <v>234</v>
      </c>
    </row>
    <row r="2" spans="1:12" ht="18" x14ac:dyDescent="0.3">
      <c r="A2" s="125">
        <v>46223</v>
      </c>
      <c r="B2" s="140" t="str">
        <f t="shared" ref="B2:B65" si="0">CHOOSE(WEEKDAY(A2,2),"Monday","Tuesday","Wednesday","Thursday","Friday","Saturday","Sunday")</f>
        <v>Monday</v>
      </c>
      <c r="C2" s="141" t="s">
        <v>232</v>
      </c>
      <c r="D2" s="141" t="s">
        <v>231</v>
      </c>
      <c r="E2" s="141" t="s">
        <v>231</v>
      </c>
      <c r="F2" s="141" t="s">
        <v>231</v>
      </c>
      <c r="G2" s="141" t="s">
        <v>231</v>
      </c>
      <c r="H2" s="141" t="s">
        <v>232</v>
      </c>
      <c r="I2" s="141" t="s">
        <v>231</v>
      </c>
      <c r="J2" s="141" t="s">
        <v>231</v>
      </c>
      <c r="K2" s="141" t="s">
        <v>232</v>
      </c>
      <c r="L2" s="141" t="s">
        <v>231</v>
      </c>
    </row>
    <row r="3" spans="1:12" ht="18" x14ac:dyDescent="0.3">
      <c r="A3" s="125">
        <f>A2+1</f>
        <v>46224</v>
      </c>
      <c r="B3" s="140" t="str">
        <f t="shared" si="0"/>
        <v>Tuesday</v>
      </c>
      <c r="C3" s="141" t="s">
        <v>232</v>
      </c>
      <c r="D3" s="141" t="s">
        <v>231</v>
      </c>
      <c r="E3" s="141" t="s">
        <v>232</v>
      </c>
      <c r="F3" s="141" t="s">
        <v>231</v>
      </c>
      <c r="G3" s="141" t="s">
        <v>231</v>
      </c>
      <c r="H3" s="141" t="s">
        <v>231</v>
      </c>
      <c r="I3" s="141" t="s">
        <v>232</v>
      </c>
      <c r="J3" s="141" t="s">
        <v>231</v>
      </c>
      <c r="K3" s="141" t="s">
        <v>232</v>
      </c>
      <c r="L3" s="141" t="s">
        <v>232</v>
      </c>
    </row>
    <row r="4" spans="1:12" ht="18" x14ac:dyDescent="0.3">
      <c r="A4" s="125">
        <f t="shared" ref="A4:A67" si="1">A3+1</f>
        <v>46225</v>
      </c>
      <c r="B4" s="140" t="str">
        <f t="shared" si="0"/>
        <v>Wednesday</v>
      </c>
      <c r="C4" s="141" t="s">
        <v>232</v>
      </c>
      <c r="D4" s="141" t="s">
        <v>231</v>
      </c>
      <c r="E4" s="141" t="s">
        <v>232</v>
      </c>
      <c r="F4" s="141" t="s">
        <v>231</v>
      </c>
      <c r="G4" s="141" t="s">
        <v>231</v>
      </c>
      <c r="H4" s="141" t="s">
        <v>231</v>
      </c>
      <c r="I4" s="141" t="s">
        <v>231</v>
      </c>
      <c r="J4" s="141" t="s">
        <v>231</v>
      </c>
      <c r="K4" s="141" t="s">
        <v>232</v>
      </c>
      <c r="L4" s="141" t="s">
        <v>232</v>
      </c>
    </row>
    <row r="5" spans="1:12" ht="18" x14ac:dyDescent="0.3">
      <c r="A5" s="125">
        <f t="shared" si="1"/>
        <v>46226</v>
      </c>
      <c r="B5" s="140" t="str">
        <f t="shared" si="0"/>
        <v>Thursday</v>
      </c>
      <c r="C5" s="141" t="s">
        <v>232</v>
      </c>
      <c r="D5" s="141" t="s">
        <v>231</v>
      </c>
      <c r="E5" s="141" t="s">
        <v>231</v>
      </c>
      <c r="F5" s="141" t="s">
        <v>232</v>
      </c>
      <c r="G5" s="141" t="s">
        <v>231</v>
      </c>
      <c r="H5" s="141" t="s">
        <v>231</v>
      </c>
      <c r="I5" s="141" t="s">
        <v>232</v>
      </c>
      <c r="J5" s="141" t="s">
        <v>231</v>
      </c>
      <c r="K5" s="141" t="s">
        <v>232</v>
      </c>
      <c r="L5" s="141" t="s">
        <v>232</v>
      </c>
    </row>
    <row r="6" spans="1:12" ht="18" x14ac:dyDescent="0.3">
      <c r="A6" s="125">
        <f t="shared" si="1"/>
        <v>46227</v>
      </c>
      <c r="B6" s="140" t="str">
        <f t="shared" si="0"/>
        <v>Friday</v>
      </c>
      <c r="C6" s="141" t="s">
        <v>232</v>
      </c>
      <c r="D6" s="141" t="s">
        <v>231</v>
      </c>
      <c r="E6" s="141" t="s">
        <v>232</v>
      </c>
      <c r="F6" s="141" t="s">
        <v>231</v>
      </c>
      <c r="G6" s="141" t="s">
        <v>231</v>
      </c>
      <c r="H6" s="141" t="s">
        <v>231</v>
      </c>
      <c r="I6" s="141" t="s">
        <v>231</v>
      </c>
      <c r="J6" s="141" t="s">
        <v>231</v>
      </c>
      <c r="K6" s="141" t="s">
        <v>232</v>
      </c>
      <c r="L6" s="141" t="s">
        <v>231</v>
      </c>
    </row>
    <row r="7" spans="1:12" ht="18" x14ac:dyDescent="0.3">
      <c r="A7" s="125">
        <f t="shared" si="1"/>
        <v>46228</v>
      </c>
      <c r="B7" s="140" t="str">
        <f t="shared" si="0"/>
        <v>Saturday</v>
      </c>
      <c r="C7" s="141" t="s">
        <v>231</v>
      </c>
      <c r="D7" s="141" t="s">
        <v>231</v>
      </c>
      <c r="E7" s="141" t="s">
        <v>231</v>
      </c>
      <c r="F7" s="141" t="s">
        <v>231</v>
      </c>
      <c r="G7" s="141" t="s">
        <v>231</v>
      </c>
      <c r="H7" s="141" t="s">
        <v>231</v>
      </c>
      <c r="I7" s="141" t="s">
        <v>231</v>
      </c>
      <c r="J7" s="141" t="s">
        <v>231</v>
      </c>
      <c r="K7" s="141" t="s">
        <v>232</v>
      </c>
      <c r="L7" s="141" t="s">
        <v>232</v>
      </c>
    </row>
    <row r="8" spans="1:12" ht="18" x14ac:dyDescent="0.3">
      <c r="A8" s="125">
        <f t="shared" si="1"/>
        <v>46229</v>
      </c>
      <c r="B8" s="140" t="str">
        <f t="shared" si="0"/>
        <v>Sunday</v>
      </c>
      <c r="C8" s="141" t="s">
        <v>231</v>
      </c>
      <c r="D8" s="141" t="s">
        <v>231</v>
      </c>
      <c r="E8" s="141" t="s">
        <v>231</v>
      </c>
      <c r="F8" s="141" t="s">
        <v>231</v>
      </c>
      <c r="G8" s="141" t="s">
        <v>231</v>
      </c>
      <c r="H8" s="141" t="s">
        <v>231</v>
      </c>
      <c r="I8" s="141" t="s">
        <v>232</v>
      </c>
      <c r="J8" s="141" t="s">
        <v>231</v>
      </c>
      <c r="K8" s="141" t="s">
        <v>231</v>
      </c>
      <c r="L8" s="141" t="s">
        <v>231</v>
      </c>
    </row>
    <row r="9" spans="1:12" ht="18" x14ac:dyDescent="0.3">
      <c r="A9" s="125">
        <f t="shared" si="1"/>
        <v>46230</v>
      </c>
      <c r="B9" s="140" t="str">
        <f t="shared" si="0"/>
        <v>Monday</v>
      </c>
      <c r="C9" s="141" t="s">
        <v>232</v>
      </c>
      <c r="D9" s="141" t="s">
        <v>231</v>
      </c>
      <c r="E9" s="141" t="s">
        <v>231</v>
      </c>
      <c r="F9" s="141" t="s">
        <v>231</v>
      </c>
      <c r="G9" s="141" t="s">
        <v>231</v>
      </c>
      <c r="H9" s="141" t="s">
        <v>231</v>
      </c>
      <c r="I9" s="141" t="s">
        <v>231</v>
      </c>
      <c r="J9" s="141" t="s">
        <v>231</v>
      </c>
      <c r="K9" s="141" t="s">
        <v>231</v>
      </c>
      <c r="L9" s="141" t="s">
        <v>231</v>
      </c>
    </row>
    <row r="10" spans="1:12" ht="18" x14ac:dyDescent="0.3">
      <c r="A10" s="125">
        <f t="shared" si="1"/>
        <v>46231</v>
      </c>
      <c r="B10" s="140" t="str">
        <f t="shared" si="0"/>
        <v>Tuesday</v>
      </c>
      <c r="C10" s="141" t="s">
        <v>232</v>
      </c>
      <c r="D10" s="141" t="s">
        <v>231</v>
      </c>
      <c r="E10" s="141" t="s">
        <v>232</v>
      </c>
      <c r="F10" s="141" t="s">
        <v>231</v>
      </c>
      <c r="G10" s="141" t="s">
        <v>231</v>
      </c>
      <c r="H10" s="141" t="s">
        <v>231</v>
      </c>
      <c r="I10" s="141" t="s">
        <v>232</v>
      </c>
      <c r="J10" s="141" t="s">
        <v>231</v>
      </c>
      <c r="K10" s="141" t="s">
        <v>232</v>
      </c>
      <c r="L10" s="141" t="s">
        <v>232</v>
      </c>
    </row>
    <row r="11" spans="1:12" ht="18" x14ac:dyDescent="0.3">
      <c r="A11" s="125">
        <f t="shared" si="1"/>
        <v>46232</v>
      </c>
      <c r="B11" s="140" t="str">
        <f t="shared" si="0"/>
        <v>Wednesday</v>
      </c>
      <c r="C11" s="141" t="s">
        <v>232</v>
      </c>
      <c r="D11" s="141" t="s">
        <v>231</v>
      </c>
      <c r="E11" s="141" t="s">
        <v>232</v>
      </c>
      <c r="F11" s="141" t="s">
        <v>231</v>
      </c>
      <c r="G11" s="141" t="s">
        <v>231</v>
      </c>
      <c r="H11" s="141" t="s">
        <v>231</v>
      </c>
      <c r="I11" s="141" t="s">
        <v>231</v>
      </c>
      <c r="J11" s="141" t="s">
        <v>231</v>
      </c>
      <c r="K11" s="141" t="s">
        <v>231</v>
      </c>
      <c r="L11" s="141" t="s">
        <v>232</v>
      </c>
    </row>
    <row r="12" spans="1:12" ht="18" x14ac:dyDescent="0.3">
      <c r="A12" s="125">
        <f t="shared" si="1"/>
        <v>46233</v>
      </c>
      <c r="B12" s="140" t="str">
        <f t="shared" si="0"/>
        <v>Thursday</v>
      </c>
      <c r="C12" s="141" t="s">
        <v>231</v>
      </c>
      <c r="D12" s="141" t="s">
        <v>231</v>
      </c>
      <c r="E12" s="141" t="s">
        <v>231</v>
      </c>
      <c r="F12" s="141" t="s">
        <v>231</v>
      </c>
      <c r="G12" s="141" t="s">
        <v>231</v>
      </c>
      <c r="H12" s="141" t="s">
        <v>231</v>
      </c>
      <c r="I12" s="141" t="s">
        <v>232</v>
      </c>
      <c r="J12" s="141" t="s">
        <v>231</v>
      </c>
      <c r="K12" s="141" t="s">
        <v>231</v>
      </c>
      <c r="L12" s="141" t="s">
        <v>232</v>
      </c>
    </row>
    <row r="13" spans="1:12" ht="18" x14ac:dyDescent="0.3">
      <c r="A13" s="125">
        <f t="shared" si="1"/>
        <v>46234</v>
      </c>
      <c r="B13" s="140" t="str">
        <f t="shared" si="0"/>
        <v>Friday</v>
      </c>
      <c r="C13" s="141" t="s">
        <v>232</v>
      </c>
      <c r="D13" s="141" t="s">
        <v>231</v>
      </c>
      <c r="E13" s="141" t="s">
        <v>231</v>
      </c>
      <c r="F13" s="141" t="s">
        <v>231</v>
      </c>
      <c r="G13" s="141" t="s">
        <v>231</v>
      </c>
      <c r="H13" s="141" t="s">
        <v>231</v>
      </c>
      <c r="I13" s="141" t="s">
        <v>231</v>
      </c>
      <c r="J13" s="141" t="s">
        <v>231</v>
      </c>
      <c r="K13" s="141" t="s">
        <v>232</v>
      </c>
      <c r="L13" s="141" t="s">
        <v>231</v>
      </c>
    </row>
    <row r="14" spans="1:12" ht="18" x14ac:dyDescent="0.3">
      <c r="A14" s="125">
        <f t="shared" si="1"/>
        <v>46235</v>
      </c>
      <c r="B14" s="140" t="str">
        <f t="shared" si="0"/>
        <v>Saturday</v>
      </c>
      <c r="C14" s="141" t="s">
        <v>231</v>
      </c>
      <c r="D14" s="141" t="s">
        <v>231</v>
      </c>
      <c r="E14" s="141" t="s">
        <v>231</v>
      </c>
      <c r="F14" s="141" t="s">
        <v>232</v>
      </c>
      <c r="G14" s="141" t="s">
        <v>231</v>
      </c>
      <c r="H14" s="141" t="s">
        <v>231</v>
      </c>
      <c r="I14" s="141" t="s">
        <v>231</v>
      </c>
      <c r="J14" s="141" t="s">
        <v>231</v>
      </c>
      <c r="K14" s="141" t="s">
        <v>232</v>
      </c>
      <c r="L14" s="141" t="s">
        <v>231</v>
      </c>
    </row>
    <row r="15" spans="1:12" ht="18" x14ac:dyDescent="0.3">
      <c r="A15" s="125">
        <f t="shared" si="1"/>
        <v>46236</v>
      </c>
      <c r="B15" s="140" t="str">
        <f t="shared" si="0"/>
        <v>Sunday</v>
      </c>
      <c r="C15" s="141" t="s">
        <v>231</v>
      </c>
      <c r="D15" s="141" t="s">
        <v>231</v>
      </c>
      <c r="E15" s="141" t="s">
        <v>232</v>
      </c>
      <c r="F15" s="141" t="s">
        <v>232</v>
      </c>
      <c r="G15" s="141" t="s">
        <v>231</v>
      </c>
      <c r="H15" s="141" t="s">
        <v>231</v>
      </c>
      <c r="I15" s="141" t="s">
        <v>232</v>
      </c>
      <c r="J15" s="141" t="s">
        <v>231</v>
      </c>
      <c r="K15" s="141" t="s">
        <v>232</v>
      </c>
      <c r="L15" s="141" t="s">
        <v>231</v>
      </c>
    </row>
    <row r="16" spans="1:12" ht="18" x14ac:dyDescent="0.3">
      <c r="A16" s="125">
        <f t="shared" si="1"/>
        <v>46237</v>
      </c>
      <c r="B16" s="140" t="str">
        <f t="shared" si="0"/>
        <v>Monday</v>
      </c>
      <c r="C16" s="141" t="s">
        <v>232</v>
      </c>
      <c r="D16" s="141" t="s">
        <v>231</v>
      </c>
      <c r="E16" s="141" t="s">
        <v>231</v>
      </c>
      <c r="F16" s="141" t="s">
        <v>231</v>
      </c>
      <c r="G16" s="141" t="s">
        <v>231</v>
      </c>
      <c r="H16" s="141" t="s">
        <v>231</v>
      </c>
      <c r="I16" s="141" t="s">
        <v>231</v>
      </c>
      <c r="J16" s="141" t="s">
        <v>231</v>
      </c>
      <c r="K16" s="141" t="s">
        <v>231</v>
      </c>
      <c r="L16" s="141" t="s">
        <v>231</v>
      </c>
    </row>
    <row r="17" spans="1:12" ht="18" x14ac:dyDescent="0.3">
      <c r="A17" s="125">
        <f t="shared" si="1"/>
        <v>46238</v>
      </c>
      <c r="B17" s="140" t="str">
        <f t="shared" si="0"/>
        <v>Tuesday</v>
      </c>
      <c r="C17" s="141" t="s">
        <v>232</v>
      </c>
      <c r="D17" s="141" t="s">
        <v>231</v>
      </c>
      <c r="E17" s="141" t="s">
        <v>232</v>
      </c>
      <c r="F17" s="141" t="s">
        <v>231</v>
      </c>
      <c r="G17" s="141" t="s">
        <v>231</v>
      </c>
      <c r="H17" s="141" t="s">
        <v>231</v>
      </c>
      <c r="I17" s="141" t="s">
        <v>232</v>
      </c>
      <c r="J17" s="141" t="s">
        <v>231</v>
      </c>
      <c r="K17" s="141" t="s">
        <v>231</v>
      </c>
      <c r="L17" s="141" t="s">
        <v>232</v>
      </c>
    </row>
    <row r="18" spans="1:12" ht="18" x14ac:dyDescent="0.3">
      <c r="A18" s="125">
        <f t="shared" si="1"/>
        <v>46239</v>
      </c>
      <c r="B18" s="140" t="str">
        <f t="shared" si="0"/>
        <v>Wednesday</v>
      </c>
      <c r="C18" s="141" t="s">
        <v>232</v>
      </c>
      <c r="D18" s="141" t="s">
        <v>231</v>
      </c>
      <c r="E18" s="141" t="s">
        <v>232</v>
      </c>
      <c r="F18" s="141" t="s">
        <v>231</v>
      </c>
      <c r="G18" s="141" t="s">
        <v>231</v>
      </c>
      <c r="H18" s="141" t="s">
        <v>231</v>
      </c>
      <c r="I18" s="141" t="s">
        <v>231</v>
      </c>
      <c r="J18" s="141" t="s">
        <v>231</v>
      </c>
      <c r="K18" s="141" t="s">
        <v>231</v>
      </c>
      <c r="L18" s="141" t="s">
        <v>231</v>
      </c>
    </row>
    <row r="19" spans="1:12" ht="18" x14ac:dyDescent="0.3">
      <c r="A19" s="125">
        <f t="shared" si="1"/>
        <v>46240</v>
      </c>
      <c r="B19" s="140" t="str">
        <f t="shared" si="0"/>
        <v>Thursday</v>
      </c>
      <c r="C19" s="141" t="s">
        <v>231</v>
      </c>
      <c r="D19" s="141" t="s">
        <v>231</v>
      </c>
      <c r="E19" s="141" t="s">
        <v>231</v>
      </c>
      <c r="F19" s="141" t="s">
        <v>231</v>
      </c>
      <c r="G19" s="141" t="s">
        <v>231</v>
      </c>
      <c r="H19" s="141" t="s">
        <v>231</v>
      </c>
      <c r="I19" s="141" t="s">
        <v>232</v>
      </c>
      <c r="J19" s="141" t="s">
        <v>231</v>
      </c>
      <c r="K19" s="141" t="s">
        <v>231</v>
      </c>
      <c r="L19" s="141" t="s">
        <v>231</v>
      </c>
    </row>
    <row r="20" spans="1:12" ht="18" x14ac:dyDescent="0.3">
      <c r="A20" s="125">
        <f t="shared" si="1"/>
        <v>46241</v>
      </c>
      <c r="B20" s="140" t="str">
        <f t="shared" si="0"/>
        <v>Friday</v>
      </c>
      <c r="C20" s="141" t="s">
        <v>231</v>
      </c>
      <c r="D20" s="141" t="s">
        <v>231</v>
      </c>
      <c r="E20" s="141" t="s">
        <v>231</v>
      </c>
      <c r="F20" s="141" t="s">
        <v>231</v>
      </c>
      <c r="G20" s="141" t="s">
        <v>231</v>
      </c>
      <c r="H20" s="141" t="s">
        <v>231</v>
      </c>
      <c r="I20" s="141" t="s">
        <v>231</v>
      </c>
      <c r="J20" s="141" t="s">
        <v>231</v>
      </c>
      <c r="K20" s="141" t="s">
        <v>231</v>
      </c>
      <c r="L20" s="141" t="s">
        <v>231</v>
      </c>
    </row>
    <row r="21" spans="1:12" ht="18" x14ac:dyDescent="0.3">
      <c r="A21" s="125">
        <f t="shared" si="1"/>
        <v>46242</v>
      </c>
      <c r="B21" s="140" t="str">
        <f t="shared" si="0"/>
        <v>Saturday</v>
      </c>
      <c r="C21" s="141" t="s">
        <v>231</v>
      </c>
      <c r="D21" s="141" t="s">
        <v>231</v>
      </c>
      <c r="E21" s="141" t="s">
        <v>231</v>
      </c>
      <c r="F21" s="141" t="s">
        <v>232</v>
      </c>
      <c r="G21" s="141" t="s">
        <v>231</v>
      </c>
      <c r="H21" s="141" t="s">
        <v>231</v>
      </c>
      <c r="I21" s="141" t="s">
        <v>231</v>
      </c>
      <c r="J21" s="141" t="s">
        <v>231</v>
      </c>
      <c r="K21" s="141" t="s">
        <v>231</v>
      </c>
      <c r="L21" s="141" t="s">
        <v>231</v>
      </c>
    </row>
    <row r="22" spans="1:12" ht="18" x14ac:dyDescent="0.3">
      <c r="A22" s="125">
        <f t="shared" si="1"/>
        <v>46243</v>
      </c>
      <c r="B22" s="140" t="str">
        <f t="shared" si="0"/>
        <v>Sunday</v>
      </c>
      <c r="C22" s="141" t="s">
        <v>231</v>
      </c>
      <c r="D22" s="141" t="s">
        <v>231</v>
      </c>
      <c r="E22" s="141" t="s">
        <v>231</v>
      </c>
      <c r="F22" s="141" t="s">
        <v>231</v>
      </c>
      <c r="G22" s="141" t="s">
        <v>231</v>
      </c>
      <c r="H22" s="141" t="s">
        <v>232</v>
      </c>
      <c r="I22" s="141" t="s">
        <v>232</v>
      </c>
      <c r="J22" s="141" t="s">
        <v>231</v>
      </c>
      <c r="K22" s="141" t="s">
        <v>232</v>
      </c>
      <c r="L22" s="141" t="s">
        <v>231</v>
      </c>
    </row>
    <row r="23" spans="1:12" ht="18" x14ac:dyDescent="0.3">
      <c r="A23" s="125">
        <f t="shared" si="1"/>
        <v>46244</v>
      </c>
      <c r="B23" s="140" t="str">
        <f t="shared" si="0"/>
        <v>Monday</v>
      </c>
      <c r="C23" s="141" t="s">
        <v>232</v>
      </c>
      <c r="D23" s="141" t="s">
        <v>231</v>
      </c>
      <c r="E23" s="141" t="s">
        <v>232</v>
      </c>
      <c r="F23" s="141" t="s">
        <v>231</v>
      </c>
      <c r="G23" s="141" t="s">
        <v>231</v>
      </c>
      <c r="H23" s="141" t="s">
        <v>231</v>
      </c>
      <c r="I23" s="141" t="s">
        <v>231</v>
      </c>
      <c r="J23" s="141" t="s">
        <v>231</v>
      </c>
      <c r="K23" s="141" t="s">
        <v>232</v>
      </c>
      <c r="L23" s="141" t="s">
        <v>231</v>
      </c>
    </row>
    <row r="24" spans="1:12" ht="18" x14ac:dyDescent="0.3">
      <c r="A24" s="125">
        <f t="shared" si="1"/>
        <v>46245</v>
      </c>
      <c r="B24" s="140" t="str">
        <f t="shared" si="0"/>
        <v>Tuesday</v>
      </c>
      <c r="C24" s="141" t="s">
        <v>232</v>
      </c>
      <c r="D24" s="141" t="s">
        <v>231</v>
      </c>
      <c r="E24" s="141" t="s">
        <v>232</v>
      </c>
      <c r="F24" s="141" t="s">
        <v>231</v>
      </c>
      <c r="G24" s="141" t="s">
        <v>231</v>
      </c>
      <c r="H24" s="141" t="s">
        <v>231</v>
      </c>
      <c r="I24" s="141" t="s">
        <v>232</v>
      </c>
      <c r="J24" s="141" t="s">
        <v>231</v>
      </c>
      <c r="K24" s="141" t="s">
        <v>231</v>
      </c>
      <c r="L24" s="141" t="s">
        <v>231</v>
      </c>
    </row>
    <row r="25" spans="1:12" ht="18" x14ac:dyDescent="0.3">
      <c r="A25" s="125">
        <f t="shared" si="1"/>
        <v>46246</v>
      </c>
      <c r="B25" s="140" t="str">
        <f t="shared" si="0"/>
        <v>Wednesday</v>
      </c>
      <c r="C25" s="141" t="s">
        <v>231</v>
      </c>
      <c r="D25" s="141" t="s">
        <v>231</v>
      </c>
      <c r="E25" s="141" t="s">
        <v>231</v>
      </c>
      <c r="F25" s="141" t="s">
        <v>231</v>
      </c>
      <c r="G25" s="141" t="s">
        <v>231</v>
      </c>
      <c r="H25" s="141" t="s">
        <v>231</v>
      </c>
      <c r="I25" s="141" t="s">
        <v>231</v>
      </c>
      <c r="J25" s="141" t="s">
        <v>231</v>
      </c>
      <c r="K25" s="141" t="s">
        <v>231</v>
      </c>
      <c r="L25" s="141" t="s">
        <v>231</v>
      </c>
    </row>
    <row r="26" spans="1:12" ht="18" x14ac:dyDescent="0.3">
      <c r="A26" s="125">
        <f t="shared" si="1"/>
        <v>46247</v>
      </c>
      <c r="B26" s="140" t="str">
        <f t="shared" si="0"/>
        <v>Thursday</v>
      </c>
      <c r="C26" s="141" t="s">
        <v>231</v>
      </c>
      <c r="D26" s="141" t="s">
        <v>231</v>
      </c>
      <c r="E26" s="141" t="s">
        <v>231</v>
      </c>
      <c r="F26" s="141" t="s">
        <v>231</v>
      </c>
      <c r="G26" s="141" t="s">
        <v>231</v>
      </c>
      <c r="H26" s="141" t="s">
        <v>231</v>
      </c>
      <c r="I26" s="141" t="s">
        <v>232</v>
      </c>
      <c r="J26" s="141" t="s">
        <v>231</v>
      </c>
      <c r="K26" s="141" t="s">
        <v>231</v>
      </c>
      <c r="L26" s="141" t="s">
        <v>231</v>
      </c>
    </row>
    <row r="27" spans="1:12" ht="18" x14ac:dyDescent="0.3">
      <c r="A27" s="125">
        <f t="shared" si="1"/>
        <v>46248</v>
      </c>
      <c r="B27" s="140" t="str">
        <f t="shared" si="0"/>
        <v>Friday</v>
      </c>
      <c r="C27" s="141" t="s">
        <v>231</v>
      </c>
      <c r="D27" s="141" t="s">
        <v>231</v>
      </c>
      <c r="E27" s="141" t="s">
        <v>231</v>
      </c>
      <c r="F27" s="141" t="s">
        <v>231</v>
      </c>
      <c r="G27" s="141" t="s">
        <v>231</v>
      </c>
      <c r="H27" s="141" t="s">
        <v>231</v>
      </c>
      <c r="I27" s="141" t="s">
        <v>231</v>
      </c>
      <c r="J27" s="141" t="s">
        <v>231</v>
      </c>
      <c r="K27" s="141" t="s">
        <v>231</v>
      </c>
      <c r="L27" s="141" t="s">
        <v>231</v>
      </c>
    </row>
    <row r="28" spans="1:12" ht="18" x14ac:dyDescent="0.3">
      <c r="A28" s="125">
        <f t="shared" si="1"/>
        <v>46249</v>
      </c>
      <c r="B28" s="140" t="str">
        <f t="shared" si="0"/>
        <v>Saturday</v>
      </c>
      <c r="C28" s="141" t="s">
        <v>231</v>
      </c>
      <c r="D28" s="141" t="s">
        <v>231</v>
      </c>
      <c r="E28" s="141" t="s">
        <v>231</v>
      </c>
      <c r="F28" s="141" t="s">
        <v>231</v>
      </c>
      <c r="G28" s="141" t="s">
        <v>231</v>
      </c>
      <c r="H28" s="141" t="s">
        <v>231</v>
      </c>
      <c r="I28" s="141" t="s">
        <v>231</v>
      </c>
      <c r="J28" s="141" t="s">
        <v>231</v>
      </c>
      <c r="K28" s="141" t="s">
        <v>231</v>
      </c>
      <c r="L28" s="141" t="s">
        <v>231</v>
      </c>
    </row>
    <row r="29" spans="1:12" ht="18" x14ac:dyDescent="0.3">
      <c r="A29" s="125">
        <f t="shared" si="1"/>
        <v>46250</v>
      </c>
      <c r="B29" s="140" t="str">
        <f t="shared" si="0"/>
        <v>Sunday</v>
      </c>
      <c r="C29" s="141" t="s">
        <v>231</v>
      </c>
      <c r="D29" s="141" t="s">
        <v>231</v>
      </c>
      <c r="E29" s="141" t="s">
        <v>231</v>
      </c>
      <c r="F29" s="141" t="s">
        <v>231</v>
      </c>
      <c r="G29" s="141" t="s">
        <v>231</v>
      </c>
      <c r="H29" s="141" t="s">
        <v>231</v>
      </c>
      <c r="I29" s="141" t="s">
        <v>232</v>
      </c>
      <c r="J29" s="141" t="s">
        <v>231</v>
      </c>
      <c r="K29" s="141" t="s">
        <v>231</v>
      </c>
      <c r="L29" s="141" t="s">
        <v>231</v>
      </c>
    </row>
    <row r="30" spans="1:12" ht="18" x14ac:dyDescent="0.3">
      <c r="A30" s="125">
        <f t="shared" si="1"/>
        <v>46251</v>
      </c>
      <c r="B30" s="140" t="str">
        <f t="shared" si="0"/>
        <v>Monday</v>
      </c>
      <c r="C30" s="141" t="s">
        <v>232</v>
      </c>
      <c r="D30" s="141" t="s">
        <v>231</v>
      </c>
      <c r="E30" s="141" t="s">
        <v>231</v>
      </c>
      <c r="F30" s="141" t="s">
        <v>231</v>
      </c>
      <c r="G30" s="141" t="s">
        <v>231</v>
      </c>
      <c r="H30" s="141" t="s">
        <v>231</v>
      </c>
      <c r="I30" s="141" t="s">
        <v>231</v>
      </c>
      <c r="J30" s="141" t="s">
        <v>231</v>
      </c>
      <c r="K30" s="141" t="s">
        <v>232</v>
      </c>
      <c r="L30" s="141" t="s">
        <v>231</v>
      </c>
    </row>
    <row r="31" spans="1:12" ht="18" x14ac:dyDescent="0.3">
      <c r="A31" s="125">
        <f t="shared" si="1"/>
        <v>46252</v>
      </c>
      <c r="B31" s="140" t="str">
        <f t="shared" si="0"/>
        <v>Tuesday</v>
      </c>
      <c r="C31" s="141" t="s">
        <v>232</v>
      </c>
      <c r="D31" s="141" t="s">
        <v>231</v>
      </c>
      <c r="E31" s="141" t="s">
        <v>232</v>
      </c>
      <c r="F31" s="141" t="s">
        <v>231</v>
      </c>
      <c r="G31" s="141" t="s">
        <v>231</v>
      </c>
      <c r="H31" s="141" t="s">
        <v>231</v>
      </c>
      <c r="I31" s="141" t="s">
        <v>232</v>
      </c>
      <c r="J31" s="141" t="s">
        <v>231</v>
      </c>
      <c r="K31" s="141" t="s">
        <v>231</v>
      </c>
      <c r="L31" s="141" t="s">
        <v>231</v>
      </c>
    </row>
    <row r="32" spans="1:12" ht="18" x14ac:dyDescent="0.3">
      <c r="A32" s="125">
        <f t="shared" si="1"/>
        <v>46253</v>
      </c>
      <c r="B32" s="140" t="str">
        <f t="shared" si="0"/>
        <v>Wednesday</v>
      </c>
      <c r="C32" s="141" t="s">
        <v>231</v>
      </c>
      <c r="D32" s="141" t="s">
        <v>231</v>
      </c>
      <c r="E32" s="141" t="s">
        <v>231</v>
      </c>
      <c r="F32" s="141" t="s">
        <v>231</v>
      </c>
      <c r="G32" s="141" t="s">
        <v>231</v>
      </c>
      <c r="H32" s="141" t="s">
        <v>231</v>
      </c>
      <c r="I32" s="141" t="s">
        <v>231</v>
      </c>
      <c r="J32" s="141" t="s">
        <v>231</v>
      </c>
      <c r="K32" s="141" t="s">
        <v>231</v>
      </c>
      <c r="L32" s="141" t="s">
        <v>231</v>
      </c>
    </row>
    <row r="33" spans="1:12" ht="18" x14ac:dyDescent="0.3">
      <c r="A33" s="125">
        <f t="shared" si="1"/>
        <v>46254</v>
      </c>
      <c r="B33" s="140" t="str">
        <f t="shared" si="0"/>
        <v>Thursday</v>
      </c>
      <c r="C33" s="141" t="s">
        <v>231</v>
      </c>
      <c r="D33" s="141" t="s">
        <v>231</v>
      </c>
      <c r="E33" s="141" t="s">
        <v>231</v>
      </c>
      <c r="F33" s="141" t="s">
        <v>231</v>
      </c>
      <c r="G33" s="141" t="s">
        <v>231</v>
      </c>
      <c r="H33" s="141" t="s">
        <v>231</v>
      </c>
      <c r="I33" s="141" t="s">
        <v>232</v>
      </c>
      <c r="J33" s="141" t="s">
        <v>231</v>
      </c>
      <c r="K33" s="141" t="s">
        <v>231</v>
      </c>
      <c r="L33" s="141" t="s">
        <v>231</v>
      </c>
    </row>
    <row r="34" spans="1:12" ht="18" x14ac:dyDescent="0.3">
      <c r="A34" s="125">
        <f t="shared" si="1"/>
        <v>46255</v>
      </c>
      <c r="B34" s="140" t="str">
        <f t="shared" si="0"/>
        <v>Friday</v>
      </c>
      <c r="C34" s="141" t="s">
        <v>231</v>
      </c>
      <c r="D34" s="141" t="s">
        <v>231</v>
      </c>
      <c r="E34" s="141" t="s">
        <v>231</v>
      </c>
      <c r="F34" s="141" t="s">
        <v>231</v>
      </c>
      <c r="G34" s="141" t="s">
        <v>231</v>
      </c>
      <c r="H34" s="141" t="s">
        <v>231</v>
      </c>
      <c r="I34" s="141" t="s">
        <v>231</v>
      </c>
      <c r="J34" s="141" t="s">
        <v>231</v>
      </c>
      <c r="K34" s="141" t="s">
        <v>231</v>
      </c>
      <c r="L34" s="141" t="s">
        <v>231</v>
      </c>
    </row>
    <row r="35" spans="1:12" ht="18" x14ac:dyDescent="0.3">
      <c r="A35" s="125">
        <f t="shared" si="1"/>
        <v>46256</v>
      </c>
      <c r="B35" s="140" t="str">
        <f t="shared" si="0"/>
        <v>Saturday</v>
      </c>
      <c r="C35" s="141" t="s">
        <v>231</v>
      </c>
      <c r="D35" s="141" t="s">
        <v>231</v>
      </c>
      <c r="E35" s="141" t="s">
        <v>231</v>
      </c>
      <c r="F35" s="141" t="s">
        <v>231</v>
      </c>
      <c r="G35" s="141" t="s">
        <v>231</v>
      </c>
      <c r="H35" s="141" t="s">
        <v>231</v>
      </c>
      <c r="I35" s="141" t="s">
        <v>231</v>
      </c>
      <c r="J35" s="141" t="s">
        <v>231</v>
      </c>
      <c r="K35" s="141" t="s">
        <v>231</v>
      </c>
      <c r="L35" s="141" t="s">
        <v>231</v>
      </c>
    </row>
    <row r="36" spans="1:12" ht="18" x14ac:dyDescent="0.3">
      <c r="A36" s="125">
        <f t="shared" si="1"/>
        <v>46257</v>
      </c>
      <c r="B36" s="140" t="str">
        <f t="shared" si="0"/>
        <v>Sunday</v>
      </c>
      <c r="C36" s="141" t="s">
        <v>231</v>
      </c>
      <c r="D36" s="141" t="s">
        <v>231</v>
      </c>
      <c r="E36" s="141" t="s">
        <v>231</v>
      </c>
      <c r="F36" s="141" t="s">
        <v>231</v>
      </c>
      <c r="G36" s="141" t="s">
        <v>231</v>
      </c>
      <c r="H36" s="141" t="s">
        <v>231</v>
      </c>
      <c r="I36" s="141" t="s">
        <v>231</v>
      </c>
      <c r="J36" s="141" t="s">
        <v>231</v>
      </c>
      <c r="K36" s="141" t="s">
        <v>231</v>
      </c>
      <c r="L36" s="141" t="s">
        <v>231</v>
      </c>
    </row>
    <row r="37" spans="1:12" ht="18" x14ac:dyDescent="0.3">
      <c r="A37" s="125">
        <f t="shared" si="1"/>
        <v>46258</v>
      </c>
      <c r="B37" s="140" t="str">
        <f t="shared" si="0"/>
        <v>Monday</v>
      </c>
      <c r="C37" s="141" t="s">
        <v>231</v>
      </c>
      <c r="D37" s="141" t="s">
        <v>231</v>
      </c>
      <c r="E37" s="141" t="s">
        <v>231</v>
      </c>
      <c r="F37" s="141" t="s">
        <v>231</v>
      </c>
      <c r="G37" s="141" t="s">
        <v>231</v>
      </c>
      <c r="H37" s="141" t="s">
        <v>231</v>
      </c>
      <c r="I37" s="141" t="s">
        <v>231</v>
      </c>
      <c r="J37" s="141" t="s">
        <v>231</v>
      </c>
      <c r="K37" s="141" t="s">
        <v>231</v>
      </c>
      <c r="L37" s="141" t="s">
        <v>231</v>
      </c>
    </row>
    <row r="38" spans="1:12" ht="18" x14ac:dyDescent="0.3">
      <c r="A38" s="125">
        <f t="shared" si="1"/>
        <v>46259</v>
      </c>
      <c r="B38" s="140" t="str">
        <f t="shared" si="0"/>
        <v>Tuesday</v>
      </c>
      <c r="C38" s="141" t="s">
        <v>231</v>
      </c>
      <c r="D38" s="141" t="s">
        <v>231</v>
      </c>
      <c r="E38" s="141" t="s">
        <v>231</v>
      </c>
      <c r="F38" s="141" t="s">
        <v>231</v>
      </c>
      <c r="G38" s="141" t="s">
        <v>231</v>
      </c>
      <c r="H38" s="141" t="s">
        <v>231</v>
      </c>
      <c r="I38" s="141" t="s">
        <v>231</v>
      </c>
      <c r="J38" s="141" t="s">
        <v>231</v>
      </c>
      <c r="K38" s="141" t="s">
        <v>231</v>
      </c>
      <c r="L38" s="141" t="s">
        <v>231</v>
      </c>
    </row>
    <row r="39" spans="1:12" ht="18" x14ac:dyDescent="0.3">
      <c r="A39" s="125">
        <f t="shared" si="1"/>
        <v>46260</v>
      </c>
      <c r="B39" s="140" t="str">
        <f t="shared" si="0"/>
        <v>Wednesday</v>
      </c>
      <c r="C39" s="141" t="s">
        <v>231</v>
      </c>
      <c r="D39" s="141" t="s">
        <v>231</v>
      </c>
      <c r="E39" s="141" t="s">
        <v>231</v>
      </c>
      <c r="F39" s="141" t="s">
        <v>231</v>
      </c>
      <c r="G39" s="141" t="s">
        <v>231</v>
      </c>
      <c r="H39" s="141" t="s">
        <v>231</v>
      </c>
      <c r="I39" s="141" t="s">
        <v>231</v>
      </c>
      <c r="J39" s="141" t="s">
        <v>231</v>
      </c>
      <c r="K39" s="141" t="s">
        <v>231</v>
      </c>
      <c r="L39" s="141" t="s">
        <v>231</v>
      </c>
    </row>
    <row r="40" spans="1:12" ht="18" x14ac:dyDescent="0.3">
      <c r="A40" s="125">
        <f t="shared" si="1"/>
        <v>46261</v>
      </c>
      <c r="B40" s="140" t="str">
        <f t="shared" si="0"/>
        <v>Thursday</v>
      </c>
      <c r="C40" s="141" t="s">
        <v>231</v>
      </c>
      <c r="D40" s="141" t="s">
        <v>231</v>
      </c>
      <c r="E40" s="141" t="s">
        <v>232</v>
      </c>
      <c r="F40" s="141" t="s">
        <v>231</v>
      </c>
      <c r="G40" s="141" t="s">
        <v>231</v>
      </c>
      <c r="H40" s="141" t="s">
        <v>231</v>
      </c>
      <c r="I40" s="141" t="s">
        <v>232</v>
      </c>
      <c r="J40" s="141" t="s">
        <v>231</v>
      </c>
      <c r="K40" s="141" t="s">
        <v>231</v>
      </c>
      <c r="L40" s="141" t="s">
        <v>231</v>
      </c>
    </row>
    <row r="41" spans="1:12" ht="18" x14ac:dyDescent="0.3">
      <c r="A41" s="125">
        <f t="shared" si="1"/>
        <v>46262</v>
      </c>
      <c r="B41" s="140" t="str">
        <f t="shared" si="0"/>
        <v>Friday</v>
      </c>
      <c r="C41" s="141" t="s">
        <v>231</v>
      </c>
      <c r="D41" s="141" t="s">
        <v>231</v>
      </c>
      <c r="E41" s="141" t="s">
        <v>231</v>
      </c>
      <c r="F41" s="141" t="s">
        <v>231</v>
      </c>
      <c r="G41" s="141" t="s">
        <v>231</v>
      </c>
      <c r="H41" s="141" t="s">
        <v>231</v>
      </c>
      <c r="I41" s="141" t="s">
        <v>231</v>
      </c>
      <c r="J41" s="141" t="s">
        <v>231</v>
      </c>
      <c r="K41" s="141" t="s">
        <v>231</v>
      </c>
      <c r="L41" s="141" t="s">
        <v>231</v>
      </c>
    </row>
    <row r="42" spans="1:12" ht="18" x14ac:dyDescent="0.3">
      <c r="A42" s="125">
        <f t="shared" si="1"/>
        <v>46263</v>
      </c>
      <c r="B42" s="140" t="str">
        <f t="shared" si="0"/>
        <v>Saturday</v>
      </c>
      <c r="C42" s="141" t="s">
        <v>231</v>
      </c>
      <c r="D42" s="141" t="s">
        <v>231</v>
      </c>
      <c r="E42" s="141" t="s">
        <v>231</v>
      </c>
      <c r="F42" s="141" t="s">
        <v>231</v>
      </c>
      <c r="G42" s="141" t="s">
        <v>231</v>
      </c>
      <c r="H42" s="141" t="s">
        <v>231</v>
      </c>
      <c r="I42" s="141" t="s">
        <v>231</v>
      </c>
      <c r="J42" s="141" t="s">
        <v>231</v>
      </c>
      <c r="K42" s="141" t="s">
        <v>231</v>
      </c>
      <c r="L42" s="141" t="s">
        <v>231</v>
      </c>
    </row>
    <row r="43" spans="1:12" ht="18" x14ac:dyDescent="0.3">
      <c r="A43" s="125">
        <f t="shared" si="1"/>
        <v>46264</v>
      </c>
      <c r="B43" s="140" t="str">
        <f t="shared" si="0"/>
        <v>Sunday</v>
      </c>
      <c r="C43" s="141" t="s">
        <v>231</v>
      </c>
      <c r="D43" s="141" t="s">
        <v>231</v>
      </c>
      <c r="E43" s="141" t="s">
        <v>231</v>
      </c>
      <c r="F43" s="141" t="s">
        <v>231</v>
      </c>
      <c r="G43" s="141" t="s">
        <v>231</v>
      </c>
      <c r="H43" s="141" t="s">
        <v>231</v>
      </c>
      <c r="I43" s="141" t="s">
        <v>231</v>
      </c>
      <c r="J43" s="141" t="s">
        <v>231</v>
      </c>
      <c r="K43" s="141" t="s">
        <v>231</v>
      </c>
      <c r="L43" s="141" t="s">
        <v>231</v>
      </c>
    </row>
    <row r="44" spans="1:12" ht="18" x14ac:dyDescent="0.3">
      <c r="A44" s="125">
        <f t="shared" si="1"/>
        <v>46265</v>
      </c>
      <c r="B44" s="140" t="str">
        <f t="shared" si="0"/>
        <v>Monday</v>
      </c>
      <c r="C44" s="141" t="s">
        <v>232</v>
      </c>
      <c r="D44" s="141" t="s">
        <v>231</v>
      </c>
      <c r="E44" s="141" t="s">
        <v>231</v>
      </c>
      <c r="F44" s="141" t="s">
        <v>231</v>
      </c>
      <c r="G44" s="141" t="s">
        <v>231</v>
      </c>
      <c r="H44" s="141" t="s">
        <v>231</v>
      </c>
      <c r="I44" s="141" t="s">
        <v>231</v>
      </c>
      <c r="J44" s="141" t="s">
        <v>231</v>
      </c>
      <c r="K44" s="141" t="s">
        <v>232</v>
      </c>
      <c r="L44" s="141" t="s">
        <v>232</v>
      </c>
    </row>
    <row r="45" spans="1:12" ht="18" x14ac:dyDescent="0.3">
      <c r="A45" s="125">
        <f t="shared" si="1"/>
        <v>46266</v>
      </c>
      <c r="B45" s="140" t="str">
        <f t="shared" si="0"/>
        <v>Tuesday</v>
      </c>
      <c r="C45" s="141" t="s">
        <v>232</v>
      </c>
      <c r="D45" s="141" t="s">
        <v>231</v>
      </c>
      <c r="E45" s="141" t="s">
        <v>232</v>
      </c>
      <c r="F45" s="141" t="s">
        <v>231</v>
      </c>
      <c r="G45" s="141" t="s">
        <v>231</v>
      </c>
      <c r="H45" s="141" t="s">
        <v>231</v>
      </c>
      <c r="I45" s="141" t="s">
        <v>232</v>
      </c>
      <c r="J45" s="141" t="s">
        <v>231</v>
      </c>
      <c r="K45" s="141" t="s">
        <v>232</v>
      </c>
      <c r="L45" s="141" t="s">
        <v>232</v>
      </c>
    </row>
    <row r="46" spans="1:12" ht="18" x14ac:dyDescent="0.3">
      <c r="A46" s="125">
        <f t="shared" si="1"/>
        <v>46267</v>
      </c>
      <c r="B46" s="140" t="str">
        <f t="shared" si="0"/>
        <v>Wednesday</v>
      </c>
      <c r="C46" s="141" t="s">
        <v>232</v>
      </c>
      <c r="D46" s="141" t="s">
        <v>231</v>
      </c>
      <c r="E46" s="141" t="s">
        <v>232</v>
      </c>
      <c r="F46" s="141" t="s">
        <v>231</v>
      </c>
      <c r="G46" s="141" t="s">
        <v>231</v>
      </c>
      <c r="H46" s="141" t="s">
        <v>231</v>
      </c>
      <c r="I46" s="141" t="s">
        <v>231</v>
      </c>
      <c r="J46" s="141" t="s">
        <v>231</v>
      </c>
      <c r="K46" s="141" t="s">
        <v>232</v>
      </c>
      <c r="L46" s="141" t="s">
        <v>232</v>
      </c>
    </row>
    <row r="47" spans="1:12" ht="18" x14ac:dyDescent="0.3">
      <c r="A47" s="125">
        <f t="shared" si="1"/>
        <v>46268</v>
      </c>
      <c r="B47" s="140" t="str">
        <f t="shared" si="0"/>
        <v>Thursday</v>
      </c>
      <c r="C47" s="141" t="s">
        <v>232</v>
      </c>
      <c r="D47" s="141" t="s">
        <v>231</v>
      </c>
      <c r="E47" s="141" t="s">
        <v>231</v>
      </c>
      <c r="F47" s="141" t="s">
        <v>231</v>
      </c>
      <c r="G47" s="141" t="s">
        <v>231</v>
      </c>
      <c r="H47" s="141" t="s">
        <v>232</v>
      </c>
      <c r="I47" s="141" t="s">
        <v>232</v>
      </c>
      <c r="J47" s="141" t="s">
        <v>231</v>
      </c>
      <c r="K47" s="141" t="s">
        <v>231</v>
      </c>
      <c r="L47" s="141" t="s">
        <v>232</v>
      </c>
    </row>
    <row r="48" spans="1:12" ht="18" x14ac:dyDescent="0.3">
      <c r="A48" s="125">
        <f t="shared" si="1"/>
        <v>46269</v>
      </c>
      <c r="B48" s="140" t="str">
        <f t="shared" si="0"/>
        <v>Friday</v>
      </c>
      <c r="C48" s="141" t="s">
        <v>232</v>
      </c>
      <c r="D48" s="141" t="s">
        <v>231</v>
      </c>
      <c r="E48" s="141" t="s">
        <v>232</v>
      </c>
      <c r="F48" s="141" t="s">
        <v>231</v>
      </c>
      <c r="G48" s="141" t="s">
        <v>231</v>
      </c>
      <c r="H48" s="141" t="s">
        <v>231</v>
      </c>
      <c r="I48" s="141" t="s">
        <v>231</v>
      </c>
      <c r="J48" s="141" t="s">
        <v>231</v>
      </c>
      <c r="K48" s="141" t="s">
        <v>231</v>
      </c>
      <c r="L48" s="141" t="s">
        <v>231</v>
      </c>
    </row>
    <row r="49" spans="1:12" ht="18" x14ac:dyDescent="0.3">
      <c r="A49" s="125">
        <f t="shared" si="1"/>
        <v>46270</v>
      </c>
      <c r="B49" s="140" t="str">
        <f t="shared" si="0"/>
        <v>Saturday</v>
      </c>
      <c r="C49" s="141" t="s">
        <v>231</v>
      </c>
      <c r="D49" s="141" t="s">
        <v>231</v>
      </c>
      <c r="E49" s="141" t="s">
        <v>231</v>
      </c>
      <c r="F49" s="141" t="s">
        <v>231</v>
      </c>
      <c r="G49" s="141" t="s">
        <v>231</v>
      </c>
      <c r="H49" s="141" t="s">
        <v>231</v>
      </c>
      <c r="I49" s="141" t="s">
        <v>231</v>
      </c>
      <c r="J49" s="141" t="s">
        <v>232</v>
      </c>
      <c r="K49" s="141" t="s">
        <v>231</v>
      </c>
      <c r="L49" s="141" t="s">
        <v>232</v>
      </c>
    </row>
    <row r="50" spans="1:12" ht="18" x14ac:dyDescent="0.3">
      <c r="A50" s="125">
        <f t="shared" si="1"/>
        <v>46271</v>
      </c>
      <c r="B50" s="140" t="str">
        <f t="shared" si="0"/>
        <v>Sunday</v>
      </c>
      <c r="C50" s="141" t="s">
        <v>231</v>
      </c>
      <c r="D50" s="141" t="s">
        <v>231</v>
      </c>
      <c r="E50" s="141" t="s">
        <v>231</v>
      </c>
      <c r="F50" s="141" t="s">
        <v>231</v>
      </c>
      <c r="G50" s="141" t="s">
        <v>231</v>
      </c>
      <c r="H50" s="141" t="s">
        <v>231</v>
      </c>
      <c r="I50" s="141" t="s">
        <v>232</v>
      </c>
      <c r="J50" s="141" t="s">
        <v>231</v>
      </c>
      <c r="K50" s="141" t="s">
        <v>231</v>
      </c>
      <c r="L50" s="141" t="s">
        <v>232</v>
      </c>
    </row>
    <row r="51" spans="1:12" ht="18" x14ac:dyDescent="0.3">
      <c r="A51" s="125">
        <f t="shared" si="1"/>
        <v>46272</v>
      </c>
      <c r="B51" s="140" t="str">
        <f t="shared" si="0"/>
        <v>Monday</v>
      </c>
      <c r="C51" s="141" t="s">
        <v>232</v>
      </c>
      <c r="D51" s="141" t="s">
        <v>232</v>
      </c>
      <c r="E51" s="141" t="s">
        <v>232</v>
      </c>
      <c r="F51" s="141" t="s">
        <v>231</v>
      </c>
      <c r="G51" s="141" t="s">
        <v>231</v>
      </c>
      <c r="H51" s="141" t="s">
        <v>231</v>
      </c>
      <c r="I51" s="141" t="s">
        <v>231</v>
      </c>
      <c r="J51" s="141" t="s">
        <v>231</v>
      </c>
      <c r="K51" s="141" t="s">
        <v>232</v>
      </c>
      <c r="L51" s="141" t="s">
        <v>232</v>
      </c>
    </row>
    <row r="52" spans="1:12" ht="18" x14ac:dyDescent="0.3">
      <c r="A52" s="125">
        <f t="shared" si="1"/>
        <v>46273</v>
      </c>
      <c r="B52" s="140" t="str">
        <f t="shared" si="0"/>
        <v>Tuesday</v>
      </c>
      <c r="C52" s="141" t="s">
        <v>232</v>
      </c>
      <c r="D52" s="141" t="s">
        <v>232</v>
      </c>
      <c r="E52" s="141" t="s">
        <v>232</v>
      </c>
      <c r="F52" s="141" t="s">
        <v>231</v>
      </c>
      <c r="G52" s="141" t="s">
        <v>231</v>
      </c>
      <c r="H52" s="141" t="s">
        <v>232</v>
      </c>
      <c r="I52" s="141" t="s">
        <v>232</v>
      </c>
      <c r="J52" s="141" t="s">
        <v>231</v>
      </c>
      <c r="K52" s="141" t="s">
        <v>232</v>
      </c>
      <c r="L52" s="141" t="s">
        <v>232</v>
      </c>
    </row>
    <row r="53" spans="1:12" ht="18" x14ac:dyDescent="0.3">
      <c r="A53" s="125">
        <f t="shared" si="1"/>
        <v>46274</v>
      </c>
      <c r="B53" s="140" t="str">
        <f t="shared" si="0"/>
        <v>Wednesday</v>
      </c>
      <c r="C53" s="141" t="s">
        <v>232</v>
      </c>
      <c r="D53" s="141" t="s">
        <v>232</v>
      </c>
      <c r="E53" s="141" t="s">
        <v>232</v>
      </c>
      <c r="F53" s="141" t="s">
        <v>231</v>
      </c>
      <c r="G53" s="141" t="s">
        <v>231</v>
      </c>
      <c r="H53" s="141" t="s">
        <v>231</v>
      </c>
      <c r="I53" s="141" t="s">
        <v>231</v>
      </c>
      <c r="J53" s="141" t="s">
        <v>231</v>
      </c>
      <c r="K53" s="141" t="s">
        <v>232</v>
      </c>
      <c r="L53" s="141" t="s">
        <v>232</v>
      </c>
    </row>
    <row r="54" spans="1:12" ht="18" x14ac:dyDescent="0.3">
      <c r="A54" s="125">
        <f t="shared" si="1"/>
        <v>46275</v>
      </c>
      <c r="B54" s="140" t="str">
        <f t="shared" si="0"/>
        <v>Thursday</v>
      </c>
      <c r="C54" s="141" t="s">
        <v>232</v>
      </c>
      <c r="D54" s="141" t="s">
        <v>232</v>
      </c>
      <c r="E54" s="141" t="s">
        <v>232</v>
      </c>
      <c r="F54" s="141" t="s">
        <v>231</v>
      </c>
      <c r="G54" s="141" t="s">
        <v>231</v>
      </c>
      <c r="H54" s="141" t="s">
        <v>232</v>
      </c>
      <c r="I54" s="141" t="s">
        <v>232</v>
      </c>
      <c r="J54" s="141" t="s">
        <v>231</v>
      </c>
      <c r="K54" s="141" t="s">
        <v>232</v>
      </c>
      <c r="L54" s="141" t="s">
        <v>232</v>
      </c>
    </row>
    <row r="55" spans="1:12" ht="18" x14ac:dyDescent="0.3">
      <c r="A55" s="125">
        <f t="shared" si="1"/>
        <v>46276</v>
      </c>
      <c r="B55" s="140" t="str">
        <f t="shared" si="0"/>
        <v>Friday</v>
      </c>
      <c r="C55" s="141" t="s">
        <v>232</v>
      </c>
      <c r="D55" s="141" t="s">
        <v>232</v>
      </c>
      <c r="E55" s="141" t="s">
        <v>232</v>
      </c>
      <c r="F55" s="141" t="s">
        <v>231</v>
      </c>
      <c r="G55" s="141" t="s">
        <v>231</v>
      </c>
      <c r="H55" s="141" t="s">
        <v>231</v>
      </c>
      <c r="I55" s="141" t="s">
        <v>231</v>
      </c>
      <c r="J55" s="141" t="s">
        <v>231</v>
      </c>
      <c r="K55" s="141" t="s">
        <v>232</v>
      </c>
      <c r="L55" s="141" t="s">
        <v>232</v>
      </c>
    </row>
    <row r="56" spans="1:12" ht="18" x14ac:dyDescent="0.3">
      <c r="A56" s="125">
        <f t="shared" si="1"/>
        <v>46277</v>
      </c>
      <c r="B56" s="140" t="str">
        <f t="shared" si="0"/>
        <v>Saturday</v>
      </c>
      <c r="C56" s="141" t="s">
        <v>232</v>
      </c>
      <c r="D56" s="141" t="s">
        <v>232</v>
      </c>
      <c r="E56" s="141" t="s">
        <v>231</v>
      </c>
      <c r="F56" s="141" t="s">
        <v>231</v>
      </c>
      <c r="G56" s="141" t="s">
        <v>231</v>
      </c>
      <c r="H56" s="141" t="s">
        <v>231</v>
      </c>
      <c r="I56" s="141" t="s">
        <v>231</v>
      </c>
      <c r="J56" s="141" t="s">
        <v>231</v>
      </c>
      <c r="K56" s="141" t="s">
        <v>231</v>
      </c>
      <c r="L56" s="141" t="s">
        <v>232</v>
      </c>
    </row>
    <row r="57" spans="1:12" ht="18" x14ac:dyDescent="0.3">
      <c r="A57" s="125">
        <f t="shared" si="1"/>
        <v>46278</v>
      </c>
      <c r="B57" s="140" t="str">
        <f t="shared" si="0"/>
        <v>Sunday</v>
      </c>
      <c r="C57" s="141" t="s">
        <v>231</v>
      </c>
      <c r="D57" s="141" t="s">
        <v>231</v>
      </c>
      <c r="E57" s="141" t="s">
        <v>231</v>
      </c>
      <c r="F57" s="141" t="s">
        <v>231</v>
      </c>
      <c r="G57" s="141" t="s">
        <v>231</v>
      </c>
      <c r="H57" s="141" t="s">
        <v>231</v>
      </c>
      <c r="I57" s="141" t="s">
        <v>232</v>
      </c>
      <c r="J57" s="141" t="s">
        <v>231</v>
      </c>
      <c r="K57" s="141" t="s">
        <v>231</v>
      </c>
      <c r="L57" s="141" t="s">
        <v>232</v>
      </c>
    </row>
    <row r="58" spans="1:12" ht="18" x14ac:dyDescent="0.3">
      <c r="A58" s="125">
        <f t="shared" si="1"/>
        <v>46279</v>
      </c>
      <c r="B58" s="140" t="str">
        <f t="shared" si="0"/>
        <v>Monday</v>
      </c>
      <c r="C58" s="141" t="s">
        <v>231</v>
      </c>
      <c r="D58" s="141" t="s">
        <v>232</v>
      </c>
      <c r="E58" s="141" t="s">
        <v>232</v>
      </c>
      <c r="F58" s="141" t="s">
        <v>231</v>
      </c>
      <c r="G58" s="141" t="s">
        <v>231</v>
      </c>
      <c r="H58" s="141" t="s">
        <v>231</v>
      </c>
      <c r="I58" s="141" t="s">
        <v>231</v>
      </c>
      <c r="J58" s="141" t="s">
        <v>231</v>
      </c>
      <c r="K58" s="141" t="s">
        <v>232</v>
      </c>
      <c r="L58" s="141" t="s">
        <v>232</v>
      </c>
    </row>
    <row r="59" spans="1:12" ht="18" x14ac:dyDescent="0.3">
      <c r="A59" s="125">
        <f t="shared" si="1"/>
        <v>46280</v>
      </c>
      <c r="B59" s="140" t="str">
        <f t="shared" si="0"/>
        <v>Tuesday</v>
      </c>
      <c r="C59" s="141" t="s">
        <v>232</v>
      </c>
      <c r="D59" s="141" t="s">
        <v>232</v>
      </c>
      <c r="E59" s="141" t="s">
        <v>232</v>
      </c>
      <c r="F59" s="141" t="s">
        <v>231</v>
      </c>
      <c r="G59" s="141" t="s">
        <v>231</v>
      </c>
      <c r="H59" s="141" t="s">
        <v>231</v>
      </c>
      <c r="I59" s="141" t="s">
        <v>232</v>
      </c>
      <c r="J59" s="141" t="s">
        <v>231</v>
      </c>
      <c r="K59" s="141" t="s">
        <v>232</v>
      </c>
      <c r="L59" s="141" t="s">
        <v>232</v>
      </c>
    </row>
    <row r="60" spans="1:12" ht="18" x14ac:dyDescent="0.3">
      <c r="A60" s="125">
        <f t="shared" si="1"/>
        <v>46281</v>
      </c>
      <c r="B60" s="140" t="str">
        <f t="shared" si="0"/>
        <v>Wednesday</v>
      </c>
      <c r="C60" s="141" t="s">
        <v>232</v>
      </c>
      <c r="D60" s="141" t="s">
        <v>232</v>
      </c>
      <c r="E60" s="141" t="s">
        <v>232</v>
      </c>
      <c r="F60" s="141" t="s">
        <v>231</v>
      </c>
      <c r="G60" s="141" t="s">
        <v>231</v>
      </c>
      <c r="H60" s="141" t="s">
        <v>231</v>
      </c>
      <c r="I60" s="141" t="s">
        <v>231</v>
      </c>
      <c r="J60" s="141" t="s">
        <v>231</v>
      </c>
      <c r="K60" s="141" t="s">
        <v>232</v>
      </c>
      <c r="L60" s="141" t="s">
        <v>232</v>
      </c>
    </row>
    <row r="61" spans="1:12" ht="18" x14ac:dyDescent="0.3">
      <c r="A61" s="125">
        <f t="shared" si="1"/>
        <v>46282</v>
      </c>
      <c r="B61" s="140" t="str">
        <f t="shared" si="0"/>
        <v>Thursday</v>
      </c>
      <c r="C61" s="141" t="s">
        <v>231</v>
      </c>
      <c r="D61" s="141" t="s">
        <v>232</v>
      </c>
      <c r="E61" s="141" t="s">
        <v>231</v>
      </c>
      <c r="F61" s="141" t="s">
        <v>231</v>
      </c>
      <c r="G61" s="141" t="s">
        <v>231</v>
      </c>
      <c r="H61" s="141" t="s">
        <v>231</v>
      </c>
      <c r="I61" s="141" t="s">
        <v>232</v>
      </c>
      <c r="J61" s="141" t="s">
        <v>231</v>
      </c>
      <c r="K61" s="141" t="s">
        <v>232</v>
      </c>
      <c r="L61" s="141" t="s">
        <v>232</v>
      </c>
    </row>
    <row r="62" spans="1:12" ht="18" x14ac:dyDescent="0.3">
      <c r="A62" s="125">
        <f t="shared" si="1"/>
        <v>46283</v>
      </c>
      <c r="B62" s="140" t="str">
        <f t="shared" si="0"/>
        <v>Friday</v>
      </c>
      <c r="C62" s="141" t="s">
        <v>232</v>
      </c>
      <c r="D62" s="141" t="s">
        <v>232</v>
      </c>
      <c r="E62" s="141" t="s">
        <v>232</v>
      </c>
      <c r="F62" s="141" t="s">
        <v>231</v>
      </c>
      <c r="G62" s="141" t="s">
        <v>231</v>
      </c>
      <c r="H62" s="141" t="s">
        <v>231</v>
      </c>
      <c r="I62" s="141" t="s">
        <v>231</v>
      </c>
      <c r="J62" s="141" t="s">
        <v>231</v>
      </c>
      <c r="K62" s="141" t="s">
        <v>231</v>
      </c>
      <c r="L62" s="141" t="s">
        <v>232</v>
      </c>
    </row>
    <row r="63" spans="1:12" ht="18" x14ac:dyDescent="0.3">
      <c r="A63" s="125">
        <f t="shared" si="1"/>
        <v>46284</v>
      </c>
      <c r="B63" s="140" t="str">
        <f t="shared" si="0"/>
        <v>Saturday</v>
      </c>
      <c r="C63" s="141" t="s">
        <v>231</v>
      </c>
      <c r="D63" s="141" t="s">
        <v>232</v>
      </c>
      <c r="E63" s="141" t="s">
        <v>232</v>
      </c>
      <c r="F63" s="141" t="s">
        <v>231</v>
      </c>
      <c r="G63" s="141" t="s">
        <v>231</v>
      </c>
      <c r="H63" s="141" t="s">
        <v>231</v>
      </c>
      <c r="I63" s="141" t="s">
        <v>231</v>
      </c>
      <c r="J63" s="141" t="s">
        <v>231</v>
      </c>
      <c r="K63" s="141" t="s">
        <v>231</v>
      </c>
      <c r="L63" s="141" t="s">
        <v>232</v>
      </c>
    </row>
    <row r="64" spans="1:12" ht="18" x14ac:dyDescent="0.3">
      <c r="A64" s="125">
        <f t="shared" si="1"/>
        <v>46285</v>
      </c>
      <c r="B64" s="140" t="str">
        <f t="shared" si="0"/>
        <v>Sunday</v>
      </c>
      <c r="C64" s="141" t="s">
        <v>231</v>
      </c>
      <c r="D64" s="141" t="s">
        <v>232</v>
      </c>
      <c r="E64" s="141" t="s">
        <v>231</v>
      </c>
      <c r="F64" s="141" t="s">
        <v>231</v>
      </c>
      <c r="G64" s="141" t="s">
        <v>231</v>
      </c>
      <c r="H64" s="141" t="s">
        <v>231</v>
      </c>
      <c r="I64" s="141" t="s">
        <v>232</v>
      </c>
      <c r="J64" s="141" t="s">
        <v>231</v>
      </c>
      <c r="K64" s="141" t="s">
        <v>231</v>
      </c>
      <c r="L64" s="141" t="s">
        <v>232</v>
      </c>
    </row>
    <row r="65" spans="1:12" ht="18" x14ac:dyDescent="0.3">
      <c r="A65" s="125">
        <f t="shared" si="1"/>
        <v>46286</v>
      </c>
      <c r="B65" s="140" t="str">
        <f t="shared" si="0"/>
        <v>Monday</v>
      </c>
      <c r="C65" s="141" t="s">
        <v>232</v>
      </c>
      <c r="D65" s="141" t="s">
        <v>232</v>
      </c>
      <c r="E65" s="141" t="s">
        <v>232</v>
      </c>
      <c r="F65" s="141" t="s">
        <v>232</v>
      </c>
      <c r="G65" s="141" t="s">
        <v>231</v>
      </c>
      <c r="H65" s="141" t="s">
        <v>231</v>
      </c>
      <c r="I65" s="141" t="s">
        <v>231</v>
      </c>
      <c r="J65" s="141" t="s">
        <v>231</v>
      </c>
      <c r="K65" s="141" t="s">
        <v>232</v>
      </c>
      <c r="L65" s="141" t="s">
        <v>232</v>
      </c>
    </row>
    <row r="66" spans="1:12" ht="18" x14ac:dyDescent="0.3">
      <c r="A66" s="125">
        <f t="shared" si="1"/>
        <v>46287</v>
      </c>
      <c r="B66" s="140" t="str">
        <f t="shared" ref="B66:B129" si="2">CHOOSE(WEEKDAY(A66,2),"Monday","Tuesday","Wednesday","Thursday","Friday","Saturday","Sunday")</f>
        <v>Tuesday</v>
      </c>
      <c r="C66" s="141" t="s">
        <v>232</v>
      </c>
      <c r="D66" s="141" t="s">
        <v>232</v>
      </c>
      <c r="E66" s="141" t="s">
        <v>232</v>
      </c>
      <c r="F66" s="141" t="s">
        <v>231</v>
      </c>
      <c r="G66" s="141" t="s">
        <v>231</v>
      </c>
      <c r="H66" s="141" t="s">
        <v>231</v>
      </c>
      <c r="I66" s="141" t="s">
        <v>232</v>
      </c>
      <c r="J66" s="141" t="s">
        <v>231</v>
      </c>
      <c r="K66" s="141" t="s">
        <v>232</v>
      </c>
      <c r="L66" s="141" t="s">
        <v>232</v>
      </c>
    </row>
    <row r="67" spans="1:12" ht="18" x14ac:dyDescent="0.3">
      <c r="A67" s="125">
        <f t="shared" si="1"/>
        <v>46288</v>
      </c>
      <c r="B67" s="140" t="str">
        <f t="shared" si="2"/>
        <v>Wednesday</v>
      </c>
      <c r="C67" s="141" t="s">
        <v>232</v>
      </c>
      <c r="D67" s="141" t="s">
        <v>232</v>
      </c>
      <c r="E67" s="141" t="s">
        <v>232</v>
      </c>
      <c r="F67" s="141" t="s">
        <v>231</v>
      </c>
      <c r="G67" s="141" t="s">
        <v>231</v>
      </c>
      <c r="H67" s="141" t="s">
        <v>231</v>
      </c>
      <c r="I67" s="141" t="s">
        <v>231</v>
      </c>
      <c r="J67" s="141" t="s">
        <v>231</v>
      </c>
      <c r="K67" s="141" t="s">
        <v>232</v>
      </c>
      <c r="L67" s="141" t="s">
        <v>232</v>
      </c>
    </row>
    <row r="68" spans="1:12" ht="18" x14ac:dyDescent="0.3">
      <c r="A68" s="125">
        <f t="shared" ref="A68:A131" si="3">A67+1</f>
        <v>46289</v>
      </c>
      <c r="B68" s="140" t="str">
        <f t="shared" si="2"/>
        <v>Thursday</v>
      </c>
      <c r="C68" s="141" t="s">
        <v>231</v>
      </c>
      <c r="D68" s="141" t="s">
        <v>232</v>
      </c>
      <c r="E68" s="141" t="s">
        <v>232</v>
      </c>
      <c r="F68" s="141" t="s">
        <v>231</v>
      </c>
      <c r="G68" s="141" t="s">
        <v>231</v>
      </c>
      <c r="H68" s="141" t="s">
        <v>232</v>
      </c>
      <c r="I68" s="141" t="s">
        <v>231</v>
      </c>
      <c r="J68" s="141" t="s">
        <v>231</v>
      </c>
      <c r="K68" s="141" t="s">
        <v>232</v>
      </c>
      <c r="L68" s="141" t="s">
        <v>232</v>
      </c>
    </row>
    <row r="69" spans="1:12" ht="18" x14ac:dyDescent="0.3">
      <c r="A69" s="125">
        <f t="shared" si="3"/>
        <v>46290</v>
      </c>
      <c r="B69" s="140" t="str">
        <f t="shared" si="2"/>
        <v>Friday</v>
      </c>
      <c r="C69" s="141" t="s">
        <v>231</v>
      </c>
      <c r="D69" s="141" t="s">
        <v>231</v>
      </c>
      <c r="E69" s="141" t="s">
        <v>231</v>
      </c>
      <c r="F69" s="141" t="s">
        <v>231</v>
      </c>
      <c r="G69" s="141" t="s">
        <v>231</v>
      </c>
      <c r="H69" s="141" t="s">
        <v>231</v>
      </c>
      <c r="I69" s="141" t="s">
        <v>231</v>
      </c>
      <c r="J69" s="141" t="s">
        <v>231</v>
      </c>
      <c r="K69" s="141" t="s">
        <v>232</v>
      </c>
      <c r="L69" s="141" t="s">
        <v>232</v>
      </c>
    </row>
    <row r="70" spans="1:12" ht="18" x14ac:dyDescent="0.3">
      <c r="A70" s="125">
        <f t="shared" si="3"/>
        <v>46291</v>
      </c>
      <c r="B70" s="140" t="str">
        <f t="shared" si="2"/>
        <v>Saturday</v>
      </c>
      <c r="C70" s="141" t="s">
        <v>231</v>
      </c>
      <c r="D70" s="141" t="s">
        <v>231</v>
      </c>
      <c r="E70" s="141" t="s">
        <v>231</v>
      </c>
      <c r="F70" s="141" t="s">
        <v>231</v>
      </c>
      <c r="G70" s="141" t="s">
        <v>231</v>
      </c>
      <c r="H70" s="141" t="s">
        <v>231</v>
      </c>
      <c r="I70" s="141" t="s">
        <v>231</v>
      </c>
      <c r="J70" s="141" t="s">
        <v>231</v>
      </c>
      <c r="K70" s="141" t="s">
        <v>232</v>
      </c>
      <c r="L70" s="141" t="s">
        <v>232</v>
      </c>
    </row>
    <row r="71" spans="1:12" ht="18" x14ac:dyDescent="0.3">
      <c r="A71" s="125">
        <f t="shared" si="3"/>
        <v>46292</v>
      </c>
      <c r="B71" s="140" t="str">
        <f t="shared" si="2"/>
        <v>Sunday</v>
      </c>
      <c r="C71" s="141" t="s">
        <v>231</v>
      </c>
      <c r="D71" s="141" t="s">
        <v>231</v>
      </c>
      <c r="E71" s="141" t="s">
        <v>231</v>
      </c>
      <c r="F71" s="141" t="s">
        <v>231</v>
      </c>
      <c r="G71" s="141" t="s">
        <v>231</v>
      </c>
      <c r="H71" s="141" t="s">
        <v>231</v>
      </c>
      <c r="I71" s="141" t="s">
        <v>231</v>
      </c>
      <c r="J71" s="141" t="s">
        <v>231</v>
      </c>
      <c r="K71" s="141" t="s">
        <v>232</v>
      </c>
      <c r="L71" s="141" t="s">
        <v>232</v>
      </c>
    </row>
    <row r="72" spans="1:12" ht="18" x14ac:dyDescent="0.3">
      <c r="A72" s="125">
        <f t="shared" si="3"/>
        <v>46293</v>
      </c>
      <c r="B72" s="140" t="str">
        <f t="shared" si="2"/>
        <v>Monday</v>
      </c>
      <c r="C72" s="141" t="s">
        <v>231</v>
      </c>
      <c r="D72" s="141" t="s">
        <v>231</v>
      </c>
      <c r="E72" s="141" t="s">
        <v>231</v>
      </c>
      <c r="F72" s="141" t="s">
        <v>231</v>
      </c>
      <c r="G72" s="141" t="s">
        <v>231</v>
      </c>
      <c r="H72" s="141" t="s">
        <v>231</v>
      </c>
      <c r="I72" s="141" t="s">
        <v>231</v>
      </c>
      <c r="J72" s="141" t="s">
        <v>231</v>
      </c>
      <c r="K72" s="141" t="s">
        <v>232</v>
      </c>
      <c r="L72" s="141" t="s">
        <v>232</v>
      </c>
    </row>
    <row r="73" spans="1:12" ht="18" x14ac:dyDescent="0.3">
      <c r="A73" s="125">
        <f t="shared" si="3"/>
        <v>46294</v>
      </c>
      <c r="B73" s="140" t="str">
        <f t="shared" si="2"/>
        <v>Tuesday</v>
      </c>
      <c r="C73" s="141" t="s">
        <v>232</v>
      </c>
      <c r="D73" s="141" t="s">
        <v>232</v>
      </c>
      <c r="E73" s="141" t="s">
        <v>232</v>
      </c>
      <c r="F73" s="141" t="s">
        <v>231</v>
      </c>
      <c r="G73" s="141" t="s">
        <v>231</v>
      </c>
      <c r="H73" s="141" t="s">
        <v>232</v>
      </c>
      <c r="I73" s="141" t="s">
        <v>232</v>
      </c>
      <c r="J73" s="141" t="s">
        <v>231</v>
      </c>
      <c r="K73" s="141" t="s">
        <v>232</v>
      </c>
      <c r="L73" s="141" t="s">
        <v>232</v>
      </c>
    </row>
    <row r="74" spans="1:12" ht="18" x14ac:dyDescent="0.3">
      <c r="A74" s="125">
        <f t="shared" si="3"/>
        <v>46295</v>
      </c>
      <c r="B74" s="140" t="str">
        <f t="shared" si="2"/>
        <v>Wednesday</v>
      </c>
      <c r="C74" s="141" t="s">
        <v>232</v>
      </c>
      <c r="D74" s="141" t="s">
        <v>232</v>
      </c>
      <c r="E74" s="141" t="s">
        <v>232</v>
      </c>
      <c r="F74" s="141" t="s">
        <v>231</v>
      </c>
      <c r="G74" s="141" t="s">
        <v>231</v>
      </c>
      <c r="H74" s="141" t="s">
        <v>231</v>
      </c>
      <c r="I74" s="141" t="s">
        <v>231</v>
      </c>
      <c r="J74" s="141" t="s">
        <v>231</v>
      </c>
      <c r="K74" s="141" t="s">
        <v>232</v>
      </c>
      <c r="L74" s="141" t="s">
        <v>232</v>
      </c>
    </row>
    <row r="75" spans="1:12" ht="18" x14ac:dyDescent="0.3">
      <c r="A75" s="125">
        <f t="shared" si="3"/>
        <v>46296</v>
      </c>
      <c r="B75" s="140" t="str">
        <f t="shared" si="2"/>
        <v>Thursday</v>
      </c>
      <c r="C75" s="141" t="s">
        <v>231</v>
      </c>
      <c r="D75" s="141" t="s">
        <v>232</v>
      </c>
      <c r="E75" s="141" t="s">
        <v>232</v>
      </c>
      <c r="F75" s="141" t="s">
        <v>231</v>
      </c>
      <c r="G75" s="141" t="s">
        <v>231</v>
      </c>
      <c r="H75" s="141" t="s">
        <v>232</v>
      </c>
      <c r="I75" s="141" t="s">
        <v>232</v>
      </c>
      <c r="J75" s="141" t="s">
        <v>231</v>
      </c>
      <c r="K75" s="141" t="s">
        <v>232</v>
      </c>
      <c r="L75" s="141" t="s">
        <v>232</v>
      </c>
    </row>
    <row r="76" spans="1:12" ht="18" x14ac:dyDescent="0.3">
      <c r="A76" s="125">
        <f t="shared" si="3"/>
        <v>46297</v>
      </c>
      <c r="B76" s="140" t="str">
        <f t="shared" si="2"/>
        <v>Friday</v>
      </c>
      <c r="C76" s="141" t="s">
        <v>232</v>
      </c>
      <c r="D76" s="141" t="s">
        <v>232</v>
      </c>
      <c r="E76" s="141" t="s">
        <v>231</v>
      </c>
      <c r="F76" s="141" t="s">
        <v>231</v>
      </c>
      <c r="G76" s="141" t="s">
        <v>231</v>
      </c>
      <c r="H76" s="141" t="s">
        <v>231</v>
      </c>
      <c r="I76" s="141" t="s">
        <v>231</v>
      </c>
      <c r="J76" s="141" t="s">
        <v>231</v>
      </c>
      <c r="K76" s="141" t="s">
        <v>232</v>
      </c>
      <c r="L76" s="141" t="s">
        <v>232</v>
      </c>
    </row>
    <row r="77" spans="1:12" ht="18" x14ac:dyDescent="0.3">
      <c r="A77" s="125">
        <f t="shared" si="3"/>
        <v>46298</v>
      </c>
      <c r="B77" s="140" t="str">
        <f t="shared" si="2"/>
        <v>Saturday</v>
      </c>
      <c r="C77" s="141" t="s">
        <v>231</v>
      </c>
      <c r="D77" s="141" t="s">
        <v>232</v>
      </c>
      <c r="E77" s="141" t="s">
        <v>231</v>
      </c>
      <c r="F77" s="141" t="s">
        <v>231</v>
      </c>
      <c r="G77" s="141" t="s">
        <v>231</v>
      </c>
      <c r="H77" s="141" t="s">
        <v>231</v>
      </c>
      <c r="I77" s="141" t="s">
        <v>231</v>
      </c>
      <c r="J77" s="141" t="s">
        <v>231</v>
      </c>
      <c r="K77" s="141" t="s">
        <v>232</v>
      </c>
      <c r="L77" s="141" t="s">
        <v>232</v>
      </c>
    </row>
    <row r="78" spans="1:12" ht="18" x14ac:dyDescent="0.3">
      <c r="A78" s="125">
        <f t="shared" si="3"/>
        <v>46299</v>
      </c>
      <c r="B78" s="140" t="str">
        <f t="shared" si="2"/>
        <v>Sunday</v>
      </c>
      <c r="C78" s="141" t="s">
        <v>231</v>
      </c>
      <c r="D78" s="141" t="s">
        <v>232</v>
      </c>
      <c r="E78" s="141" t="s">
        <v>231</v>
      </c>
      <c r="F78" s="141" t="s">
        <v>231</v>
      </c>
      <c r="G78" s="141" t="s">
        <v>231</v>
      </c>
      <c r="H78" s="141" t="s">
        <v>231</v>
      </c>
      <c r="I78" s="141" t="s">
        <v>232</v>
      </c>
      <c r="J78" s="141" t="s">
        <v>231</v>
      </c>
      <c r="K78" s="141" t="s">
        <v>231</v>
      </c>
      <c r="L78" s="141" t="s">
        <v>232</v>
      </c>
    </row>
    <row r="79" spans="1:12" ht="18" x14ac:dyDescent="0.3">
      <c r="A79" s="125">
        <f t="shared" si="3"/>
        <v>46300</v>
      </c>
      <c r="B79" s="140" t="str">
        <f t="shared" si="2"/>
        <v>Monday</v>
      </c>
      <c r="C79" s="141" t="s">
        <v>231</v>
      </c>
      <c r="D79" s="141" t="s">
        <v>231</v>
      </c>
      <c r="E79" s="141" t="s">
        <v>231</v>
      </c>
      <c r="F79" s="141" t="s">
        <v>231</v>
      </c>
      <c r="G79" s="141" t="s">
        <v>231</v>
      </c>
      <c r="H79" s="141" t="s">
        <v>231</v>
      </c>
      <c r="I79" s="141" t="s">
        <v>231</v>
      </c>
      <c r="J79" s="141" t="s">
        <v>231</v>
      </c>
      <c r="K79" s="141" t="s">
        <v>231</v>
      </c>
      <c r="L79" s="141" t="s">
        <v>232</v>
      </c>
    </row>
    <row r="80" spans="1:12" ht="18" x14ac:dyDescent="0.3">
      <c r="A80" s="125">
        <f t="shared" si="3"/>
        <v>46301</v>
      </c>
      <c r="B80" s="140" t="str">
        <f t="shared" si="2"/>
        <v>Tuesday</v>
      </c>
      <c r="C80" s="141" t="s">
        <v>231</v>
      </c>
      <c r="D80" s="141" t="s">
        <v>231</v>
      </c>
      <c r="E80" s="141" t="s">
        <v>231</v>
      </c>
      <c r="F80" s="141" t="s">
        <v>231</v>
      </c>
      <c r="G80" s="141" t="s">
        <v>231</v>
      </c>
      <c r="H80" s="141" t="s">
        <v>231</v>
      </c>
      <c r="I80" s="141" t="s">
        <v>232</v>
      </c>
      <c r="J80" s="141" t="s">
        <v>231</v>
      </c>
      <c r="K80" s="141" t="s">
        <v>231</v>
      </c>
      <c r="L80" s="141" t="s">
        <v>232</v>
      </c>
    </row>
    <row r="81" spans="1:12" ht="18" x14ac:dyDescent="0.3">
      <c r="A81" s="125">
        <f t="shared" si="3"/>
        <v>46302</v>
      </c>
      <c r="B81" s="140" t="str">
        <f t="shared" si="2"/>
        <v>Wednesday</v>
      </c>
      <c r="C81" s="141" t="s">
        <v>232</v>
      </c>
      <c r="D81" s="141" t="s">
        <v>232</v>
      </c>
      <c r="E81" s="141" t="s">
        <v>232</v>
      </c>
      <c r="F81" s="141" t="s">
        <v>231</v>
      </c>
      <c r="G81" s="141" t="s">
        <v>231</v>
      </c>
      <c r="H81" s="141" t="s">
        <v>232</v>
      </c>
      <c r="I81" s="141" t="s">
        <v>231</v>
      </c>
      <c r="J81" s="141" t="s">
        <v>231</v>
      </c>
      <c r="K81" s="141" t="s">
        <v>232</v>
      </c>
      <c r="L81" s="141" t="s">
        <v>232</v>
      </c>
    </row>
    <row r="82" spans="1:12" ht="18" x14ac:dyDescent="0.3">
      <c r="A82" s="125">
        <f t="shared" si="3"/>
        <v>46303</v>
      </c>
      <c r="B82" s="140" t="str">
        <f t="shared" si="2"/>
        <v>Thursday</v>
      </c>
      <c r="C82" s="141" t="s">
        <v>232</v>
      </c>
      <c r="D82" s="141" t="s">
        <v>231</v>
      </c>
      <c r="E82" s="141" t="s">
        <v>231</v>
      </c>
      <c r="F82" s="141" t="s">
        <v>231</v>
      </c>
      <c r="G82" s="141" t="s">
        <v>231</v>
      </c>
      <c r="H82" s="141" t="s">
        <v>231</v>
      </c>
      <c r="I82" s="141" t="s">
        <v>231</v>
      </c>
      <c r="J82" s="141" t="s">
        <v>231</v>
      </c>
      <c r="K82" s="141" t="s">
        <v>231</v>
      </c>
      <c r="L82" s="141" t="s">
        <v>232</v>
      </c>
    </row>
    <row r="83" spans="1:12" ht="18" x14ac:dyDescent="0.3">
      <c r="A83" s="125">
        <f t="shared" si="3"/>
        <v>46304</v>
      </c>
      <c r="B83" s="140" t="str">
        <f t="shared" si="2"/>
        <v>Friday</v>
      </c>
      <c r="C83" s="141" t="s">
        <v>232</v>
      </c>
      <c r="D83" s="141" t="s">
        <v>231</v>
      </c>
      <c r="E83" s="141" t="s">
        <v>231</v>
      </c>
      <c r="F83" s="141" t="s">
        <v>231</v>
      </c>
      <c r="G83" s="141" t="s">
        <v>231</v>
      </c>
      <c r="H83" s="141" t="s">
        <v>231</v>
      </c>
      <c r="I83" s="141" t="s">
        <v>231</v>
      </c>
      <c r="J83" s="141" t="s">
        <v>231</v>
      </c>
      <c r="K83" s="141" t="s">
        <v>231</v>
      </c>
      <c r="L83" s="141" t="s">
        <v>232</v>
      </c>
    </row>
    <row r="84" spans="1:12" ht="18" x14ac:dyDescent="0.3">
      <c r="A84" s="125">
        <f t="shared" si="3"/>
        <v>46305</v>
      </c>
      <c r="B84" s="140" t="str">
        <f t="shared" si="2"/>
        <v>Saturday</v>
      </c>
      <c r="C84" s="141" t="s">
        <v>231</v>
      </c>
      <c r="D84" s="141" t="s">
        <v>232</v>
      </c>
      <c r="E84" s="141" t="s">
        <v>231</v>
      </c>
      <c r="F84" s="141" t="s">
        <v>231</v>
      </c>
      <c r="G84" s="141" t="s">
        <v>231</v>
      </c>
      <c r="H84" s="141" t="s">
        <v>231</v>
      </c>
      <c r="I84" s="141" t="s">
        <v>231</v>
      </c>
      <c r="J84" s="141" t="s">
        <v>231</v>
      </c>
      <c r="K84" s="141" t="s">
        <v>231</v>
      </c>
      <c r="L84" s="141" t="s">
        <v>232</v>
      </c>
    </row>
    <row r="85" spans="1:12" ht="18" x14ac:dyDescent="0.3">
      <c r="A85" s="125">
        <f t="shared" si="3"/>
        <v>46306</v>
      </c>
      <c r="B85" s="140" t="str">
        <f t="shared" si="2"/>
        <v>Sunday</v>
      </c>
      <c r="C85" s="141" t="s">
        <v>231</v>
      </c>
      <c r="D85" s="141" t="s">
        <v>232</v>
      </c>
      <c r="E85" s="141" t="s">
        <v>231</v>
      </c>
      <c r="F85" s="141" t="s">
        <v>231</v>
      </c>
      <c r="G85" s="141" t="s">
        <v>231</v>
      </c>
      <c r="H85" s="141" t="s">
        <v>232</v>
      </c>
      <c r="I85" s="141" t="s">
        <v>232</v>
      </c>
      <c r="J85" s="141" t="s">
        <v>231</v>
      </c>
      <c r="K85" s="141" t="s">
        <v>231</v>
      </c>
      <c r="L85" s="141" t="s">
        <v>232</v>
      </c>
    </row>
    <row r="86" spans="1:12" ht="18" x14ac:dyDescent="0.3">
      <c r="A86" s="125">
        <f t="shared" si="3"/>
        <v>46307</v>
      </c>
      <c r="B86" s="140" t="str">
        <f t="shared" si="2"/>
        <v>Monday</v>
      </c>
      <c r="C86" s="141" t="s">
        <v>231</v>
      </c>
      <c r="D86" s="141" t="s">
        <v>231</v>
      </c>
      <c r="E86" s="141" t="s">
        <v>231</v>
      </c>
      <c r="F86" s="141" t="s">
        <v>231</v>
      </c>
      <c r="G86" s="141" t="s">
        <v>231</v>
      </c>
      <c r="H86" s="141" t="s">
        <v>231</v>
      </c>
      <c r="I86" s="141" t="s">
        <v>231</v>
      </c>
      <c r="J86" s="141" t="s">
        <v>231</v>
      </c>
      <c r="K86" s="141" t="s">
        <v>231</v>
      </c>
      <c r="L86" s="141" t="s">
        <v>231</v>
      </c>
    </row>
    <row r="87" spans="1:12" ht="18" x14ac:dyDescent="0.3">
      <c r="A87" s="125">
        <f t="shared" si="3"/>
        <v>46308</v>
      </c>
      <c r="B87" s="140" t="str">
        <f t="shared" si="2"/>
        <v>Tuesday</v>
      </c>
      <c r="C87" s="141" t="s">
        <v>232</v>
      </c>
      <c r="D87" s="141" t="s">
        <v>231</v>
      </c>
      <c r="E87" s="141" t="s">
        <v>232</v>
      </c>
      <c r="F87" s="141" t="s">
        <v>232</v>
      </c>
      <c r="G87" s="141" t="s">
        <v>231</v>
      </c>
      <c r="H87" s="141" t="s">
        <v>232</v>
      </c>
      <c r="I87" s="141" t="s">
        <v>231</v>
      </c>
      <c r="J87" s="141" t="s">
        <v>231</v>
      </c>
      <c r="K87" s="141" t="s">
        <v>232</v>
      </c>
      <c r="L87" s="141" t="s">
        <v>232</v>
      </c>
    </row>
    <row r="88" spans="1:12" ht="18" x14ac:dyDescent="0.3">
      <c r="A88" s="125">
        <f t="shared" si="3"/>
        <v>46309</v>
      </c>
      <c r="B88" s="140" t="str">
        <f t="shared" si="2"/>
        <v>Wednesday</v>
      </c>
      <c r="C88" s="141" t="s">
        <v>231</v>
      </c>
      <c r="D88" s="141" t="s">
        <v>231</v>
      </c>
      <c r="E88" s="141" t="s">
        <v>231</v>
      </c>
      <c r="F88" s="141" t="s">
        <v>231</v>
      </c>
      <c r="G88" s="141" t="s">
        <v>231</v>
      </c>
      <c r="H88" s="141" t="s">
        <v>231</v>
      </c>
      <c r="I88" s="141" t="s">
        <v>231</v>
      </c>
      <c r="J88" s="141" t="s">
        <v>231</v>
      </c>
      <c r="K88" s="141" t="s">
        <v>231</v>
      </c>
      <c r="L88" s="141" t="s">
        <v>232</v>
      </c>
    </row>
    <row r="89" spans="1:12" ht="18" x14ac:dyDescent="0.3">
      <c r="A89" s="125">
        <f t="shared" si="3"/>
        <v>46310</v>
      </c>
      <c r="B89" s="140" t="str">
        <f t="shared" si="2"/>
        <v>Thursday</v>
      </c>
      <c r="C89" s="141" t="s">
        <v>231</v>
      </c>
      <c r="D89" s="141" t="s">
        <v>231</v>
      </c>
      <c r="E89" s="141" t="s">
        <v>231</v>
      </c>
      <c r="F89" s="141" t="s">
        <v>231</v>
      </c>
      <c r="G89" s="141" t="s">
        <v>231</v>
      </c>
      <c r="H89" s="141" t="s">
        <v>231</v>
      </c>
      <c r="I89" s="141" t="s">
        <v>232</v>
      </c>
      <c r="J89" s="141" t="s">
        <v>231</v>
      </c>
      <c r="K89" s="141" t="s">
        <v>231</v>
      </c>
      <c r="L89" s="141" t="s">
        <v>232</v>
      </c>
    </row>
    <row r="90" spans="1:12" ht="18" x14ac:dyDescent="0.3">
      <c r="A90" s="125">
        <f t="shared" si="3"/>
        <v>46311</v>
      </c>
      <c r="B90" s="140" t="str">
        <f t="shared" si="2"/>
        <v>Friday</v>
      </c>
      <c r="C90" s="141" t="s">
        <v>232</v>
      </c>
      <c r="D90" s="141" t="s">
        <v>231</v>
      </c>
      <c r="E90" s="141" t="s">
        <v>231</v>
      </c>
      <c r="F90" s="141" t="s">
        <v>231</v>
      </c>
      <c r="G90" s="141" t="s">
        <v>231</v>
      </c>
      <c r="H90" s="141" t="s">
        <v>231</v>
      </c>
      <c r="I90" s="141" t="s">
        <v>231</v>
      </c>
      <c r="J90" s="141" t="s">
        <v>231</v>
      </c>
      <c r="K90" s="141" t="s">
        <v>231</v>
      </c>
      <c r="L90" s="141" t="s">
        <v>231</v>
      </c>
    </row>
    <row r="91" spans="1:12" ht="18" x14ac:dyDescent="0.3">
      <c r="A91" s="125">
        <f t="shared" si="3"/>
        <v>46312</v>
      </c>
      <c r="B91" s="140" t="str">
        <f t="shared" si="2"/>
        <v>Saturday</v>
      </c>
      <c r="C91" s="141" t="s">
        <v>232</v>
      </c>
      <c r="D91" s="141" t="s">
        <v>231</v>
      </c>
      <c r="E91" s="141" t="s">
        <v>231</v>
      </c>
      <c r="F91" s="141" t="s">
        <v>231</v>
      </c>
      <c r="G91" s="141" t="s">
        <v>231</v>
      </c>
      <c r="H91" s="141" t="s">
        <v>231</v>
      </c>
      <c r="I91" s="141" t="s">
        <v>231</v>
      </c>
      <c r="J91" s="141" t="s">
        <v>231</v>
      </c>
      <c r="K91" s="141" t="s">
        <v>232</v>
      </c>
      <c r="L91" s="141" t="s">
        <v>232</v>
      </c>
    </row>
    <row r="92" spans="1:12" ht="18" x14ac:dyDescent="0.3">
      <c r="A92" s="125">
        <f t="shared" si="3"/>
        <v>46313</v>
      </c>
      <c r="B92" s="140" t="str">
        <f t="shared" si="2"/>
        <v>Sunday</v>
      </c>
      <c r="C92" s="141" t="s">
        <v>231</v>
      </c>
      <c r="D92" s="141" t="s">
        <v>231</v>
      </c>
      <c r="E92" s="141" t="s">
        <v>231</v>
      </c>
      <c r="F92" s="141" t="s">
        <v>231</v>
      </c>
      <c r="G92" s="141" t="s">
        <v>231</v>
      </c>
      <c r="H92" s="141" t="s">
        <v>231</v>
      </c>
      <c r="I92" s="141" t="s">
        <v>231</v>
      </c>
      <c r="J92" s="141" t="s">
        <v>231</v>
      </c>
      <c r="K92" s="141" t="s">
        <v>231</v>
      </c>
      <c r="L92" s="141" t="s">
        <v>231</v>
      </c>
    </row>
    <row r="93" spans="1:12" ht="18" x14ac:dyDescent="0.3">
      <c r="A93" s="125">
        <f t="shared" si="3"/>
        <v>46314</v>
      </c>
      <c r="B93" s="140" t="str">
        <f t="shared" si="2"/>
        <v>Monday</v>
      </c>
      <c r="C93" s="141" t="s">
        <v>231</v>
      </c>
      <c r="D93" s="141" t="s">
        <v>231</v>
      </c>
      <c r="E93" s="141" t="s">
        <v>231</v>
      </c>
      <c r="F93" s="141" t="s">
        <v>231</v>
      </c>
      <c r="G93" s="141" t="s">
        <v>231</v>
      </c>
      <c r="H93" s="141" t="s">
        <v>231</v>
      </c>
      <c r="I93" s="141" t="s">
        <v>231</v>
      </c>
      <c r="J93" s="141" t="s">
        <v>231</v>
      </c>
      <c r="K93" s="141" t="s">
        <v>231</v>
      </c>
      <c r="L93" s="141" t="s">
        <v>231</v>
      </c>
    </row>
    <row r="94" spans="1:12" ht="18" x14ac:dyDescent="0.3">
      <c r="A94" s="125">
        <f t="shared" si="3"/>
        <v>46315</v>
      </c>
      <c r="B94" s="140" t="str">
        <f t="shared" si="2"/>
        <v>Tuesday</v>
      </c>
      <c r="C94" s="141" t="s">
        <v>231</v>
      </c>
      <c r="D94" s="141" t="s">
        <v>231</v>
      </c>
      <c r="E94" s="141" t="s">
        <v>231</v>
      </c>
      <c r="F94" s="141" t="s">
        <v>231</v>
      </c>
      <c r="G94" s="141" t="s">
        <v>231</v>
      </c>
      <c r="H94" s="141" t="s">
        <v>231</v>
      </c>
      <c r="I94" s="141" t="s">
        <v>231</v>
      </c>
      <c r="J94" s="141" t="s">
        <v>231</v>
      </c>
      <c r="K94" s="141" t="s">
        <v>231</v>
      </c>
      <c r="L94" s="141" t="s">
        <v>231</v>
      </c>
    </row>
    <row r="95" spans="1:12" ht="18" x14ac:dyDescent="0.3">
      <c r="A95" s="125">
        <f t="shared" si="3"/>
        <v>46316</v>
      </c>
      <c r="B95" s="140" t="str">
        <f t="shared" si="2"/>
        <v>Wednesday</v>
      </c>
      <c r="C95" s="141" t="s">
        <v>231</v>
      </c>
      <c r="D95" s="141" t="s">
        <v>231</v>
      </c>
      <c r="E95" s="141" t="s">
        <v>231</v>
      </c>
      <c r="F95" s="141" t="s">
        <v>231</v>
      </c>
      <c r="G95" s="141" t="s">
        <v>231</v>
      </c>
      <c r="H95" s="141" t="s">
        <v>231</v>
      </c>
      <c r="I95" s="141" t="s">
        <v>231</v>
      </c>
      <c r="J95" s="141" t="s">
        <v>231</v>
      </c>
      <c r="K95" s="141" t="s">
        <v>231</v>
      </c>
      <c r="L95" s="141" t="s">
        <v>231</v>
      </c>
    </row>
    <row r="96" spans="1:12" ht="18" x14ac:dyDescent="0.3">
      <c r="A96" s="125">
        <f t="shared" si="3"/>
        <v>46317</v>
      </c>
      <c r="B96" s="140" t="str">
        <f t="shared" si="2"/>
        <v>Thursday</v>
      </c>
      <c r="C96" s="141" t="s">
        <v>231</v>
      </c>
      <c r="D96" s="141" t="s">
        <v>231</v>
      </c>
      <c r="E96" s="141" t="s">
        <v>231</v>
      </c>
      <c r="F96" s="141" t="s">
        <v>231</v>
      </c>
      <c r="G96" s="141" t="s">
        <v>231</v>
      </c>
      <c r="H96" s="141" t="s">
        <v>231</v>
      </c>
      <c r="I96" s="141" t="s">
        <v>231</v>
      </c>
      <c r="J96" s="141" t="s">
        <v>231</v>
      </c>
      <c r="K96" s="141" t="s">
        <v>231</v>
      </c>
      <c r="L96" s="141" t="s">
        <v>231</v>
      </c>
    </row>
    <row r="97" spans="1:12" ht="18" x14ac:dyDescent="0.3">
      <c r="A97" s="125">
        <f t="shared" si="3"/>
        <v>46318</v>
      </c>
      <c r="B97" s="140" t="str">
        <f t="shared" si="2"/>
        <v>Friday</v>
      </c>
      <c r="C97" s="141" t="s">
        <v>231</v>
      </c>
      <c r="D97" s="141" t="s">
        <v>231</v>
      </c>
      <c r="E97" s="141" t="s">
        <v>231</v>
      </c>
      <c r="F97" s="141" t="s">
        <v>231</v>
      </c>
      <c r="G97" s="141" t="s">
        <v>231</v>
      </c>
      <c r="H97" s="141" t="s">
        <v>231</v>
      </c>
      <c r="I97" s="141" t="s">
        <v>231</v>
      </c>
      <c r="J97" s="141" t="s">
        <v>231</v>
      </c>
      <c r="K97" s="141" t="s">
        <v>231</v>
      </c>
      <c r="L97" s="141" t="s">
        <v>231</v>
      </c>
    </row>
    <row r="98" spans="1:12" ht="18" x14ac:dyDescent="0.3">
      <c r="A98" s="125">
        <f t="shared" si="3"/>
        <v>46319</v>
      </c>
      <c r="B98" s="140" t="str">
        <f t="shared" si="2"/>
        <v>Saturday</v>
      </c>
      <c r="C98" s="141" t="s">
        <v>231</v>
      </c>
      <c r="D98" s="141" t="s">
        <v>231</v>
      </c>
      <c r="E98" s="141" t="s">
        <v>231</v>
      </c>
      <c r="F98" s="141" t="s">
        <v>231</v>
      </c>
      <c r="G98" s="141" t="s">
        <v>231</v>
      </c>
      <c r="H98" s="141" t="s">
        <v>231</v>
      </c>
      <c r="I98" s="141" t="s">
        <v>231</v>
      </c>
      <c r="J98" s="141" t="s">
        <v>231</v>
      </c>
      <c r="K98" s="141" t="s">
        <v>231</v>
      </c>
      <c r="L98" s="141" t="s">
        <v>231</v>
      </c>
    </row>
    <row r="99" spans="1:12" ht="18" x14ac:dyDescent="0.3">
      <c r="A99" s="125">
        <f t="shared" si="3"/>
        <v>46320</v>
      </c>
      <c r="B99" s="140" t="str">
        <f t="shared" si="2"/>
        <v>Sunday</v>
      </c>
      <c r="C99" s="141" t="s">
        <v>231</v>
      </c>
      <c r="D99" s="141" t="s">
        <v>231</v>
      </c>
      <c r="E99" s="141" t="s">
        <v>231</v>
      </c>
      <c r="F99" s="141" t="s">
        <v>231</v>
      </c>
      <c r="G99" s="141" t="s">
        <v>231</v>
      </c>
      <c r="H99" s="141" t="s">
        <v>231</v>
      </c>
      <c r="I99" s="141" t="s">
        <v>231</v>
      </c>
      <c r="J99" s="141" t="s">
        <v>231</v>
      </c>
      <c r="K99" s="141" t="s">
        <v>231</v>
      </c>
      <c r="L99" s="141" t="s">
        <v>231</v>
      </c>
    </row>
    <row r="100" spans="1:12" ht="18" x14ac:dyDescent="0.3">
      <c r="A100" s="125">
        <f t="shared" si="3"/>
        <v>46321</v>
      </c>
      <c r="B100" s="140" t="str">
        <f t="shared" si="2"/>
        <v>Monday</v>
      </c>
      <c r="C100" s="141" t="s">
        <v>231</v>
      </c>
      <c r="D100" s="141" t="s">
        <v>231</v>
      </c>
      <c r="E100" s="141" t="s">
        <v>231</v>
      </c>
      <c r="F100" s="141" t="s">
        <v>231</v>
      </c>
      <c r="G100" s="141" t="s">
        <v>231</v>
      </c>
      <c r="H100" s="141" t="s">
        <v>231</v>
      </c>
      <c r="I100" s="141" t="s">
        <v>231</v>
      </c>
      <c r="J100" s="141" t="s">
        <v>231</v>
      </c>
      <c r="K100" s="141" t="s">
        <v>231</v>
      </c>
      <c r="L100" s="141" t="s">
        <v>231</v>
      </c>
    </row>
    <row r="101" spans="1:12" ht="18" x14ac:dyDescent="0.3">
      <c r="A101" s="125">
        <f t="shared" si="3"/>
        <v>46322</v>
      </c>
      <c r="B101" s="140" t="str">
        <f t="shared" si="2"/>
        <v>Tuesday</v>
      </c>
      <c r="C101" s="141" t="s">
        <v>231</v>
      </c>
      <c r="D101" s="141" t="s">
        <v>231</v>
      </c>
      <c r="E101" s="141" t="s">
        <v>231</v>
      </c>
      <c r="F101" s="141" t="s">
        <v>231</v>
      </c>
      <c r="G101" s="141" t="s">
        <v>231</v>
      </c>
      <c r="H101" s="141" t="s">
        <v>231</v>
      </c>
      <c r="I101" s="141" t="s">
        <v>231</v>
      </c>
      <c r="J101" s="141" t="s">
        <v>231</v>
      </c>
      <c r="K101" s="141" t="s">
        <v>231</v>
      </c>
      <c r="L101" s="141" t="s">
        <v>231</v>
      </c>
    </row>
    <row r="102" spans="1:12" ht="18" x14ac:dyDescent="0.3">
      <c r="A102" s="125">
        <f t="shared" si="3"/>
        <v>46323</v>
      </c>
      <c r="B102" s="140" t="str">
        <f t="shared" si="2"/>
        <v>Wednesday</v>
      </c>
      <c r="C102" s="141" t="s">
        <v>231</v>
      </c>
      <c r="D102" s="141" t="s">
        <v>231</v>
      </c>
      <c r="E102" s="141" t="s">
        <v>231</v>
      </c>
      <c r="F102" s="141" t="s">
        <v>231</v>
      </c>
      <c r="G102" s="141" t="s">
        <v>231</v>
      </c>
      <c r="H102" s="141" t="s">
        <v>231</v>
      </c>
      <c r="I102" s="141" t="s">
        <v>231</v>
      </c>
      <c r="J102" s="141" t="s">
        <v>231</v>
      </c>
      <c r="K102" s="141" t="s">
        <v>231</v>
      </c>
      <c r="L102" s="141" t="s">
        <v>231</v>
      </c>
    </row>
    <row r="103" spans="1:12" ht="18" x14ac:dyDescent="0.3">
      <c r="A103" s="125">
        <f t="shared" si="3"/>
        <v>46324</v>
      </c>
      <c r="B103" s="140" t="str">
        <f t="shared" si="2"/>
        <v>Thursday</v>
      </c>
      <c r="C103" s="141" t="s">
        <v>231</v>
      </c>
      <c r="D103" s="141" t="s">
        <v>231</v>
      </c>
      <c r="E103" s="141" t="s">
        <v>231</v>
      </c>
      <c r="F103" s="141" t="s">
        <v>231</v>
      </c>
      <c r="G103" s="141" t="s">
        <v>231</v>
      </c>
      <c r="H103" s="141" t="s">
        <v>231</v>
      </c>
      <c r="I103" s="141" t="s">
        <v>231</v>
      </c>
      <c r="J103" s="141" t="s">
        <v>231</v>
      </c>
      <c r="K103" s="141" t="s">
        <v>231</v>
      </c>
      <c r="L103" s="141" t="s">
        <v>231</v>
      </c>
    </row>
    <row r="104" spans="1:12" ht="18" x14ac:dyDescent="0.3">
      <c r="A104" s="125">
        <f t="shared" si="3"/>
        <v>46325</v>
      </c>
      <c r="B104" s="140" t="str">
        <f t="shared" si="2"/>
        <v>Friday</v>
      </c>
      <c r="C104" s="141" t="s">
        <v>231</v>
      </c>
      <c r="D104" s="141" t="s">
        <v>231</v>
      </c>
      <c r="E104" s="141" t="s">
        <v>231</v>
      </c>
      <c r="F104" s="141" t="s">
        <v>231</v>
      </c>
      <c r="G104" s="141" t="s">
        <v>231</v>
      </c>
      <c r="H104" s="141" t="s">
        <v>231</v>
      </c>
      <c r="I104" s="141" t="s">
        <v>231</v>
      </c>
      <c r="J104" s="141" t="s">
        <v>231</v>
      </c>
      <c r="K104" s="141" t="s">
        <v>231</v>
      </c>
      <c r="L104" s="141" t="s">
        <v>231</v>
      </c>
    </row>
    <row r="105" spans="1:12" ht="18" x14ac:dyDescent="0.3">
      <c r="A105" s="125">
        <f t="shared" si="3"/>
        <v>46326</v>
      </c>
      <c r="B105" s="140" t="str">
        <f t="shared" si="2"/>
        <v>Saturday</v>
      </c>
      <c r="C105" s="141" t="s">
        <v>231</v>
      </c>
      <c r="D105" s="141" t="s">
        <v>231</v>
      </c>
      <c r="E105" s="141" t="s">
        <v>231</v>
      </c>
      <c r="F105" s="141" t="s">
        <v>231</v>
      </c>
      <c r="G105" s="141" t="s">
        <v>231</v>
      </c>
      <c r="H105" s="141" t="s">
        <v>231</v>
      </c>
      <c r="I105" s="141" t="s">
        <v>231</v>
      </c>
      <c r="J105" s="141" t="s">
        <v>231</v>
      </c>
      <c r="K105" s="141" t="s">
        <v>231</v>
      </c>
      <c r="L105" s="141" t="s">
        <v>231</v>
      </c>
    </row>
    <row r="106" spans="1:12" ht="18" x14ac:dyDescent="0.3">
      <c r="A106" s="125">
        <f t="shared" si="3"/>
        <v>46327</v>
      </c>
      <c r="B106" s="140" t="str">
        <f t="shared" si="2"/>
        <v>Sunday</v>
      </c>
      <c r="C106" s="141" t="s">
        <v>231</v>
      </c>
      <c r="D106" s="141" t="s">
        <v>231</v>
      </c>
      <c r="E106" s="141" t="s">
        <v>231</v>
      </c>
      <c r="F106" s="141" t="s">
        <v>231</v>
      </c>
      <c r="G106" s="141" t="s">
        <v>231</v>
      </c>
      <c r="H106" s="141" t="s">
        <v>231</v>
      </c>
      <c r="I106" s="141" t="s">
        <v>231</v>
      </c>
      <c r="J106" s="141" t="s">
        <v>231</v>
      </c>
      <c r="K106" s="141" t="s">
        <v>231</v>
      </c>
      <c r="L106" s="141" t="s">
        <v>231</v>
      </c>
    </row>
    <row r="107" spans="1:12" ht="18" x14ac:dyDescent="0.3">
      <c r="A107" s="125">
        <f t="shared" si="3"/>
        <v>46328</v>
      </c>
      <c r="B107" s="140" t="str">
        <f t="shared" si="2"/>
        <v>Monday</v>
      </c>
      <c r="C107" s="141" t="s">
        <v>231</v>
      </c>
      <c r="D107" s="141" t="s">
        <v>231</v>
      </c>
      <c r="E107" s="141" t="s">
        <v>231</v>
      </c>
      <c r="F107" s="141" t="s">
        <v>231</v>
      </c>
      <c r="G107" s="141" t="s">
        <v>231</v>
      </c>
      <c r="H107" s="141" t="s">
        <v>231</v>
      </c>
      <c r="I107" s="141" t="s">
        <v>231</v>
      </c>
      <c r="J107" s="141" t="s">
        <v>231</v>
      </c>
      <c r="K107" s="141" t="s">
        <v>231</v>
      </c>
      <c r="L107" s="141" t="s">
        <v>231</v>
      </c>
    </row>
    <row r="108" spans="1:12" ht="18" x14ac:dyDescent="0.3">
      <c r="A108" s="125">
        <f t="shared" si="3"/>
        <v>46329</v>
      </c>
      <c r="B108" s="140" t="str">
        <f t="shared" si="2"/>
        <v>Tuesday</v>
      </c>
      <c r="C108" s="141" t="s">
        <v>231</v>
      </c>
      <c r="D108" s="141" t="s">
        <v>231</v>
      </c>
      <c r="E108" s="141" t="s">
        <v>231</v>
      </c>
      <c r="F108" s="141" t="s">
        <v>231</v>
      </c>
      <c r="G108" s="141" t="s">
        <v>231</v>
      </c>
      <c r="H108" s="141" t="s">
        <v>231</v>
      </c>
      <c r="I108" s="141" t="s">
        <v>231</v>
      </c>
      <c r="J108" s="141" t="s">
        <v>231</v>
      </c>
      <c r="K108" s="141" t="s">
        <v>231</v>
      </c>
      <c r="L108" s="141" t="s">
        <v>231</v>
      </c>
    </row>
    <row r="109" spans="1:12" ht="18" x14ac:dyDescent="0.3">
      <c r="A109" s="125">
        <f t="shared" si="3"/>
        <v>46330</v>
      </c>
      <c r="B109" s="140" t="str">
        <f t="shared" si="2"/>
        <v>Wednesday</v>
      </c>
      <c r="C109" s="141" t="s">
        <v>231</v>
      </c>
      <c r="D109" s="141" t="s">
        <v>231</v>
      </c>
      <c r="E109" s="141" t="s">
        <v>231</v>
      </c>
      <c r="F109" s="141" t="s">
        <v>231</v>
      </c>
      <c r="G109" s="141" t="s">
        <v>231</v>
      </c>
      <c r="H109" s="141" t="s">
        <v>231</v>
      </c>
      <c r="I109" s="141" t="s">
        <v>231</v>
      </c>
      <c r="J109" s="141" t="s">
        <v>231</v>
      </c>
      <c r="K109" s="141" t="s">
        <v>231</v>
      </c>
      <c r="L109" s="141" t="s">
        <v>231</v>
      </c>
    </row>
    <row r="110" spans="1:12" ht="18" x14ac:dyDescent="0.3">
      <c r="A110" s="125">
        <f t="shared" si="3"/>
        <v>46331</v>
      </c>
      <c r="B110" s="140" t="str">
        <f t="shared" si="2"/>
        <v>Thursday</v>
      </c>
      <c r="C110" s="141" t="s">
        <v>231</v>
      </c>
      <c r="D110" s="141" t="s">
        <v>231</v>
      </c>
      <c r="E110" s="141" t="s">
        <v>231</v>
      </c>
      <c r="F110" s="141" t="s">
        <v>231</v>
      </c>
      <c r="G110" s="141" t="s">
        <v>231</v>
      </c>
      <c r="H110" s="141" t="s">
        <v>231</v>
      </c>
      <c r="I110" s="141" t="s">
        <v>231</v>
      </c>
      <c r="J110" s="141" t="s">
        <v>231</v>
      </c>
      <c r="K110" s="141" t="s">
        <v>231</v>
      </c>
      <c r="L110" s="141" t="s">
        <v>231</v>
      </c>
    </row>
    <row r="111" spans="1:12" ht="18" x14ac:dyDescent="0.3">
      <c r="A111" s="125">
        <f t="shared" si="3"/>
        <v>46332</v>
      </c>
      <c r="B111" s="140" t="str">
        <f t="shared" si="2"/>
        <v>Friday</v>
      </c>
      <c r="C111" s="141" t="s">
        <v>231</v>
      </c>
      <c r="D111" s="141" t="s">
        <v>231</v>
      </c>
      <c r="E111" s="141" t="s">
        <v>231</v>
      </c>
      <c r="F111" s="141" t="s">
        <v>231</v>
      </c>
      <c r="G111" s="141" t="s">
        <v>231</v>
      </c>
      <c r="H111" s="141" t="s">
        <v>231</v>
      </c>
      <c r="I111" s="141" t="s">
        <v>231</v>
      </c>
      <c r="J111" s="141" t="s">
        <v>231</v>
      </c>
      <c r="K111" s="141" t="s">
        <v>231</v>
      </c>
      <c r="L111" s="141" t="s">
        <v>231</v>
      </c>
    </row>
    <row r="112" spans="1:12" ht="18" x14ac:dyDescent="0.3">
      <c r="A112" s="125">
        <f t="shared" si="3"/>
        <v>46333</v>
      </c>
      <c r="B112" s="140" t="str">
        <f t="shared" si="2"/>
        <v>Saturday</v>
      </c>
      <c r="C112" s="141" t="s">
        <v>231</v>
      </c>
      <c r="D112" s="141" t="s">
        <v>231</v>
      </c>
      <c r="E112" s="141" t="s">
        <v>231</v>
      </c>
      <c r="F112" s="141" t="s">
        <v>231</v>
      </c>
      <c r="G112" s="141" t="s">
        <v>231</v>
      </c>
      <c r="H112" s="141" t="s">
        <v>231</v>
      </c>
      <c r="I112" s="141" t="s">
        <v>231</v>
      </c>
      <c r="J112" s="141" t="s">
        <v>231</v>
      </c>
      <c r="K112" s="141" t="s">
        <v>231</v>
      </c>
      <c r="L112" s="141" t="s">
        <v>231</v>
      </c>
    </row>
    <row r="113" spans="1:12" ht="18" x14ac:dyDescent="0.3">
      <c r="A113" s="125">
        <f t="shared" si="3"/>
        <v>46334</v>
      </c>
      <c r="B113" s="140" t="str">
        <f t="shared" si="2"/>
        <v>Sunday</v>
      </c>
      <c r="C113" s="141" t="s">
        <v>231</v>
      </c>
      <c r="D113" s="141" t="s">
        <v>231</v>
      </c>
      <c r="E113" s="141" t="s">
        <v>231</v>
      </c>
      <c r="F113" s="141" t="s">
        <v>231</v>
      </c>
      <c r="G113" s="141" t="s">
        <v>231</v>
      </c>
      <c r="H113" s="141" t="s">
        <v>231</v>
      </c>
      <c r="I113" s="141" t="s">
        <v>231</v>
      </c>
      <c r="J113" s="141" t="s">
        <v>231</v>
      </c>
      <c r="K113" s="141" t="s">
        <v>231</v>
      </c>
      <c r="L113" s="141" t="s">
        <v>231</v>
      </c>
    </row>
    <row r="114" spans="1:12" ht="18" x14ac:dyDescent="0.3">
      <c r="A114" s="125">
        <f t="shared" si="3"/>
        <v>46335</v>
      </c>
      <c r="B114" s="140" t="str">
        <f t="shared" si="2"/>
        <v>Monday</v>
      </c>
      <c r="C114" s="141" t="s">
        <v>231</v>
      </c>
      <c r="D114" s="141" t="s">
        <v>231</v>
      </c>
      <c r="E114" s="141" t="s">
        <v>231</v>
      </c>
      <c r="F114" s="141" t="s">
        <v>231</v>
      </c>
      <c r="G114" s="141" t="s">
        <v>231</v>
      </c>
      <c r="H114" s="141" t="s">
        <v>231</v>
      </c>
      <c r="I114" s="141" t="s">
        <v>231</v>
      </c>
      <c r="J114" s="141" t="s">
        <v>231</v>
      </c>
      <c r="K114" s="141" t="s">
        <v>231</v>
      </c>
      <c r="L114" s="141" t="s">
        <v>231</v>
      </c>
    </row>
    <row r="115" spans="1:12" ht="18" x14ac:dyDescent="0.3">
      <c r="A115" s="125">
        <f t="shared" si="3"/>
        <v>46336</v>
      </c>
      <c r="B115" s="140" t="str">
        <f t="shared" si="2"/>
        <v>Tuesday</v>
      </c>
      <c r="C115" s="141" t="s">
        <v>231</v>
      </c>
      <c r="D115" s="141" t="s">
        <v>231</v>
      </c>
      <c r="E115" s="141" t="s">
        <v>231</v>
      </c>
      <c r="F115" s="141" t="s">
        <v>231</v>
      </c>
      <c r="G115" s="141" t="s">
        <v>231</v>
      </c>
      <c r="H115" s="141" t="s">
        <v>231</v>
      </c>
      <c r="I115" s="141" t="s">
        <v>231</v>
      </c>
      <c r="J115" s="141" t="s">
        <v>231</v>
      </c>
      <c r="K115" s="141" t="s">
        <v>231</v>
      </c>
      <c r="L115" s="141" t="s">
        <v>231</v>
      </c>
    </row>
    <row r="116" spans="1:12" ht="18" x14ac:dyDescent="0.3">
      <c r="A116" s="125">
        <f t="shared" si="3"/>
        <v>46337</v>
      </c>
      <c r="B116" s="140" t="str">
        <f t="shared" si="2"/>
        <v>Wednesday</v>
      </c>
      <c r="C116" s="141" t="s">
        <v>231</v>
      </c>
      <c r="D116" s="141" t="s">
        <v>231</v>
      </c>
      <c r="E116" s="141" t="s">
        <v>231</v>
      </c>
      <c r="F116" s="141" t="s">
        <v>231</v>
      </c>
      <c r="G116" s="141" t="s">
        <v>231</v>
      </c>
      <c r="H116" s="141" t="s">
        <v>231</v>
      </c>
      <c r="I116" s="141" t="s">
        <v>231</v>
      </c>
      <c r="J116" s="141" t="s">
        <v>231</v>
      </c>
      <c r="K116" s="141" t="s">
        <v>231</v>
      </c>
      <c r="L116" s="141" t="s">
        <v>231</v>
      </c>
    </row>
    <row r="117" spans="1:12" ht="18" x14ac:dyDescent="0.3">
      <c r="A117" s="125">
        <f t="shared" si="3"/>
        <v>46338</v>
      </c>
      <c r="B117" s="140" t="str">
        <f t="shared" si="2"/>
        <v>Thursday</v>
      </c>
      <c r="C117" s="141" t="s">
        <v>231</v>
      </c>
      <c r="D117" s="141" t="s">
        <v>231</v>
      </c>
      <c r="E117" s="141" t="s">
        <v>231</v>
      </c>
      <c r="F117" s="141" t="s">
        <v>231</v>
      </c>
      <c r="G117" s="141" t="s">
        <v>231</v>
      </c>
      <c r="H117" s="141" t="s">
        <v>231</v>
      </c>
      <c r="I117" s="141" t="s">
        <v>231</v>
      </c>
      <c r="J117" s="141" t="s">
        <v>231</v>
      </c>
      <c r="K117" s="141" t="s">
        <v>231</v>
      </c>
      <c r="L117" s="141" t="s">
        <v>231</v>
      </c>
    </row>
    <row r="118" spans="1:12" ht="18" x14ac:dyDescent="0.3">
      <c r="A118" s="125">
        <f t="shared" si="3"/>
        <v>46339</v>
      </c>
      <c r="B118" s="140" t="str">
        <f t="shared" si="2"/>
        <v>Friday</v>
      </c>
      <c r="C118" s="141" t="s">
        <v>231</v>
      </c>
      <c r="D118" s="141" t="s">
        <v>231</v>
      </c>
      <c r="E118" s="141" t="s">
        <v>231</v>
      </c>
      <c r="F118" s="141" t="s">
        <v>231</v>
      </c>
      <c r="G118" s="141" t="s">
        <v>231</v>
      </c>
      <c r="H118" s="141" t="s">
        <v>231</v>
      </c>
      <c r="I118" s="141" t="s">
        <v>231</v>
      </c>
      <c r="J118" s="141" t="s">
        <v>231</v>
      </c>
      <c r="K118" s="141" t="s">
        <v>231</v>
      </c>
      <c r="L118" s="141" t="s">
        <v>231</v>
      </c>
    </row>
    <row r="119" spans="1:12" ht="18" x14ac:dyDescent="0.3">
      <c r="A119" s="125">
        <f t="shared" si="3"/>
        <v>46340</v>
      </c>
      <c r="B119" s="140" t="str">
        <f t="shared" si="2"/>
        <v>Saturday</v>
      </c>
      <c r="C119" s="141" t="s">
        <v>231</v>
      </c>
      <c r="D119" s="141" t="s">
        <v>231</v>
      </c>
      <c r="E119" s="141" t="s">
        <v>231</v>
      </c>
      <c r="F119" s="141" t="s">
        <v>231</v>
      </c>
      <c r="G119" s="141" t="s">
        <v>231</v>
      </c>
      <c r="H119" s="141" t="s">
        <v>231</v>
      </c>
      <c r="I119" s="141" t="s">
        <v>231</v>
      </c>
      <c r="J119" s="141" t="s">
        <v>231</v>
      </c>
      <c r="K119" s="141" t="s">
        <v>231</v>
      </c>
      <c r="L119" s="141" t="s">
        <v>231</v>
      </c>
    </row>
    <row r="120" spans="1:12" ht="18" x14ac:dyDescent="0.3">
      <c r="A120" s="125">
        <f t="shared" si="3"/>
        <v>46341</v>
      </c>
      <c r="B120" s="140" t="str">
        <f t="shared" si="2"/>
        <v>Sunday</v>
      </c>
      <c r="C120" s="141" t="s">
        <v>231</v>
      </c>
      <c r="D120" s="141" t="s">
        <v>231</v>
      </c>
      <c r="E120" s="141" t="s">
        <v>231</v>
      </c>
      <c r="F120" s="141" t="s">
        <v>231</v>
      </c>
      <c r="G120" s="141" t="s">
        <v>231</v>
      </c>
      <c r="H120" s="141" t="s">
        <v>231</v>
      </c>
      <c r="I120" s="141" t="s">
        <v>231</v>
      </c>
      <c r="J120" s="141" t="s">
        <v>231</v>
      </c>
      <c r="K120" s="141" t="s">
        <v>231</v>
      </c>
      <c r="L120" s="141" t="s">
        <v>231</v>
      </c>
    </row>
    <row r="121" spans="1:12" ht="18" x14ac:dyDescent="0.3">
      <c r="A121" s="125">
        <f t="shared" si="3"/>
        <v>46342</v>
      </c>
      <c r="B121" s="140" t="str">
        <f t="shared" si="2"/>
        <v>Monday</v>
      </c>
      <c r="C121" s="141" t="s">
        <v>231</v>
      </c>
      <c r="D121" s="141" t="s">
        <v>231</v>
      </c>
      <c r="E121" s="141" t="s">
        <v>231</v>
      </c>
      <c r="F121" s="141" t="s">
        <v>231</v>
      </c>
      <c r="G121" s="141" t="s">
        <v>231</v>
      </c>
      <c r="H121" s="141" t="s">
        <v>231</v>
      </c>
      <c r="I121" s="141" t="s">
        <v>231</v>
      </c>
      <c r="J121" s="141" t="s">
        <v>231</v>
      </c>
      <c r="K121" s="141" t="s">
        <v>231</v>
      </c>
      <c r="L121" s="141" t="s">
        <v>231</v>
      </c>
    </row>
    <row r="122" spans="1:12" ht="18" x14ac:dyDescent="0.3">
      <c r="A122" s="125">
        <f t="shared" si="3"/>
        <v>46343</v>
      </c>
      <c r="B122" s="140" t="str">
        <f t="shared" si="2"/>
        <v>Tuesday</v>
      </c>
      <c r="C122" s="141" t="s">
        <v>231</v>
      </c>
      <c r="D122" s="141" t="s">
        <v>231</v>
      </c>
      <c r="E122" s="141" t="s">
        <v>231</v>
      </c>
      <c r="F122" s="141" t="s">
        <v>231</v>
      </c>
      <c r="G122" s="141" t="s">
        <v>231</v>
      </c>
      <c r="H122" s="141" t="s">
        <v>231</v>
      </c>
      <c r="I122" s="141" t="s">
        <v>231</v>
      </c>
      <c r="J122" s="141" t="s">
        <v>231</v>
      </c>
      <c r="K122" s="141" t="s">
        <v>231</v>
      </c>
      <c r="L122" s="141" t="s">
        <v>231</v>
      </c>
    </row>
    <row r="123" spans="1:12" ht="18" x14ac:dyDescent="0.3">
      <c r="A123" s="125">
        <f t="shared" si="3"/>
        <v>46344</v>
      </c>
      <c r="B123" s="140" t="str">
        <f t="shared" si="2"/>
        <v>Wednesday</v>
      </c>
      <c r="C123" s="141" t="s">
        <v>231</v>
      </c>
      <c r="D123" s="141" t="s">
        <v>231</v>
      </c>
      <c r="E123" s="141" t="s">
        <v>231</v>
      </c>
      <c r="F123" s="141" t="s">
        <v>231</v>
      </c>
      <c r="G123" s="141" t="s">
        <v>231</v>
      </c>
      <c r="H123" s="141" t="s">
        <v>231</v>
      </c>
      <c r="I123" s="141" t="s">
        <v>231</v>
      </c>
      <c r="J123" s="141" t="s">
        <v>231</v>
      </c>
      <c r="K123" s="141" t="s">
        <v>231</v>
      </c>
      <c r="L123" s="141" t="s">
        <v>231</v>
      </c>
    </row>
    <row r="124" spans="1:12" ht="18" x14ac:dyDescent="0.3">
      <c r="A124" s="125">
        <f t="shared" si="3"/>
        <v>46345</v>
      </c>
      <c r="B124" s="140" t="str">
        <f t="shared" si="2"/>
        <v>Thursday</v>
      </c>
      <c r="C124" s="141" t="s">
        <v>231</v>
      </c>
      <c r="D124" s="141" t="s">
        <v>231</v>
      </c>
      <c r="E124" s="141" t="s">
        <v>231</v>
      </c>
      <c r="F124" s="141" t="s">
        <v>231</v>
      </c>
      <c r="G124" s="141" t="s">
        <v>231</v>
      </c>
      <c r="H124" s="141" t="s">
        <v>231</v>
      </c>
      <c r="I124" s="141" t="s">
        <v>231</v>
      </c>
      <c r="J124" s="141" t="s">
        <v>231</v>
      </c>
      <c r="K124" s="141" t="s">
        <v>231</v>
      </c>
      <c r="L124" s="141" t="s">
        <v>231</v>
      </c>
    </row>
    <row r="125" spans="1:12" ht="18" x14ac:dyDescent="0.3">
      <c r="A125" s="125">
        <f t="shared" si="3"/>
        <v>46346</v>
      </c>
      <c r="B125" s="140" t="str">
        <f t="shared" si="2"/>
        <v>Friday</v>
      </c>
      <c r="C125" s="141" t="s">
        <v>231</v>
      </c>
      <c r="D125" s="141" t="s">
        <v>231</v>
      </c>
      <c r="E125" s="141" t="s">
        <v>231</v>
      </c>
      <c r="F125" s="141" t="s">
        <v>231</v>
      </c>
      <c r="G125" s="141" t="s">
        <v>231</v>
      </c>
      <c r="H125" s="141" t="s">
        <v>231</v>
      </c>
      <c r="I125" s="141" t="s">
        <v>231</v>
      </c>
      <c r="J125" s="141" t="s">
        <v>231</v>
      </c>
      <c r="K125" s="141" t="s">
        <v>231</v>
      </c>
      <c r="L125" s="141" t="s">
        <v>231</v>
      </c>
    </row>
    <row r="126" spans="1:12" ht="18" x14ac:dyDescent="0.3">
      <c r="A126" s="125">
        <f t="shared" si="3"/>
        <v>46347</v>
      </c>
      <c r="B126" s="140" t="str">
        <f t="shared" si="2"/>
        <v>Saturday</v>
      </c>
      <c r="C126" s="141" t="s">
        <v>231</v>
      </c>
      <c r="D126" s="141" t="s">
        <v>231</v>
      </c>
      <c r="E126" s="141" t="s">
        <v>231</v>
      </c>
      <c r="F126" s="141" t="s">
        <v>231</v>
      </c>
      <c r="G126" s="141" t="s">
        <v>231</v>
      </c>
      <c r="H126" s="141" t="s">
        <v>231</v>
      </c>
      <c r="I126" s="141" t="s">
        <v>231</v>
      </c>
      <c r="J126" s="141" t="s">
        <v>231</v>
      </c>
      <c r="K126" s="141" t="s">
        <v>231</v>
      </c>
      <c r="L126" s="141" t="s">
        <v>231</v>
      </c>
    </row>
    <row r="127" spans="1:12" ht="18" x14ac:dyDescent="0.3">
      <c r="A127" s="125">
        <f t="shared" si="3"/>
        <v>46348</v>
      </c>
      <c r="B127" s="140" t="str">
        <f t="shared" si="2"/>
        <v>Sunday</v>
      </c>
      <c r="C127" s="141" t="s">
        <v>231</v>
      </c>
      <c r="D127" s="141" t="s">
        <v>231</v>
      </c>
      <c r="E127" s="141" t="s">
        <v>231</v>
      </c>
      <c r="F127" s="141" t="s">
        <v>231</v>
      </c>
      <c r="G127" s="141" t="s">
        <v>231</v>
      </c>
      <c r="H127" s="141" t="s">
        <v>231</v>
      </c>
      <c r="I127" s="141" t="s">
        <v>231</v>
      </c>
      <c r="J127" s="141" t="s">
        <v>231</v>
      </c>
      <c r="K127" s="141" t="s">
        <v>231</v>
      </c>
      <c r="L127" s="141" t="s">
        <v>231</v>
      </c>
    </row>
    <row r="128" spans="1:12" ht="18" x14ac:dyDescent="0.3">
      <c r="A128" s="125">
        <f t="shared" si="3"/>
        <v>46349</v>
      </c>
      <c r="B128" s="140" t="str">
        <f t="shared" si="2"/>
        <v>Monday</v>
      </c>
      <c r="C128" s="141" t="s">
        <v>231</v>
      </c>
      <c r="D128" s="141" t="s">
        <v>231</v>
      </c>
      <c r="E128" s="141" t="s">
        <v>231</v>
      </c>
      <c r="F128" s="141" t="s">
        <v>231</v>
      </c>
      <c r="G128" s="141" t="s">
        <v>231</v>
      </c>
      <c r="H128" s="141" t="s">
        <v>231</v>
      </c>
      <c r="I128" s="141" t="s">
        <v>231</v>
      </c>
      <c r="J128" s="141" t="s">
        <v>231</v>
      </c>
      <c r="K128" s="141" t="s">
        <v>231</v>
      </c>
      <c r="L128" s="141" t="s">
        <v>231</v>
      </c>
    </row>
    <row r="129" spans="1:12" ht="18" x14ac:dyDescent="0.3">
      <c r="A129" s="125">
        <f t="shared" si="3"/>
        <v>46350</v>
      </c>
      <c r="B129" s="140" t="str">
        <f t="shared" si="2"/>
        <v>Tuesday</v>
      </c>
      <c r="C129" s="141" t="s">
        <v>231</v>
      </c>
      <c r="D129" s="141" t="s">
        <v>231</v>
      </c>
      <c r="E129" s="141" t="s">
        <v>231</v>
      </c>
      <c r="F129" s="141" t="s">
        <v>231</v>
      </c>
      <c r="G129" s="141" t="s">
        <v>231</v>
      </c>
      <c r="H129" s="141" t="s">
        <v>231</v>
      </c>
      <c r="I129" s="141" t="s">
        <v>231</v>
      </c>
      <c r="J129" s="141" t="s">
        <v>231</v>
      </c>
      <c r="K129" s="141" t="s">
        <v>231</v>
      </c>
      <c r="L129" s="141" t="s">
        <v>231</v>
      </c>
    </row>
    <row r="130" spans="1:12" ht="18" x14ac:dyDescent="0.3">
      <c r="A130" s="125">
        <f t="shared" si="3"/>
        <v>46351</v>
      </c>
      <c r="B130" s="140" t="str">
        <f t="shared" ref="B130:B193" si="4">CHOOSE(WEEKDAY(A130,2),"Monday","Tuesday","Wednesday","Thursday","Friday","Saturday","Sunday")</f>
        <v>Wednesday</v>
      </c>
      <c r="C130" s="141" t="s">
        <v>231</v>
      </c>
      <c r="D130" s="141" t="s">
        <v>231</v>
      </c>
      <c r="E130" s="141" t="s">
        <v>231</v>
      </c>
      <c r="F130" s="141" t="s">
        <v>231</v>
      </c>
      <c r="G130" s="141" t="s">
        <v>231</v>
      </c>
      <c r="H130" s="141" t="s">
        <v>231</v>
      </c>
      <c r="I130" s="141" t="s">
        <v>231</v>
      </c>
      <c r="J130" s="141" t="s">
        <v>231</v>
      </c>
      <c r="K130" s="141" t="s">
        <v>231</v>
      </c>
      <c r="L130" s="141" t="s">
        <v>231</v>
      </c>
    </row>
    <row r="131" spans="1:12" ht="18" x14ac:dyDescent="0.3">
      <c r="A131" s="125">
        <f t="shared" si="3"/>
        <v>46352</v>
      </c>
      <c r="B131" s="140" t="str">
        <f t="shared" si="4"/>
        <v>Thursday</v>
      </c>
      <c r="C131" s="141" t="s">
        <v>231</v>
      </c>
      <c r="D131" s="141" t="s">
        <v>231</v>
      </c>
      <c r="E131" s="141" t="s">
        <v>231</v>
      </c>
      <c r="F131" s="141" t="s">
        <v>231</v>
      </c>
      <c r="G131" s="141" t="s">
        <v>231</v>
      </c>
      <c r="H131" s="141" t="s">
        <v>231</v>
      </c>
      <c r="I131" s="141" t="s">
        <v>231</v>
      </c>
      <c r="J131" s="141" t="s">
        <v>231</v>
      </c>
      <c r="K131" s="141" t="s">
        <v>231</v>
      </c>
      <c r="L131" s="141" t="s">
        <v>231</v>
      </c>
    </row>
    <row r="132" spans="1:12" ht="18" x14ac:dyDescent="0.3">
      <c r="A132" s="125">
        <f t="shared" ref="A132:A195" si="5">A131+1</f>
        <v>46353</v>
      </c>
      <c r="B132" s="140" t="str">
        <f t="shared" si="4"/>
        <v>Friday</v>
      </c>
      <c r="C132" s="141" t="s">
        <v>231</v>
      </c>
      <c r="D132" s="141" t="s">
        <v>231</v>
      </c>
      <c r="E132" s="141" t="s">
        <v>231</v>
      </c>
      <c r="F132" s="141" t="s">
        <v>231</v>
      </c>
      <c r="G132" s="141" t="s">
        <v>231</v>
      </c>
      <c r="H132" s="141" t="s">
        <v>231</v>
      </c>
      <c r="I132" s="141" t="s">
        <v>231</v>
      </c>
      <c r="J132" s="141" t="s">
        <v>231</v>
      </c>
      <c r="K132" s="141" t="s">
        <v>231</v>
      </c>
      <c r="L132" s="141" t="s">
        <v>231</v>
      </c>
    </row>
    <row r="133" spans="1:12" ht="18" x14ac:dyDescent="0.3">
      <c r="A133" s="125">
        <f t="shared" si="5"/>
        <v>46354</v>
      </c>
      <c r="B133" s="140" t="str">
        <f t="shared" si="4"/>
        <v>Saturday</v>
      </c>
      <c r="C133" s="141" t="s">
        <v>231</v>
      </c>
      <c r="D133" s="141" t="s">
        <v>231</v>
      </c>
      <c r="E133" s="141" t="s">
        <v>231</v>
      </c>
      <c r="F133" s="141" t="s">
        <v>231</v>
      </c>
      <c r="G133" s="141" t="s">
        <v>231</v>
      </c>
      <c r="H133" s="141" t="s">
        <v>231</v>
      </c>
      <c r="I133" s="141" t="s">
        <v>231</v>
      </c>
      <c r="J133" s="141" t="s">
        <v>231</v>
      </c>
      <c r="K133" s="141" t="s">
        <v>231</v>
      </c>
      <c r="L133" s="141" t="s">
        <v>231</v>
      </c>
    </row>
    <row r="134" spans="1:12" ht="18" x14ac:dyDescent="0.3">
      <c r="A134" s="125">
        <f t="shared" si="5"/>
        <v>46355</v>
      </c>
      <c r="B134" s="140" t="str">
        <f t="shared" si="4"/>
        <v>Sunday</v>
      </c>
      <c r="C134" s="141" t="s">
        <v>231</v>
      </c>
      <c r="D134" s="141" t="s">
        <v>231</v>
      </c>
      <c r="E134" s="141" t="s">
        <v>231</v>
      </c>
      <c r="F134" s="141" t="s">
        <v>231</v>
      </c>
      <c r="G134" s="141" t="s">
        <v>231</v>
      </c>
      <c r="H134" s="141" t="s">
        <v>231</v>
      </c>
      <c r="I134" s="141" t="s">
        <v>231</v>
      </c>
      <c r="J134" s="141" t="s">
        <v>231</v>
      </c>
      <c r="K134" s="141" t="s">
        <v>231</v>
      </c>
      <c r="L134" s="141" t="s">
        <v>231</v>
      </c>
    </row>
    <row r="135" spans="1:12" ht="18" x14ac:dyDescent="0.3">
      <c r="A135" s="125">
        <f t="shared" si="5"/>
        <v>46356</v>
      </c>
      <c r="B135" s="140" t="str">
        <f t="shared" si="4"/>
        <v>Monday</v>
      </c>
      <c r="C135" s="141" t="s">
        <v>231</v>
      </c>
      <c r="D135" s="141" t="s">
        <v>231</v>
      </c>
      <c r="E135" s="141" t="s">
        <v>231</v>
      </c>
      <c r="F135" s="141" t="s">
        <v>231</v>
      </c>
      <c r="G135" s="141" t="s">
        <v>231</v>
      </c>
      <c r="H135" s="141" t="s">
        <v>231</v>
      </c>
      <c r="I135" s="141" t="s">
        <v>231</v>
      </c>
      <c r="J135" s="141" t="s">
        <v>231</v>
      </c>
      <c r="K135" s="141" t="s">
        <v>231</v>
      </c>
      <c r="L135" s="141" t="s">
        <v>231</v>
      </c>
    </row>
    <row r="136" spans="1:12" ht="18" x14ac:dyDescent="0.3">
      <c r="A136" s="125">
        <f t="shared" si="5"/>
        <v>46357</v>
      </c>
      <c r="B136" s="140" t="str">
        <f t="shared" si="4"/>
        <v>Tuesday</v>
      </c>
      <c r="C136" s="141" t="s">
        <v>231</v>
      </c>
      <c r="D136" s="141" t="s">
        <v>231</v>
      </c>
      <c r="E136" s="141" t="s">
        <v>231</v>
      </c>
      <c r="F136" s="141" t="s">
        <v>231</v>
      </c>
      <c r="G136" s="141" t="s">
        <v>231</v>
      </c>
      <c r="H136" s="141" t="s">
        <v>231</v>
      </c>
      <c r="I136" s="141" t="s">
        <v>231</v>
      </c>
      <c r="J136" s="141" t="s">
        <v>231</v>
      </c>
      <c r="K136" s="141" t="s">
        <v>231</v>
      </c>
      <c r="L136" s="141" t="s">
        <v>231</v>
      </c>
    </row>
    <row r="137" spans="1:12" ht="18" x14ac:dyDescent="0.3">
      <c r="A137" s="125">
        <f t="shared" si="5"/>
        <v>46358</v>
      </c>
      <c r="B137" s="140" t="str">
        <f t="shared" si="4"/>
        <v>Wednesday</v>
      </c>
      <c r="C137" s="141" t="s">
        <v>231</v>
      </c>
      <c r="D137" s="141" t="s">
        <v>231</v>
      </c>
      <c r="E137" s="141" t="s">
        <v>231</v>
      </c>
      <c r="F137" s="141" t="s">
        <v>231</v>
      </c>
      <c r="G137" s="141" t="s">
        <v>231</v>
      </c>
      <c r="H137" s="141" t="s">
        <v>231</v>
      </c>
      <c r="I137" s="141" t="s">
        <v>231</v>
      </c>
      <c r="J137" s="141" t="s">
        <v>231</v>
      </c>
      <c r="K137" s="141" t="s">
        <v>231</v>
      </c>
      <c r="L137" s="141" t="s">
        <v>231</v>
      </c>
    </row>
    <row r="138" spans="1:12" ht="18" x14ac:dyDescent="0.3">
      <c r="A138" s="125">
        <f t="shared" si="5"/>
        <v>46359</v>
      </c>
      <c r="B138" s="140" t="str">
        <f t="shared" si="4"/>
        <v>Thursday</v>
      </c>
      <c r="C138" s="141" t="s">
        <v>231</v>
      </c>
      <c r="D138" s="141" t="s">
        <v>231</v>
      </c>
      <c r="E138" s="141" t="s">
        <v>231</v>
      </c>
      <c r="F138" s="141" t="s">
        <v>231</v>
      </c>
      <c r="G138" s="141" t="s">
        <v>231</v>
      </c>
      <c r="H138" s="141" t="s">
        <v>231</v>
      </c>
      <c r="I138" s="141" t="s">
        <v>231</v>
      </c>
      <c r="J138" s="141" t="s">
        <v>231</v>
      </c>
      <c r="K138" s="141" t="s">
        <v>231</v>
      </c>
      <c r="L138" s="141" t="s">
        <v>231</v>
      </c>
    </row>
    <row r="139" spans="1:12" ht="18" x14ac:dyDescent="0.3">
      <c r="A139" s="125">
        <f t="shared" si="5"/>
        <v>46360</v>
      </c>
      <c r="B139" s="140" t="str">
        <f t="shared" si="4"/>
        <v>Friday</v>
      </c>
      <c r="C139" s="141" t="s">
        <v>231</v>
      </c>
      <c r="D139" s="141" t="s">
        <v>231</v>
      </c>
      <c r="E139" s="141" t="s">
        <v>231</v>
      </c>
      <c r="F139" s="141" t="s">
        <v>231</v>
      </c>
      <c r="G139" s="141" t="s">
        <v>231</v>
      </c>
      <c r="H139" s="141" t="s">
        <v>231</v>
      </c>
      <c r="I139" s="141" t="s">
        <v>231</v>
      </c>
      <c r="J139" s="141" t="s">
        <v>231</v>
      </c>
      <c r="K139" s="141" t="s">
        <v>231</v>
      </c>
      <c r="L139" s="141" t="s">
        <v>231</v>
      </c>
    </row>
    <row r="140" spans="1:12" ht="18" x14ac:dyDescent="0.3">
      <c r="A140" s="125">
        <f t="shared" si="5"/>
        <v>46361</v>
      </c>
      <c r="B140" s="140" t="str">
        <f t="shared" si="4"/>
        <v>Saturday</v>
      </c>
      <c r="C140" s="141" t="s">
        <v>231</v>
      </c>
      <c r="D140" s="141" t="s">
        <v>231</v>
      </c>
      <c r="E140" s="141" t="s">
        <v>231</v>
      </c>
      <c r="F140" s="141" t="s">
        <v>231</v>
      </c>
      <c r="G140" s="141" t="s">
        <v>231</v>
      </c>
      <c r="H140" s="141" t="s">
        <v>231</v>
      </c>
      <c r="I140" s="141" t="s">
        <v>231</v>
      </c>
      <c r="J140" s="141" t="s">
        <v>231</v>
      </c>
      <c r="K140" s="141" t="s">
        <v>231</v>
      </c>
      <c r="L140" s="141" t="s">
        <v>231</v>
      </c>
    </row>
    <row r="141" spans="1:12" ht="18" x14ac:dyDescent="0.3">
      <c r="A141" s="125">
        <f t="shared" si="5"/>
        <v>46362</v>
      </c>
      <c r="B141" s="140" t="str">
        <f t="shared" si="4"/>
        <v>Sunday</v>
      </c>
      <c r="C141" s="141" t="s">
        <v>231</v>
      </c>
      <c r="D141" s="141" t="s">
        <v>231</v>
      </c>
      <c r="E141" s="141" t="s">
        <v>231</v>
      </c>
      <c r="F141" s="141" t="s">
        <v>231</v>
      </c>
      <c r="G141" s="141" t="s">
        <v>231</v>
      </c>
      <c r="H141" s="141" t="s">
        <v>231</v>
      </c>
      <c r="I141" s="141" t="s">
        <v>231</v>
      </c>
      <c r="J141" s="141" t="s">
        <v>231</v>
      </c>
      <c r="K141" s="141" t="s">
        <v>231</v>
      </c>
      <c r="L141" s="141" t="s">
        <v>231</v>
      </c>
    </row>
    <row r="142" spans="1:12" ht="18" x14ac:dyDescent="0.3">
      <c r="A142" s="125">
        <f t="shared" si="5"/>
        <v>46363</v>
      </c>
      <c r="B142" s="140" t="str">
        <f t="shared" si="4"/>
        <v>Monday</v>
      </c>
      <c r="C142" s="141" t="s">
        <v>231</v>
      </c>
      <c r="D142" s="141" t="s">
        <v>231</v>
      </c>
      <c r="E142" s="141" t="s">
        <v>231</v>
      </c>
      <c r="F142" s="141" t="s">
        <v>231</v>
      </c>
      <c r="G142" s="141" t="s">
        <v>231</v>
      </c>
      <c r="H142" s="141" t="s">
        <v>231</v>
      </c>
      <c r="I142" s="141" t="s">
        <v>231</v>
      </c>
      <c r="J142" s="141" t="s">
        <v>231</v>
      </c>
      <c r="K142" s="141" t="s">
        <v>231</v>
      </c>
      <c r="L142" s="141" t="s">
        <v>231</v>
      </c>
    </row>
    <row r="143" spans="1:12" ht="18" x14ac:dyDescent="0.3">
      <c r="A143" s="125">
        <f t="shared" si="5"/>
        <v>46364</v>
      </c>
      <c r="B143" s="140" t="str">
        <f t="shared" si="4"/>
        <v>Tuesday</v>
      </c>
      <c r="C143" s="141" t="s">
        <v>231</v>
      </c>
      <c r="D143" s="141" t="s">
        <v>231</v>
      </c>
      <c r="E143" s="141" t="s">
        <v>231</v>
      </c>
      <c r="F143" s="141" t="s">
        <v>231</v>
      </c>
      <c r="G143" s="141" t="s">
        <v>231</v>
      </c>
      <c r="H143" s="141" t="s">
        <v>231</v>
      </c>
      <c r="I143" s="141" t="s">
        <v>231</v>
      </c>
      <c r="J143" s="141" t="s">
        <v>231</v>
      </c>
      <c r="K143" s="141" t="s">
        <v>231</v>
      </c>
      <c r="L143" s="141" t="s">
        <v>231</v>
      </c>
    </row>
    <row r="144" spans="1:12" ht="18" x14ac:dyDescent="0.3">
      <c r="A144" s="125">
        <f t="shared" si="5"/>
        <v>46365</v>
      </c>
      <c r="B144" s="140" t="str">
        <f t="shared" si="4"/>
        <v>Wednesday</v>
      </c>
      <c r="C144" s="141" t="s">
        <v>231</v>
      </c>
      <c r="D144" s="141" t="s">
        <v>231</v>
      </c>
      <c r="E144" s="141" t="s">
        <v>231</v>
      </c>
      <c r="F144" s="141" t="s">
        <v>231</v>
      </c>
      <c r="G144" s="141" t="s">
        <v>231</v>
      </c>
      <c r="H144" s="141" t="s">
        <v>231</v>
      </c>
      <c r="I144" s="141" t="s">
        <v>231</v>
      </c>
      <c r="J144" s="141" t="s">
        <v>231</v>
      </c>
      <c r="K144" s="141" t="s">
        <v>231</v>
      </c>
      <c r="L144" s="141" t="s">
        <v>231</v>
      </c>
    </row>
    <row r="145" spans="1:12" ht="18" x14ac:dyDescent="0.3">
      <c r="A145" s="125">
        <f t="shared" si="5"/>
        <v>46366</v>
      </c>
      <c r="B145" s="140" t="str">
        <f t="shared" si="4"/>
        <v>Thursday</v>
      </c>
      <c r="C145" s="141" t="s">
        <v>231</v>
      </c>
      <c r="D145" s="141" t="s">
        <v>231</v>
      </c>
      <c r="E145" s="141" t="s">
        <v>231</v>
      </c>
      <c r="F145" s="141" t="s">
        <v>231</v>
      </c>
      <c r="G145" s="141" t="s">
        <v>231</v>
      </c>
      <c r="H145" s="141" t="s">
        <v>231</v>
      </c>
      <c r="I145" s="141" t="s">
        <v>231</v>
      </c>
      <c r="J145" s="141" t="s">
        <v>231</v>
      </c>
      <c r="K145" s="141" t="s">
        <v>231</v>
      </c>
      <c r="L145" s="141" t="s">
        <v>231</v>
      </c>
    </row>
    <row r="146" spans="1:12" ht="18" x14ac:dyDescent="0.3">
      <c r="A146" s="125">
        <f t="shared" si="5"/>
        <v>46367</v>
      </c>
      <c r="B146" s="140" t="str">
        <f t="shared" si="4"/>
        <v>Friday</v>
      </c>
      <c r="C146" s="141" t="s">
        <v>231</v>
      </c>
      <c r="D146" s="141" t="s">
        <v>231</v>
      </c>
      <c r="E146" s="141" t="s">
        <v>231</v>
      </c>
      <c r="F146" s="141" t="s">
        <v>231</v>
      </c>
      <c r="G146" s="141" t="s">
        <v>231</v>
      </c>
      <c r="H146" s="141" t="s">
        <v>231</v>
      </c>
      <c r="I146" s="141" t="s">
        <v>231</v>
      </c>
      <c r="J146" s="141" t="s">
        <v>231</v>
      </c>
      <c r="K146" s="141" t="s">
        <v>231</v>
      </c>
      <c r="L146" s="141" t="s">
        <v>231</v>
      </c>
    </row>
    <row r="147" spans="1:12" ht="18" x14ac:dyDescent="0.3">
      <c r="A147" s="125">
        <f t="shared" si="5"/>
        <v>46368</v>
      </c>
      <c r="B147" s="140" t="str">
        <f t="shared" si="4"/>
        <v>Saturday</v>
      </c>
      <c r="C147" s="141" t="s">
        <v>231</v>
      </c>
      <c r="D147" s="141" t="s">
        <v>231</v>
      </c>
      <c r="E147" s="141" t="s">
        <v>231</v>
      </c>
      <c r="F147" s="141" t="s">
        <v>231</v>
      </c>
      <c r="G147" s="141" t="s">
        <v>231</v>
      </c>
      <c r="H147" s="141" t="s">
        <v>231</v>
      </c>
      <c r="I147" s="141" t="s">
        <v>231</v>
      </c>
      <c r="J147" s="141" t="s">
        <v>231</v>
      </c>
      <c r="K147" s="141" t="s">
        <v>231</v>
      </c>
      <c r="L147" s="141" t="s">
        <v>231</v>
      </c>
    </row>
    <row r="148" spans="1:12" ht="18" x14ac:dyDescent="0.3">
      <c r="A148" s="125">
        <f t="shared" si="5"/>
        <v>46369</v>
      </c>
      <c r="B148" s="140" t="str">
        <f t="shared" si="4"/>
        <v>Sunday</v>
      </c>
      <c r="C148" s="141" t="s">
        <v>231</v>
      </c>
      <c r="D148" s="141" t="s">
        <v>231</v>
      </c>
      <c r="E148" s="141" t="s">
        <v>231</v>
      </c>
      <c r="F148" s="141" t="s">
        <v>231</v>
      </c>
      <c r="G148" s="141" t="s">
        <v>231</v>
      </c>
      <c r="H148" s="141" t="s">
        <v>231</v>
      </c>
      <c r="I148" s="141" t="s">
        <v>231</v>
      </c>
      <c r="J148" s="141" t="s">
        <v>231</v>
      </c>
      <c r="K148" s="141" t="s">
        <v>231</v>
      </c>
      <c r="L148" s="141" t="s">
        <v>231</v>
      </c>
    </row>
    <row r="149" spans="1:12" ht="18" x14ac:dyDescent="0.3">
      <c r="A149" s="125">
        <f t="shared" si="5"/>
        <v>46370</v>
      </c>
      <c r="B149" s="140" t="str">
        <f t="shared" si="4"/>
        <v>Monday</v>
      </c>
      <c r="C149" s="141" t="s">
        <v>231</v>
      </c>
      <c r="D149" s="141" t="s">
        <v>231</v>
      </c>
      <c r="E149" s="141" t="s">
        <v>231</v>
      </c>
      <c r="F149" s="141" t="s">
        <v>231</v>
      </c>
      <c r="G149" s="141" t="s">
        <v>231</v>
      </c>
      <c r="H149" s="141" t="s">
        <v>231</v>
      </c>
      <c r="I149" s="141" t="s">
        <v>231</v>
      </c>
      <c r="J149" s="141" t="s">
        <v>231</v>
      </c>
      <c r="K149" s="141" t="s">
        <v>231</v>
      </c>
      <c r="L149" s="141" t="s">
        <v>231</v>
      </c>
    </row>
    <row r="150" spans="1:12" ht="18" x14ac:dyDescent="0.3">
      <c r="A150" s="125">
        <f t="shared" si="5"/>
        <v>46371</v>
      </c>
      <c r="B150" s="140" t="str">
        <f t="shared" si="4"/>
        <v>Tuesday</v>
      </c>
      <c r="C150" s="141" t="s">
        <v>231</v>
      </c>
      <c r="D150" s="141" t="s">
        <v>231</v>
      </c>
      <c r="E150" s="141" t="s">
        <v>231</v>
      </c>
      <c r="F150" s="141" t="s">
        <v>231</v>
      </c>
      <c r="G150" s="141" t="s">
        <v>231</v>
      </c>
      <c r="H150" s="141" t="s">
        <v>231</v>
      </c>
      <c r="I150" s="141" t="s">
        <v>231</v>
      </c>
      <c r="J150" s="141" t="s">
        <v>231</v>
      </c>
      <c r="K150" s="141" t="s">
        <v>231</v>
      </c>
      <c r="L150" s="141" t="s">
        <v>231</v>
      </c>
    </row>
    <row r="151" spans="1:12" ht="18" x14ac:dyDescent="0.3">
      <c r="A151" s="125">
        <f t="shared" si="5"/>
        <v>46372</v>
      </c>
      <c r="B151" s="140" t="str">
        <f t="shared" si="4"/>
        <v>Wednesday</v>
      </c>
      <c r="C151" s="141" t="s">
        <v>231</v>
      </c>
      <c r="D151" s="141" t="s">
        <v>231</v>
      </c>
      <c r="E151" s="141" t="s">
        <v>231</v>
      </c>
      <c r="F151" s="141" t="s">
        <v>231</v>
      </c>
      <c r="G151" s="141" t="s">
        <v>231</v>
      </c>
      <c r="H151" s="141" t="s">
        <v>231</v>
      </c>
      <c r="I151" s="141" t="s">
        <v>231</v>
      </c>
      <c r="J151" s="141" t="s">
        <v>231</v>
      </c>
      <c r="K151" s="141" t="s">
        <v>231</v>
      </c>
      <c r="L151" s="141" t="s">
        <v>231</v>
      </c>
    </row>
    <row r="152" spans="1:12" ht="18" x14ac:dyDescent="0.3">
      <c r="A152" s="125">
        <f t="shared" si="5"/>
        <v>46373</v>
      </c>
      <c r="B152" s="140" t="str">
        <f t="shared" si="4"/>
        <v>Thursday</v>
      </c>
      <c r="C152" s="141" t="s">
        <v>231</v>
      </c>
      <c r="D152" s="141" t="s">
        <v>231</v>
      </c>
      <c r="E152" s="141" t="s">
        <v>231</v>
      </c>
      <c r="F152" s="141" t="s">
        <v>231</v>
      </c>
      <c r="G152" s="141" t="s">
        <v>231</v>
      </c>
      <c r="H152" s="141" t="s">
        <v>231</v>
      </c>
      <c r="I152" s="141" t="s">
        <v>231</v>
      </c>
      <c r="J152" s="141" t="s">
        <v>231</v>
      </c>
      <c r="K152" s="141" t="s">
        <v>231</v>
      </c>
      <c r="L152" s="141" t="s">
        <v>231</v>
      </c>
    </row>
    <row r="153" spans="1:12" ht="18" x14ac:dyDescent="0.3">
      <c r="A153" s="125">
        <f t="shared" si="5"/>
        <v>46374</v>
      </c>
      <c r="B153" s="140" t="str">
        <f t="shared" si="4"/>
        <v>Friday</v>
      </c>
      <c r="C153" s="141" t="s">
        <v>231</v>
      </c>
      <c r="D153" s="141" t="s">
        <v>231</v>
      </c>
      <c r="E153" s="141" t="s">
        <v>231</v>
      </c>
      <c r="F153" s="141" t="s">
        <v>231</v>
      </c>
      <c r="G153" s="141" t="s">
        <v>231</v>
      </c>
      <c r="H153" s="141" t="s">
        <v>231</v>
      </c>
      <c r="I153" s="141" t="s">
        <v>231</v>
      </c>
      <c r="J153" s="141" t="s">
        <v>231</v>
      </c>
      <c r="K153" s="141" t="s">
        <v>231</v>
      </c>
      <c r="L153" s="141" t="s">
        <v>231</v>
      </c>
    </row>
    <row r="154" spans="1:12" ht="18" x14ac:dyDescent="0.3">
      <c r="A154" s="125">
        <f t="shared" si="5"/>
        <v>46375</v>
      </c>
      <c r="B154" s="140" t="str">
        <f t="shared" si="4"/>
        <v>Saturday</v>
      </c>
      <c r="C154" s="141" t="s">
        <v>231</v>
      </c>
      <c r="D154" s="141" t="s">
        <v>231</v>
      </c>
      <c r="E154" s="141" t="s">
        <v>231</v>
      </c>
      <c r="F154" s="141" t="s">
        <v>231</v>
      </c>
      <c r="G154" s="141" t="s">
        <v>231</v>
      </c>
      <c r="H154" s="141" t="s">
        <v>231</v>
      </c>
      <c r="I154" s="141" t="s">
        <v>231</v>
      </c>
      <c r="J154" s="141" t="s">
        <v>231</v>
      </c>
      <c r="K154" s="141" t="s">
        <v>231</v>
      </c>
      <c r="L154" s="141" t="s">
        <v>231</v>
      </c>
    </row>
    <row r="155" spans="1:12" ht="18" x14ac:dyDescent="0.3">
      <c r="A155" s="125">
        <f t="shared" si="5"/>
        <v>46376</v>
      </c>
      <c r="B155" s="140" t="str">
        <f t="shared" si="4"/>
        <v>Sunday</v>
      </c>
      <c r="C155" s="141" t="s">
        <v>231</v>
      </c>
      <c r="D155" s="141" t="s">
        <v>231</v>
      </c>
      <c r="E155" s="141" t="s">
        <v>231</v>
      </c>
      <c r="F155" s="141" t="s">
        <v>231</v>
      </c>
      <c r="G155" s="141" t="s">
        <v>231</v>
      </c>
      <c r="H155" s="141" t="s">
        <v>231</v>
      </c>
      <c r="I155" s="141" t="s">
        <v>231</v>
      </c>
      <c r="J155" s="141" t="s">
        <v>231</v>
      </c>
      <c r="K155" s="141" t="s">
        <v>231</v>
      </c>
      <c r="L155" s="141" t="s">
        <v>231</v>
      </c>
    </row>
    <row r="156" spans="1:12" ht="18" x14ac:dyDescent="0.3">
      <c r="A156" s="125">
        <f t="shared" si="5"/>
        <v>46377</v>
      </c>
      <c r="B156" s="140" t="str">
        <f t="shared" si="4"/>
        <v>Monday</v>
      </c>
      <c r="C156" s="141" t="s">
        <v>231</v>
      </c>
      <c r="D156" s="141" t="s">
        <v>231</v>
      </c>
      <c r="E156" s="141" t="s">
        <v>231</v>
      </c>
      <c r="F156" s="141" t="s">
        <v>231</v>
      </c>
      <c r="G156" s="141" t="s">
        <v>231</v>
      </c>
      <c r="H156" s="141" t="s">
        <v>231</v>
      </c>
      <c r="I156" s="141" t="s">
        <v>231</v>
      </c>
      <c r="J156" s="141" t="s">
        <v>231</v>
      </c>
      <c r="K156" s="141" t="s">
        <v>231</v>
      </c>
      <c r="L156" s="141" t="s">
        <v>231</v>
      </c>
    </row>
    <row r="157" spans="1:12" ht="18" x14ac:dyDescent="0.3">
      <c r="A157" s="125">
        <f t="shared" si="5"/>
        <v>46378</v>
      </c>
      <c r="B157" s="140" t="str">
        <f t="shared" si="4"/>
        <v>Tuesday</v>
      </c>
      <c r="C157" s="141" t="s">
        <v>231</v>
      </c>
      <c r="D157" s="141" t="s">
        <v>231</v>
      </c>
      <c r="E157" s="141" t="s">
        <v>231</v>
      </c>
      <c r="F157" s="141" t="s">
        <v>231</v>
      </c>
      <c r="G157" s="141" t="s">
        <v>231</v>
      </c>
      <c r="H157" s="141" t="s">
        <v>231</v>
      </c>
      <c r="I157" s="141" t="s">
        <v>231</v>
      </c>
      <c r="J157" s="141" t="s">
        <v>231</v>
      </c>
      <c r="K157" s="141" t="s">
        <v>231</v>
      </c>
      <c r="L157" s="141" t="s">
        <v>231</v>
      </c>
    </row>
    <row r="158" spans="1:12" ht="18" x14ac:dyDescent="0.3">
      <c r="A158" s="125">
        <f t="shared" si="5"/>
        <v>46379</v>
      </c>
      <c r="B158" s="140" t="str">
        <f t="shared" si="4"/>
        <v>Wednesday</v>
      </c>
      <c r="C158" s="141" t="s">
        <v>231</v>
      </c>
      <c r="D158" s="141" t="s">
        <v>231</v>
      </c>
      <c r="E158" s="141" t="s">
        <v>231</v>
      </c>
      <c r="F158" s="141" t="s">
        <v>231</v>
      </c>
      <c r="G158" s="141" t="s">
        <v>231</v>
      </c>
      <c r="H158" s="141" t="s">
        <v>231</v>
      </c>
      <c r="I158" s="141" t="s">
        <v>231</v>
      </c>
      <c r="J158" s="141" t="s">
        <v>231</v>
      </c>
      <c r="K158" s="141" t="s">
        <v>231</v>
      </c>
      <c r="L158" s="141" t="s">
        <v>231</v>
      </c>
    </row>
    <row r="159" spans="1:12" ht="18" x14ac:dyDescent="0.3">
      <c r="A159" s="125">
        <f t="shared" si="5"/>
        <v>46380</v>
      </c>
      <c r="B159" s="140" t="str">
        <f t="shared" si="4"/>
        <v>Thursday</v>
      </c>
      <c r="C159" s="141" t="s">
        <v>231</v>
      </c>
      <c r="D159" s="141" t="s">
        <v>231</v>
      </c>
      <c r="E159" s="141" t="s">
        <v>231</v>
      </c>
      <c r="F159" s="141" t="s">
        <v>231</v>
      </c>
      <c r="G159" s="141" t="s">
        <v>231</v>
      </c>
      <c r="H159" s="141" t="s">
        <v>231</v>
      </c>
      <c r="I159" s="141" t="s">
        <v>231</v>
      </c>
      <c r="J159" s="141" t="s">
        <v>231</v>
      </c>
      <c r="K159" s="141" t="s">
        <v>231</v>
      </c>
      <c r="L159" s="141" t="s">
        <v>231</v>
      </c>
    </row>
    <row r="160" spans="1:12" ht="18" x14ac:dyDescent="0.3">
      <c r="A160" s="125">
        <f t="shared" si="5"/>
        <v>46381</v>
      </c>
      <c r="B160" s="140" t="str">
        <f t="shared" si="4"/>
        <v>Friday</v>
      </c>
      <c r="C160" s="141" t="s">
        <v>231</v>
      </c>
      <c r="D160" s="141" t="s">
        <v>231</v>
      </c>
      <c r="E160" s="141" t="s">
        <v>231</v>
      </c>
      <c r="F160" s="141" t="s">
        <v>231</v>
      </c>
      <c r="G160" s="141" t="s">
        <v>231</v>
      </c>
      <c r="H160" s="141" t="s">
        <v>231</v>
      </c>
      <c r="I160" s="141" t="s">
        <v>231</v>
      </c>
      <c r="J160" s="141" t="s">
        <v>231</v>
      </c>
      <c r="K160" s="141" t="s">
        <v>231</v>
      </c>
      <c r="L160" s="141" t="s">
        <v>231</v>
      </c>
    </row>
    <row r="161" spans="1:12" ht="18" x14ac:dyDescent="0.3">
      <c r="A161" s="125">
        <f t="shared" si="5"/>
        <v>46382</v>
      </c>
      <c r="B161" s="140" t="str">
        <f t="shared" si="4"/>
        <v>Saturday</v>
      </c>
      <c r="C161" s="141" t="s">
        <v>231</v>
      </c>
      <c r="D161" s="141" t="s">
        <v>231</v>
      </c>
      <c r="E161" s="141" t="s">
        <v>231</v>
      </c>
      <c r="F161" s="141" t="s">
        <v>231</v>
      </c>
      <c r="G161" s="141" t="s">
        <v>231</v>
      </c>
      <c r="H161" s="141" t="s">
        <v>231</v>
      </c>
      <c r="I161" s="141" t="s">
        <v>231</v>
      </c>
      <c r="J161" s="141" t="s">
        <v>231</v>
      </c>
      <c r="K161" s="141" t="s">
        <v>231</v>
      </c>
      <c r="L161" s="141" t="s">
        <v>231</v>
      </c>
    </row>
    <row r="162" spans="1:12" ht="18" x14ac:dyDescent="0.3">
      <c r="A162" s="125">
        <f t="shared" si="5"/>
        <v>46383</v>
      </c>
      <c r="B162" s="140" t="str">
        <f t="shared" si="4"/>
        <v>Sunday</v>
      </c>
      <c r="C162" s="141" t="s">
        <v>231</v>
      </c>
      <c r="D162" s="141" t="s">
        <v>231</v>
      </c>
      <c r="E162" s="141" t="s">
        <v>231</v>
      </c>
      <c r="F162" s="141" t="s">
        <v>231</v>
      </c>
      <c r="G162" s="141" t="s">
        <v>231</v>
      </c>
      <c r="H162" s="141" t="s">
        <v>231</v>
      </c>
      <c r="I162" s="141" t="s">
        <v>231</v>
      </c>
      <c r="J162" s="141" t="s">
        <v>231</v>
      </c>
      <c r="K162" s="141" t="s">
        <v>231</v>
      </c>
      <c r="L162" s="141" t="s">
        <v>231</v>
      </c>
    </row>
    <row r="163" spans="1:12" ht="18" x14ac:dyDescent="0.3">
      <c r="A163" s="125">
        <f t="shared" si="5"/>
        <v>46384</v>
      </c>
      <c r="B163" s="140" t="str">
        <f t="shared" si="4"/>
        <v>Monday</v>
      </c>
      <c r="C163" s="141" t="s">
        <v>231</v>
      </c>
      <c r="D163" s="141" t="s">
        <v>231</v>
      </c>
      <c r="E163" s="141" t="s">
        <v>231</v>
      </c>
      <c r="F163" s="141" t="s">
        <v>231</v>
      </c>
      <c r="G163" s="141" t="s">
        <v>231</v>
      </c>
      <c r="H163" s="141" t="s">
        <v>231</v>
      </c>
      <c r="I163" s="141" t="s">
        <v>231</v>
      </c>
      <c r="J163" s="141" t="s">
        <v>231</v>
      </c>
      <c r="K163" s="141" t="s">
        <v>231</v>
      </c>
      <c r="L163" s="141" t="s">
        <v>231</v>
      </c>
    </row>
    <row r="164" spans="1:12" ht="18" x14ac:dyDescent="0.3">
      <c r="A164" s="125">
        <f t="shared" si="5"/>
        <v>46385</v>
      </c>
      <c r="B164" s="140" t="str">
        <f t="shared" si="4"/>
        <v>Tuesday</v>
      </c>
      <c r="C164" s="141" t="s">
        <v>231</v>
      </c>
      <c r="D164" s="141" t="s">
        <v>231</v>
      </c>
      <c r="E164" s="141" t="s">
        <v>231</v>
      </c>
      <c r="F164" s="141" t="s">
        <v>231</v>
      </c>
      <c r="G164" s="141" t="s">
        <v>231</v>
      </c>
      <c r="H164" s="141" t="s">
        <v>231</v>
      </c>
      <c r="I164" s="141" t="s">
        <v>231</v>
      </c>
      <c r="J164" s="141" t="s">
        <v>231</v>
      </c>
      <c r="K164" s="141" t="s">
        <v>231</v>
      </c>
      <c r="L164" s="141" t="s">
        <v>231</v>
      </c>
    </row>
    <row r="165" spans="1:12" ht="18" x14ac:dyDescent="0.3">
      <c r="A165" s="125">
        <f t="shared" si="5"/>
        <v>46386</v>
      </c>
      <c r="B165" s="140" t="str">
        <f t="shared" si="4"/>
        <v>Wednesday</v>
      </c>
      <c r="C165" s="141" t="s">
        <v>231</v>
      </c>
      <c r="D165" s="141" t="s">
        <v>231</v>
      </c>
      <c r="E165" s="141" t="s">
        <v>231</v>
      </c>
      <c r="F165" s="141" t="s">
        <v>231</v>
      </c>
      <c r="G165" s="141" t="s">
        <v>231</v>
      </c>
      <c r="H165" s="141" t="s">
        <v>231</v>
      </c>
      <c r="I165" s="141" t="s">
        <v>231</v>
      </c>
      <c r="J165" s="141" t="s">
        <v>231</v>
      </c>
      <c r="K165" s="141" t="s">
        <v>231</v>
      </c>
      <c r="L165" s="141" t="s">
        <v>231</v>
      </c>
    </row>
    <row r="166" spans="1:12" ht="18" x14ac:dyDescent="0.3">
      <c r="A166" s="125">
        <f t="shared" si="5"/>
        <v>46387</v>
      </c>
      <c r="B166" s="140" t="str">
        <f t="shared" si="4"/>
        <v>Thursday</v>
      </c>
      <c r="C166" s="141" t="s">
        <v>231</v>
      </c>
      <c r="D166" s="141" t="s">
        <v>231</v>
      </c>
      <c r="E166" s="141" t="s">
        <v>231</v>
      </c>
      <c r="F166" s="141" t="s">
        <v>231</v>
      </c>
      <c r="G166" s="141" t="s">
        <v>231</v>
      </c>
      <c r="H166" s="141" t="s">
        <v>231</v>
      </c>
      <c r="I166" s="141" t="s">
        <v>231</v>
      </c>
      <c r="J166" s="141" t="s">
        <v>231</v>
      </c>
      <c r="K166" s="141" t="s">
        <v>231</v>
      </c>
      <c r="L166" s="141" t="s">
        <v>231</v>
      </c>
    </row>
    <row r="167" spans="1:12" ht="18" x14ac:dyDescent="0.3">
      <c r="A167" s="125">
        <f t="shared" si="5"/>
        <v>46388</v>
      </c>
      <c r="B167" s="140" t="str">
        <f t="shared" si="4"/>
        <v>Friday</v>
      </c>
      <c r="C167" s="141" t="s">
        <v>231</v>
      </c>
      <c r="D167" s="141" t="s">
        <v>231</v>
      </c>
      <c r="E167" s="141" t="s">
        <v>231</v>
      </c>
      <c r="F167" s="141" t="s">
        <v>231</v>
      </c>
      <c r="G167" s="141" t="s">
        <v>231</v>
      </c>
      <c r="H167" s="141" t="s">
        <v>231</v>
      </c>
      <c r="I167" s="141" t="s">
        <v>231</v>
      </c>
      <c r="J167" s="141" t="s">
        <v>231</v>
      </c>
      <c r="K167" s="141" t="s">
        <v>231</v>
      </c>
      <c r="L167" s="141" t="s">
        <v>231</v>
      </c>
    </row>
    <row r="168" spans="1:12" ht="18" x14ac:dyDescent="0.3">
      <c r="A168" s="125">
        <f t="shared" si="5"/>
        <v>46389</v>
      </c>
      <c r="B168" s="140" t="str">
        <f t="shared" si="4"/>
        <v>Saturday</v>
      </c>
      <c r="C168" s="141" t="s">
        <v>231</v>
      </c>
      <c r="D168" s="141" t="s">
        <v>231</v>
      </c>
      <c r="E168" s="141" t="s">
        <v>231</v>
      </c>
      <c r="F168" s="141" t="s">
        <v>231</v>
      </c>
      <c r="G168" s="141" t="s">
        <v>231</v>
      </c>
      <c r="H168" s="141" t="s">
        <v>231</v>
      </c>
      <c r="I168" s="141" t="s">
        <v>231</v>
      </c>
      <c r="J168" s="141" t="s">
        <v>231</v>
      </c>
      <c r="K168" s="141" t="s">
        <v>231</v>
      </c>
      <c r="L168" s="141" t="s">
        <v>231</v>
      </c>
    </row>
    <row r="169" spans="1:12" ht="18" x14ac:dyDescent="0.3">
      <c r="A169" s="125">
        <f t="shared" si="5"/>
        <v>46390</v>
      </c>
      <c r="B169" s="140" t="str">
        <f t="shared" si="4"/>
        <v>Sunday</v>
      </c>
      <c r="C169" s="141" t="s">
        <v>231</v>
      </c>
      <c r="D169" s="141" t="s">
        <v>231</v>
      </c>
      <c r="E169" s="141" t="s">
        <v>231</v>
      </c>
      <c r="F169" s="141" t="s">
        <v>231</v>
      </c>
      <c r="G169" s="141" t="s">
        <v>231</v>
      </c>
      <c r="H169" s="141" t="s">
        <v>231</v>
      </c>
      <c r="I169" s="141" t="s">
        <v>231</v>
      </c>
      <c r="J169" s="141" t="s">
        <v>231</v>
      </c>
      <c r="K169" s="141" t="s">
        <v>231</v>
      </c>
      <c r="L169" s="141" t="s">
        <v>231</v>
      </c>
    </row>
    <row r="170" spans="1:12" ht="18" x14ac:dyDescent="0.3">
      <c r="A170" s="125">
        <f t="shared" si="5"/>
        <v>46391</v>
      </c>
      <c r="B170" s="140" t="str">
        <f t="shared" si="4"/>
        <v>Monday</v>
      </c>
      <c r="C170" s="141" t="s">
        <v>231</v>
      </c>
      <c r="D170" s="141" t="s">
        <v>231</v>
      </c>
      <c r="E170" s="141" t="s">
        <v>231</v>
      </c>
      <c r="F170" s="141" t="s">
        <v>231</v>
      </c>
      <c r="G170" s="141" t="s">
        <v>231</v>
      </c>
      <c r="H170" s="141" t="s">
        <v>231</v>
      </c>
      <c r="I170" s="141" t="s">
        <v>231</v>
      </c>
      <c r="J170" s="141" t="s">
        <v>231</v>
      </c>
      <c r="K170" s="141" t="s">
        <v>231</v>
      </c>
      <c r="L170" s="141" t="s">
        <v>231</v>
      </c>
    </row>
    <row r="171" spans="1:12" ht="18" x14ac:dyDescent="0.3">
      <c r="A171" s="125">
        <f t="shared" si="5"/>
        <v>46392</v>
      </c>
      <c r="B171" s="140" t="str">
        <f t="shared" si="4"/>
        <v>Tuesday</v>
      </c>
      <c r="C171" s="141" t="s">
        <v>231</v>
      </c>
      <c r="D171" s="141" t="s">
        <v>231</v>
      </c>
      <c r="E171" s="141" t="s">
        <v>231</v>
      </c>
      <c r="F171" s="141" t="s">
        <v>231</v>
      </c>
      <c r="G171" s="141" t="s">
        <v>231</v>
      </c>
      <c r="H171" s="141" t="s">
        <v>231</v>
      </c>
      <c r="I171" s="141" t="s">
        <v>231</v>
      </c>
      <c r="J171" s="141" t="s">
        <v>231</v>
      </c>
      <c r="K171" s="141" t="s">
        <v>231</v>
      </c>
      <c r="L171" s="141" t="s">
        <v>231</v>
      </c>
    </row>
    <row r="172" spans="1:12" ht="18" x14ac:dyDescent="0.3">
      <c r="A172" s="125">
        <f t="shared" si="5"/>
        <v>46393</v>
      </c>
      <c r="B172" s="140" t="str">
        <f t="shared" si="4"/>
        <v>Wednesday</v>
      </c>
      <c r="C172" s="141" t="s">
        <v>231</v>
      </c>
      <c r="D172" s="141" t="s">
        <v>231</v>
      </c>
      <c r="E172" s="141" t="s">
        <v>231</v>
      </c>
      <c r="F172" s="141" t="s">
        <v>231</v>
      </c>
      <c r="G172" s="141" t="s">
        <v>231</v>
      </c>
      <c r="H172" s="141" t="s">
        <v>231</v>
      </c>
      <c r="I172" s="141" t="s">
        <v>231</v>
      </c>
      <c r="J172" s="141" t="s">
        <v>231</v>
      </c>
      <c r="K172" s="141" t="s">
        <v>231</v>
      </c>
      <c r="L172" s="141" t="s">
        <v>231</v>
      </c>
    </row>
    <row r="173" spans="1:12" ht="18" x14ac:dyDescent="0.3">
      <c r="A173" s="125">
        <f t="shared" si="5"/>
        <v>46394</v>
      </c>
      <c r="B173" s="140" t="str">
        <f t="shared" si="4"/>
        <v>Thursday</v>
      </c>
      <c r="C173" s="141" t="s">
        <v>231</v>
      </c>
      <c r="D173" s="141" t="s">
        <v>231</v>
      </c>
      <c r="E173" s="141" t="s">
        <v>231</v>
      </c>
      <c r="F173" s="141" t="s">
        <v>231</v>
      </c>
      <c r="G173" s="141" t="s">
        <v>231</v>
      </c>
      <c r="H173" s="141" t="s">
        <v>231</v>
      </c>
      <c r="I173" s="141" t="s">
        <v>231</v>
      </c>
      <c r="J173" s="141" t="s">
        <v>231</v>
      </c>
      <c r="K173" s="141" t="s">
        <v>231</v>
      </c>
      <c r="L173" s="141" t="s">
        <v>231</v>
      </c>
    </row>
    <row r="174" spans="1:12" ht="18" x14ac:dyDescent="0.3">
      <c r="A174" s="125">
        <f t="shared" si="5"/>
        <v>46395</v>
      </c>
      <c r="B174" s="140" t="str">
        <f t="shared" si="4"/>
        <v>Friday</v>
      </c>
      <c r="C174" s="141" t="s">
        <v>231</v>
      </c>
      <c r="D174" s="141" t="s">
        <v>231</v>
      </c>
      <c r="E174" s="141" t="s">
        <v>231</v>
      </c>
      <c r="F174" s="141" t="s">
        <v>231</v>
      </c>
      <c r="G174" s="141" t="s">
        <v>231</v>
      </c>
      <c r="H174" s="141" t="s">
        <v>231</v>
      </c>
      <c r="I174" s="141" t="s">
        <v>231</v>
      </c>
      <c r="J174" s="141" t="s">
        <v>231</v>
      </c>
      <c r="K174" s="141" t="s">
        <v>231</v>
      </c>
      <c r="L174" s="141" t="s">
        <v>231</v>
      </c>
    </row>
    <row r="175" spans="1:12" ht="18" x14ac:dyDescent="0.3">
      <c r="A175" s="125">
        <f t="shared" si="5"/>
        <v>46396</v>
      </c>
      <c r="B175" s="140" t="str">
        <f t="shared" si="4"/>
        <v>Saturday</v>
      </c>
      <c r="C175" s="141" t="s">
        <v>231</v>
      </c>
      <c r="D175" s="141" t="s">
        <v>231</v>
      </c>
      <c r="E175" s="141" t="s">
        <v>231</v>
      </c>
      <c r="F175" s="141" t="s">
        <v>231</v>
      </c>
      <c r="G175" s="141" t="s">
        <v>231</v>
      </c>
      <c r="H175" s="141" t="s">
        <v>231</v>
      </c>
      <c r="I175" s="141" t="s">
        <v>231</v>
      </c>
      <c r="J175" s="141" t="s">
        <v>231</v>
      </c>
      <c r="K175" s="141" t="s">
        <v>231</v>
      </c>
      <c r="L175" s="141" t="s">
        <v>231</v>
      </c>
    </row>
    <row r="176" spans="1:12" ht="18" x14ac:dyDescent="0.3">
      <c r="A176" s="125">
        <f t="shared" si="5"/>
        <v>46397</v>
      </c>
      <c r="B176" s="140" t="str">
        <f t="shared" si="4"/>
        <v>Sunday</v>
      </c>
      <c r="C176" s="141" t="s">
        <v>231</v>
      </c>
      <c r="D176" s="141" t="s">
        <v>231</v>
      </c>
      <c r="E176" s="141" t="s">
        <v>231</v>
      </c>
      <c r="F176" s="141" t="s">
        <v>231</v>
      </c>
      <c r="G176" s="141" t="s">
        <v>231</v>
      </c>
      <c r="H176" s="141" t="s">
        <v>231</v>
      </c>
      <c r="I176" s="141" t="s">
        <v>231</v>
      </c>
      <c r="J176" s="141" t="s">
        <v>231</v>
      </c>
      <c r="K176" s="141" t="s">
        <v>231</v>
      </c>
      <c r="L176" s="141" t="s">
        <v>231</v>
      </c>
    </row>
    <row r="177" spans="1:12" ht="18" x14ac:dyDescent="0.3">
      <c r="A177" s="125">
        <f t="shared" si="5"/>
        <v>46398</v>
      </c>
      <c r="B177" s="140" t="str">
        <f t="shared" si="4"/>
        <v>Monday</v>
      </c>
      <c r="C177" s="141" t="s">
        <v>231</v>
      </c>
      <c r="D177" s="141" t="s">
        <v>231</v>
      </c>
      <c r="E177" s="141" t="s">
        <v>231</v>
      </c>
      <c r="F177" s="141" t="s">
        <v>231</v>
      </c>
      <c r="G177" s="141" t="s">
        <v>231</v>
      </c>
      <c r="H177" s="141" t="s">
        <v>231</v>
      </c>
      <c r="I177" s="141" t="s">
        <v>231</v>
      </c>
      <c r="J177" s="141" t="s">
        <v>231</v>
      </c>
      <c r="K177" s="141" t="s">
        <v>231</v>
      </c>
      <c r="L177" s="141" t="s">
        <v>231</v>
      </c>
    </row>
    <row r="178" spans="1:12" ht="18" x14ac:dyDescent="0.3">
      <c r="A178" s="125">
        <f t="shared" si="5"/>
        <v>46399</v>
      </c>
      <c r="B178" s="140" t="str">
        <f t="shared" si="4"/>
        <v>Tuesday</v>
      </c>
      <c r="C178" s="141" t="s">
        <v>231</v>
      </c>
      <c r="D178" s="141" t="s">
        <v>231</v>
      </c>
      <c r="E178" s="141" t="s">
        <v>231</v>
      </c>
      <c r="F178" s="141" t="s">
        <v>231</v>
      </c>
      <c r="G178" s="141" t="s">
        <v>231</v>
      </c>
      <c r="H178" s="141" t="s">
        <v>231</v>
      </c>
      <c r="I178" s="141" t="s">
        <v>231</v>
      </c>
      <c r="J178" s="141" t="s">
        <v>231</v>
      </c>
      <c r="K178" s="141" t="s">
        <v>231</v>
      </c>
      <c r="L178" s="141" t="s">
        <v>231</v>
      </c>
    </row>
    <row r="179" spans="1:12" ht="18" x14ac:dyDescent="0.3">
      <c r="A179" s="125">
        <f t="shared" si="5"/>
        <v>46400</v>
      </c>
      <c r="B179" s="140" t="str">
        <f t="shared" si="4"/>
        <v>Wednesday</v>
      </c>
      <c r="C179" s="141" t="s">
        <v>231</v>
      </c>
      <c r="D179" s="141" t="s">
        <v>231</v>
      </c>
      <c r="E179" s="141" t="s">
        <v>231</v>
      </c>
      <c r="F179" s="141" t="s">
        <v>231</v>
      </c>
      <c r="G179" s="141" t="s">
        <v>231</v>
      </c>
      <c r="H179" s="141" t="s">
        <v>231</v>
      </c>
      <c r="I179" s="141" t="s">
        <v>231</v>
      </c>
      <c r="J179" s="141" t="s">
        <v>231</v>
      </c>
      <c r="K179" s="141" t="s">
        <v>231</v>
      </c>
      <c r="L179" s="141" t="s">
        <v>231</v>
      </c>
    </row>
    <row r="180" spans="1:12" ht="18" x14ac:dyDescent="0.3">
      <c r="A180" s="125">
        <f t="shared" si="5"/>
        <v>46401</v>
      </c>
      <c r="B180" s="140" t="str">
        <f t="shared" si="4"/>
        <v>Thursday</v>
      </c>
      <c r="C180" s="141" t="s">
        <v>231</v>
      </c>
      <c r="D180" s="141" t="s">
        <v>231</v>
      </c>
      <c r="E180" s="141" t="s">
        <v>231</v>
      </c>
      <c r="F180" s="141" t="s">
        <v>231</v>
      </c>
      <c r="G180" s="141" t="s">
        <v>231</v>
      </c>
      <c r="H180" s="141" t="s">
        <v>231</v>
      </c>
      <c r="I180" s="141" t="s">
        <v>231</v>
      </c>
      <c r="J180" s="141" t="s">
        <v>231</v>
      </c>
      <c r="K180" s="141" t="s">
        <v>231</v>
      </c>
      <c r="L180" s="141" t="s">
        <v>231</v>
      </c>
    </row>
    <row r="181" spans="1:12" ht="18" x14ac:dyDescent="0.3">
      <c r="A181" s="125">
        <f t="shared" si="5"/>
        <v>46402</v>
      </c>
      <c r="B181" s="140" t="str">
        <f t="shared" si="4"/>
        <v>Friday</v>
      </c>
      <c r="C181" s="141" t="s">
        <v>231</v>
      </c>
      <c r="D181" s="141" t="s">
        <v>231</v>
      </c>
      <c r="E181" s="141" t="s">
        <v>231</v>
      </c>
      <c r="F181" s="141" t="s">
        <v>231</v>
      </c>
      <c r="G181" s="141" t="s">
        <v>231</v>
      </c>
      <c r="H181" s="141" t="s">
        <v>231</v>
      </c>
      <c r="I181" s="141" t="s">
        <v>231</v>
      </c>
      <c r="J181" s="141" t="s">
        <v>231</v>
      </c>
      <c r="K181" s="141" t="s">
        <v>231</v>
      </c>
      <c r="L181" s="141" t="s">
        <v>231</v>
      </c>
    </row>
    <row r="182" spans="1:12" ht="18" x14ac:dyDescent="0.3">
      <c r="A182" s="125">
        <f t="shared" si="5"/>
        <v>46403</v>
      </c>
      <c r="B182" s="140" t="str">
        <f t="shared" si="4"/>
        <v>Saturday</v>
      </c>
      <c r="C182" s="141" t="s">
        <v>231</v>
      </c>
      <c r="D182" s="141" t="s">
        <v>231</v>
      </c>
      <c r="E182" s="141" t="s">
        <v>231</v>
      </c>
      <c r="F182" s="141" t="s">
        <v>231</v>
      </c>
      <c r="G182" s="141" t="s">
        <v>231</v>
      </c>
      <c r="H182" s="141" t="s">
        <v>231</v>
      </c>
      <c r="I182" s="141" t="s">
        <v>231</v>
      </c>
      <c r="J182" s="141" t="s">
        <v>231</v>
      </c>
      <c r="K182" s="141" t="s">
        <v>231</v>
      </c>
      <c r="L182" s="141" t="s">
        <v>231</v>
      </c>
    </row>
    <row r="183" spans="1:12" ht="18" x14ac:dyDescent="0.3">
      <c r="A183" s="125">
        <f t="shared" si="5"/>
        <v>46404</v>
      </c>
      <c r="B183" s="140" t="str">
        <f t="shared" si="4"/>
        <v>Sunday</v>
      </c>
      <c r="C183" s="141" t="s">
        <v>231</v>
      </c>
      <c r="D183" s="141" t="s">
        <v>231</v>
      </c>
      <c r="E183" s="141" t="s">
        <v>231</v>
      </c>
      <c r="F183" s="141" t="s">
        <v>231</v>
      </c>
      <c r="G183" s="141" t="s">
        <v>231</v>
      </c>
      <c r="H183" s="141" t="s">
        <v>231</v>
      </c>
      <c r="I183" s="141" t="s">
        <v>231</v>
      </c>
      <c r="J183" s="141" t="s">
        <v>231</v>
      </c>
      <c r="K183" s="141" t="s">
        <v>231</v>
      </c>
      <c r="L183" s="141" t="s">
        <v>231</v>
      </c>
    </row>
    <row r="184" spans="1:12" ht="18" x14ac:dyDescent="0.3">
      <c r="A184" s="125">
        <f t="shared" si="5"/>
        <v>46405</v>
      </c>
      <c r="B184" s="140" t="str">
        <f t="shared" si="4"/>
        <v>Monday</v>
      </c>
      <c r="C184" s="141" t="s">
        <v>231</v>
      </c>
      <c r="D184" s="141" t="s">
        <v>231</v>
      </c>
      <c r="E184" s="141" t="s">
        <v>231</v>
      </c>
      <c r="F184" s="141" t="s">
        <v>231</v>
      </c>
      <c r="G184" s="141" t="s">
        <v>231</v>
      </c>
      <c r="H184" s="141" t="s">
        <v>231</v>
      </c>
      <c r="I184" s="141" t="s">
        <v>231</v>
      </c>
      <c r="J184" s="141" t="s">
        <v>231</v>
      </c>
      <c r="K184" s="141" t="s">
        <v>231</v>
      </c>
      <c r="L184" s="141" t="s">
        <v>231</v>
      </c>
    </row>
    <row r="185" spans="1:12" ht="18" x14ac:dyDescent="0.3">
      <c r="A185" s="125">
        <f t="shared" si="5"/>
        <v>46406</v>
      </c>
      <c r="B185" s="140" t="str">
        <f t="shared" si="4"/>
        <v>Tuesday</v>
      </c>
      <c r="C185" s="141" t="s">
        <v>231</v>
      </c>
      <c r="D185" s="141" t="s">
        <v>231</v>
      </c>
      <c r="E185" s="141" t="s">
        <v>231</v>
      </c>
      <c r="F185" s="141" t="s">
        <v>231</v>
      </c>
      <c r="G185" s="141" t="s">
        <v>231</v>
      </c>
      <c r="H185" s="141" t="s">
        <v>231</v>
      </c>
      <c r="I185" s="141" t="s">
        <v>231</v>
      </c>
      <c r="J185" s="141" t="s">
        <v>231</v>
      </c>
      <c r="K185" s="141" t="s">
        <v>231</v>
      </c>
      <c r="L185" s="141" t="s">
        <v>231</v>
      </c>
    </row>
    <row r="186" spans="1:12" ht="18" x14ac:dyDescent="0.3">
      <c r="A186" s="125">
        <f t="shared" si="5"/>
        <v>46407</v>
      </c>
      <c r="B186" s="140" t="str">
        <f t="shared" si="4"/>
        <v>Wednesday</v>
      </c>
      <c r="C186" s="141" t="s">
        <v>231</v>
      </c>
      <c r="D186" s="141" t="s">
        <v>231</v>
      </c>
      <c r="E186" s="141" t="s">
        <v>231</v>
      </c>
      <c r="F186" s="141" t="s">
        <v>231</v>
      </c>
      <c r="G186" s="141" t="s">
        <v>231</v>
      </c>
      <c r="H186" s="141" t="s">
        <v>231</v>
      </c>
      <c r="I186" s="141" t="s">
        <v>231</v>
      </c>
      <c r="J186" s="141" t="s">
        <v>231</v>
      </c>
      <c r="K186" s="141" t="s">
        <v>231</v>
      </c>
      <c r="L186" s="141" t="s">
        <v>231</v>
      </c>
    </row>
    <row r="187" spans="1:12" ht="18" x14ac:dyDescent="0.3">
      <c r="A187" s="125">
        <f t="shared" si="5"/>
        <v>46408</v>
      </c>
      <c r="B187" s="140" t="str">
        <f t="shared" si="4"/>
        <v>Thursday</v>
      </c>
      <c r="C187" s="141" t="s">
        <v>231</v>
      </c>
      <c r="D187" s="141" t="s">
        <v>231</v>
      </c>
      <c r="E187" s="141" t="s">
        <v>231</v>
      </c>
      <c r="F187" s="141" t="s">
        <v>231</v>
      </c>
      <c r="G187" s="141" t="s">
        <v>231</v>
      </c>
      <c r="H187" s="141" t="s">
        <v>231</v>
      </c>
      <c r="I187" s="141" t="s">
        <v>231</v>
      </c>
      <c r="J187" s="141" t="s">
        <v>231</v>
      </c>
      <c r="K187" s="141" t="s">
        <v>231</v>
      </c>
      <c r="L187" s="141" t="s">
        <v>231</v>
      </c>
    </row>
    <row r="188" spans="1:12" ht="18" x14ac:dyDescent="0.3">
      <c r="A188" s="125">
        <f t="shared" si="5"/>
        <v>46409</v>
      </c>
      <c r="B188" s="140" t="str">
        <f t="shared" si="4"/>
        <v>Friday</v>
      </c>
      <c r="C188" s="141" t="s">
        <v>231</v>
      </c>
      <c r="D188" s="141" t="s">
        <v>231</v>
      </c>
      <c r="E188" s="141" t="s">
        <v>231</v>
      </c>
      <c r="F188" s="141" t="s">
        <v>231</v>
      </c>
      <c r="G188" s="141" t="s">
        <v>231</v>
      </c>
      <c r="H188" s="141" t="s">
        <v>231</v>
      </c>
      <c r="I188" s="141" t="s">
        <v>231</v>
      </c>
      <c r="J188" s="141" t="s">
        <v>231</v>
      </c>
      <c r="K188" s="141" t="s">
        <v>231</v>
      </c>
      <c r="L188" s="141" t="s">
        <v>231</v>
      </c>
    </row>
    <row r="189" spans="1:12" ht="18" x14ac:dyDescent="0.3">
      <c r="A189" s="125">
        <f t="shared" si="5"/>
        <v>46410</v>
      </c>
      <c r="B189" s="140" t="str">
        <f t="shared" si="4"/>
        <v>Saturday</v>
      </c>
      <c r="C189" s="141" t="s">
        <v>231</v>
      </c>
      <c r="D189" s="141" t="s">
        <v>231</v>
      </c>
      <c r="E189" s="141" t="s">
        <v>231</v>
      </c>
      <c r="F189" s="141" t="s">
        <v>231</v>
      </c>
      <c r="G189" s="141" t="s">
        <v>231</v>
      </c>
      <c r="H189" s="141" t="s">
        <v>231</v>
      </c>
      <c r="I189" s="141" t="s">
        <v>231</v>
      </c>
      <c r="J189" s="141" t="s">
        <v>231</v>
      </c>
      <c r="K189" s="141" t="s">
        <v>231</v>
      </c>
      <c r="L189" s="141" t="s">
        <v>231</v>
      </c>
    </row>
    <row r="190" spans="1:12" ht="18" x14ac:dyDescent="0.3">
      <c r="A190" s="125">
        <f t="shared" si="5"/>
        <v>46411</v>
      </c>
      <c r="B190" s="140" t="str">
        <f t="shared" si="4"/>
        <v>Sunday</v>
      </c>
      <c r="C190" s="141" t="s">
        <v>231</v>
      </c>
      <c r="D190" s="141" t="s">
        <v>231</v>
      </c>
      <c r="E190" s="141" t="s">
        <v>231</v>
      </c>
      <c r="F190" s="141" t="s">
        <v>231</v>
      </c>
      <c r="G190" s="141" t="s">
        <v>231</v>
      </c>
      <c r="H190" s="141" t="s">
        <v>231</v>
      </c>
      <c r="I190" s="141" t="s">
        <v>231</v>
      </c>
      <c r="J190" s="141" t="s">
        <v>231</v>
      </c>
      <c r="K190" s="141" t="s">
        <v>231</v>
      </c>
      <c r="L190" s="141" t="s">
        <v>231</v>
      </c>
    </row>
    <row r="191" spans="1:12" ht="18" x14ac:dyDescent="0.3">
      <c r="A191" s="125">
        <f t="shared" si="5"/>
        <v>46412</v>
      </c>
      <c r="B191" s="140" t="str">
        <f t="shared" si="4"/>
        <v>Monday</v>
      </c>
      <c r="C191" s="141" t="s">
        <v>231</v>
      </c>
      <c r="D191" s="141" t="s">
        <v>231</v>
      </c>
      <c r="E191" s="141" t="s">
        <v>231</v>
      </c>
      <c r="F191" s="141" t="s">
        <v>231</v>
      </c>
      <c r="G191" s="141" t="s">
        <v>231</v>
      </c>
      <c r="H191" s="141" t="s">
        <v>231</v>
      </c>
      <c r="I191" s="141" t="s">
        <v>231</v>
      </c>
      <c r="J191" s="141" t="s">
        <v>231</v>
      </c>
      <c r="K191" s="141" t="s">
        <v>231</v>
      </c>
      <c r="L191" s="141" t="s">
        <v>231</v>
      </c>
    </row>
    <row r="192" spans="1:12" ht="18" x14ac:dyDescent="0.3">
      <c r="A192" s="125">
        <f t="shared" si="5"/>
        <v>46413</v>
      </c>
      <c r="B192" s="140" t="str">
        <f t="shared" si="4"/>
        <v>Tuesday</v>
      </c>
      <c r="C192" s="141" t="s">
        <v>231</v>
      </c>
      <c r="D192" s="141" t="s">
        <v>231</v>
      </c>
      <c r="E192" s="141" t="s">
        <v>231</v>
      </c>
      <c r="F192" s="141" t="s">
        <v>231</v>
      </c>
      <c r="G192" s="141" t="s">
        <v>231</v>
      </c>
      <c r="H192" s="141" t="s">
        <v>231</v>
      </c>
      <c r="I192" s="141" t="s">
        <v>231</v>
      </c>
      <c r="J192" s="141" t="s">
        <v>231</v>
      </c>
      <c r="K192" s="141" t="s">
        <v>231</v>
      </c>
      <c r="L192" s="141" t="s">
        <v>231</v>
      </c>
    </row>
    <row r="193" spans="1:12" ht="18" x14ac:dyDescent="0.3">
      <c r="A193" s="125">
        <f t="shared" si="5"/>
        <v>46414</v>
      </c>
      <c r="B193" s="140" t="str">
        <f t="shared" si="4"/>
        <v>Wednesday</v>
      </c>
      <c r="C193" s="141" t="s">
        <v>231</v>
      </c>
      <c r="D193" s="141" t="s">
        <v>231</v>
      </c>
      <c r="E193" s="141" t="s">
        <v>231</v>
      </c>
      <c r="F193" s="141" t="s">
        <v>231</v>
      </c>
      <c r="G193" s="141" t="s">
        <v>231</v>
      </c>
      <c r="H193" s="141" t="s">
        <v>231</v>
      </c>
      <c r="I193" s="141" t="s">
        <v>231</v>
      </c>
      <c r="J193" s="141" t="s">
        <v>231</v>
      </c>
      <c r="K193" s="141" t="s">
        <v>231</v>
      </c>
      <c r="L193" s="141" t="s">
        <v>231</v>
      </c>
    </row>
    <row r="194" spans="1:12" ht="18" x14ac:dyDescent="0.3">
      <c r="A194" s="125">
        <f t="shared" si="5"/>
        <v>46415</v>
      </c>
      <c r="B194" s="140" t="str">
        <f t="shared" ref="B194:B257" si="6">CHOOSE(WEEKDAY(A194,2),"Monday","Tuesday","Wednesday","Thursday","Friday","Saturday","Sunday")</f>
        <v>Thursday</v>
      </c>
      <c r="C194" s="141" t="s">
        <v>231</v>
      </c>
      <c r="D194" s="141" t="s">
        <v>231</v>
      </c>
      <c r="E194" s="141" t="s">
        <v>231</v>
      </c>
      <c r="F194" s="141" t="s">
        <v>231</v>
      </c>
      <c r="G194" s="141" t="s">
        <v>231</v>
      </c>
      <c r="H194" s="141" t="s">
        <v>231</v>
      </c>
      <c r="I194" s="141" t="s">
        <v>231</v>
      </c>
      <c r="J194" s="141" t="s">
        <v>231</v>
      </c>
      <c r="K194" s="141" t="s">
        <v>231</v>
      </c>
      <c r="L194" s="141" t="s">
        <v>231</v>
      </c>
    </row>
    <row r="195" spans="1:12" ht="18" x14ac:dyDescent="0.3">
      <c r="A195" s="125">
        <f t="shared" si="5"/>
        <v>46416</v>
      </c>
      <c r="B195" s="140" t="str">
        <f t="shared" si="6"/>
        <v>Friday</v>
      </c>
      <c r="C195" s="141" t="s">
        <v>231</v>
      </c>
      <c r="D195" s="141" t="s">
        <v>231</v>
      </c>
      <c r="E195" s="141" t="s">
        <v>231</v>
      </c>
      <c r="F195" s="141" t="s">
        <v>231</v>
      </c>
      <c r="G195" s="141" t="s">
        <v>231</v>
      </c>
      <c r="H195" s="141" t="s">
        <v>231</v>
      </c>
      <c r="I195" s="141" t="s">
        <v>231</v>
      </c>
      <c r="J195" s="141" t="s">
        <v>231</v>
      </c>
      <c r="K195" s="141" t="s">
        <v>231</v>
      </c>
      <c r="L195" s="141" t="s">
        <v>231</v>
      </c>
    </row>
    <row r="196" spans="1:12" ht="18" x14ac:dyDescent="0.3">
      <c r="A196" s="125">
        <f t="shared" ref="A196:A259" si="7">A195+1</f>
        <v>46417</v>
      </c>
      <c r="B196" s="140" t="str">
        <f t="shared" si="6"/>
        <v>Saturday</v>
      </c>
      <c r="C196" s="141" t="s">
        <v>231</v>
      </c>
      <c r="D196" s="141" t="s">
        <v>231</v>
      </c>
      <c r="E196" s="141" t="s">
        <v>231</v>
      </c>
      <c r="F196" s="141" t="s">
        <v>231</v>
      </c>
      <c r="G196" s="141" t="s">
        <v>231</v>
      </c>
      <c r="H196" s="141" t="s">
        <v>231</v>
      </c>
      <c r="I196" s="141" t="s">
        <v>231</v>
      </c>
      <c r="J196" s="141" t="s">
        <v>231</v>
      </c>
      <c r="K196" s="141" t="s">
        <v>231</v>
      </c>
      <c r="L196" s="141" t="s">
        <v>231</v>
      </c>
    </row>
    <row r="197" spans="1:12" ht="18" x14ac:dyDescent="0.3">
      <c r="A197" s="125">
        <f t="shared" si="7"/>
        <v>46418</v>
      </c>
      <c r="B197" s="140" t="str">
        <f t="shared" si="6"/>
        <v>Sunday</v>
      </c>
      <c r="C197" s="141" t="s">
        <v>231</v>
      </c>
      <c r="D197" s="141" t="s">
        <v>231</v>
      </c>
      <c r="E197" s="141" t="s">
        <v>231</v>
      </c>
      <c r="F197" s="141" t="s">
        <v>231</v>
      </c>
      <c r="G197" s="141" t="s">
        <v>231</v>
      </c>
      <c r="H197" s="141" t="s">
        <v>231</v>
      </c>
      <c r="I197" s="141" t="s">
        <v>231</v>
      </c>
      <c r="J197" s="141" t="s">
        <v>231</v>
      </c>
      <c r="K197" s="141" t="s">
        <v>231</v>
      </c>
      <c r="L197" s="141" t="s">
        <v>231</v>
      </c>
    </row>
    <row r="198" spans="1:12" ht="18" x14ac:dyDescent="0.3">
      <c r="A198" s="125">
        <f t="shared" si="7"/>
        <v>46419</v>
      </c>
      <c r="B198" s="140" t="str">
        <f t="shared" si="6"/>
        <v>Monday</v>
      </c>
      <c r="C198" s="141" t="s">
        <v>231</v>
      </c>
      <c r="D198" s="141" t="s">
        <v>231</v>
      </c>
      <c r="E198" s="141" t="s">
        <v>231</v>
      </c>
      <c r="F198" s="141" t="s">
        <v>231</v>
      </c>
      <c r="G198" s="141" t="s">
        <v>231</v>
      </c>
      <c r="H198" s="141" t="s">
        <v>231</v>
      </c>
      <c r="I198" s="141" t="s">
        <v>231</v>
      </c>
      <c r="J198" s="141" t="s">
        <v>231</v>
      </c>
      <c r="K198" s="141" t="s">
        <v>231</v>
      </c>
      <c r="L198" s="141" t="s">
        <v>231</v>
      </c>
    </row>
    <row r="199" spans="1:12" ht="18" x14ac:dyDescent="0.3">
      <c r="A199" s="125">
        <f t="shared" si="7"/>
        <v>46420</v>
      </c>
      <c r="B199" s="140" t="str">
        <f t="shared" si="6"/>
        <v>Tuesday</v>
      </c>
      <c r="C199" s="141" t="s">
        <v>231</v>
      </c>
      <c r="D199" s="141" t="s">
        <v>231</v>
      </c>
      <c r="E199" s="141" t="s">
        <v>231</v>
      </c>
      <c r="F199" s="141" t="s">
        <v>231</v>
      </c>
      <c r="G199" s="141" t="s">
        <v>231</v>
      </c>
      <c r="H199" s="141" t="s">
        <v>231</v>
      </c>
      <c r="I199" s="141" t="s">
        <v>231</v>
      </c>
      <c r="J199" s="141" t="s">
        <v>231</v>
      </c>
      <c r="K199" s="141" t="s">
        <v>231</v>
      </c>
      <c r="L199" s="141" t="s">
        <v>231</v>
      </c>
    </row>
    <row r="200" spans="1:12" ht="18" x14ac:dyDescent="0.3">
      <c r="A200" s="125">
        <f t="shared" si="7"/>
        <v>46421</v>
      </c>
      <c r="B200" s="140" t="str">
        <f t="shared" si="6"/>
        <v>Wednesday</v>
      </c>
      <c r="C200" s="141" t="s">
        <v>231</v>
      </c>
      <c r="D200" s="141" t="s">
        <v>231</v>
      </c>
      <c r="E200" s="141" t="s">
        <v>231</v>
      </c>
      <c r="F200" s="141" t="s">
        <v>231</v>
      </c>
      <c r="G200" s="141" t="s">
        <v>231</v>
      </c>
      <c r="H200" s="141" t="s">
        <v>231</v>
      </c>
      <c r="I200" s="141" t="s">
        <v>231</v>
      </c>
      <c r="J200" s="141" t="s">
        <v>231</v>
      </c>
      <c r="K200" s="141" t="s">
        <v>231</v>
      </c>
      <c r="L200" s="141" t="s">
        <v>231</v>
      </c>
    </row>
    <row r="201" spans="1:12" ht="18" x14ac:dyDescent="0.3">
      <c r="A201" s="125">
        <f t="shared" si="7"/>
        <v>46422</v>
      </c>
      <c r="B201" s="140" t="str">
        <f t="shared" si="6"/>
        <v>Thursday</v>
      </c>
      <c r="C201" s="141" t="s">
        <v>231</v>
      </c>
      <c r="D201" s="141" t="s">
        <v>231</v>
      </c>
      <c r="E201" s="141" t="s">
        <v>231</v>
      </c>
      <c r="F201" s="141" t="s">
        <v>231</v>
      </c>
      <c r="G201" s="141" t="s">
        <v>231</v>
      </c>
      <c r="H201" s="141" t="s">
        <v>231</v>
      </c>
      <c r="I201" s="141" t="s">
        <v>231</v>
      </c>
      <c r="J201" s="141" t="s">
        <v>231</v>
      </c>
      <c r="K201" s="141" t="s">
        <v>231</v>
      </c>
      <c r="L201" s="141" t="s">
        <v>231</v>
      </c>
    </row>
    <row r="202" spans="1:12" ht="18" x14ac:dyDescent="0.3">
      <c r="A202" s="125">
        <f t="shared" si="7"/>
        <v>46423</v>
      </c>
      <c r="B202" s="140" t="str">
        <f t="shared" si="6"/>
        <v>Friday</v>
      </c>
      <c r="C202" s="141" t="s">
        <v>231</v>
      </c>
      <c r="D202" s="141" t="s">
        <v>231</v>
      </c>
      <c r="E202" s="141" t="s">
        <v>231</v>
      </c>
      <c r="F202" s="141" t="s">
        <v>231</v>
      </c>
      <c r="G202" s="141" t="s">
        <v>231</v>
      </c>
      <c r="H202" s="141" t="s">
        <v>231</v>
      </c>
      <c r="I202" s="141" t="s">
        <v>231</v>
      </c>
      <c r="J202" s="141" t="s">
        <v>231</v>
      </c>
      <c r="K202" s="141" t="s">
        <v>231</v>
      </c>
      <c r="L202" s="141" t="s">
        <v>231</v>
      </c>
    </row>
    <row r="203" spans="1:12" ht="18" x14ac:dyDescent="0.3">
      <c r="A203" s="125">
        <f t="shared" si="7"/>
        <v>46424</v>
      </c>
      <c r="B203" s="140" t="str">
        <f t="shared" si="6"/>
        <v>Saturday</v>
      </c>
      <c r="C203" s="141" t="s">
        <v>231</v>
      </c>
      <c r="D203" s="141" t="s">
        <v>231</v>
      </c>
      <c r="E203" s="141" t="s">
        <v>231</v>
      </c>
      <c r="F203" s="141" t="s">
        <v>231</v>
      </c>
      <c r="G203" s="141" t="s">
        <v>231</v>
      </c>
      <c r="H203" s="141" t="s">
        <v>231</v>
      </c>
      <c r="I203" s="141" t="s">
        <v>231</v>
      </c>
      <c r="J203" s="141" t="s">
        <v>231</v>
      </c>
      <c r="K203" s="141" t="s">
        <v>231</v>
      </c>
      <c r="L203" s="141" t="s">
        <v>231</v>
      </c>
    </row>
    <row r="204" spans="1:12" ht="18" x14ac:dyDescent="0.3">
      <c r="A204" s="125">
        <f t="shared" si="7"/>
        <v>46425</v>
      </c>
      <c r="B204" s="140" t="str">
        <f t="shared" si="6"/>
        <v>Sunday</v>
      </c>
      <c r="C204" s="141" t="s">
        <v>231</v>
      </c>
      <c r="D204" s="141" t="s">
        <v>231</v>
      </c>
      <c r="E204" s="141" t="s">
        <v>231</v>
      </c>
      <c r="F204" s="141" t="s">
        <v>231</v>
      </c>
      <c r="G204" s="141" t="s">
        <v>231</v>
      </c>
      <c r="H204" s="141" t="s">
        <v>231</v>
      </c>
      <c r="I204" s="141" t="s">
        <v>231</v>
      </c>
      <c r="J204" s="141" t="s">
        <v>231</v>
      </c>
      <c r="K204" s="141" t="s">
        <v>231</v>
      </c>
      <c r="L204" s="141" t="s">
        <v>231</v>
      </c>
    </row>
    <row r="205" spans="1:12" ht="18" x14ac:dyDescent="0.3">
      <c r="A205" s="125">
        <f t="shared" si="7"/>
        <v>46426</v>
      </c>
      <c r="B205" s="140" t="str">
        <f t="shared" si="6"/>
        <v>Monday</v>
      </c>
      <c r="C205" s="141" t="s">
        <v>231</v>
      </c>
      <c r="D205" s="141" t="s">
        <v>231</v>
      </c>
      <c r="E205" s="141" t="s">
        <v>231</v>
      </c>
      <c r="F205" s="141" t="s">
        <v>231</v>
      </c>
      <c r="G205" s="141" t="s">
        <v>231</v>
      </c>
      <c r="H205" s="141" t="s">
        <v>231</v>
      </c>
      <c r="I205" s="141" t="s">
        <v>231</v>
      </c>
      <c r="J205" s="141" t="s">
        <v>231</v>
      </c>
      <c r="K205" s="141" t="s">
        <v>231</v>
      </c>
      <c r="L205" s="141" t="s">
        <v>231</v>
      </c>
    </row>
    <row r="206" spans="1:12" ht="18" x14ac:dyDescent="0.3">
      <c r="A206" s="125">
        <f t="shared" si="7"/>
        <v>46427</v>
      </c>
      <c r="B206" s="140" t="str">
        <f t="shared" si="6"/>
        <v>Tuesday</v>
      </c>
      <c r="C206" s="141" t="s">
        <v>231</v>
      </c>
      <c r="D206" s="141" t="s">
        <v>231</v>
      </c>
      <c r="E206" s="141" t="s">
        <v>231</v>
      </c>
      <c r="F206" s="141" t="s">
        <v>231</v>
      </c>
      <c r="G206" s="141" t="s">
        <v>231</v>
      </c>
      <c r="H206" s="141" t="s">
        <v>231</v>
      </c>
      <c r="I206" s="141" t="s">
        <v>231</v>
      </c>
      <c r="J206" s="141" t="s">
        <v>231</v>
      </c>
      <c r="K206" s="141" t="s">
        <v>231</v>
      </c>
      <c r="L206" s="141" t="s">
        <v>231</v>
      </c>
    </row>
    <row r="207" spans="1:12" ht="18" x14ac:dyDescent="0.3">
      <c r="A207" s="125">
        <f t="shared" si="7"/>
        <v>46428</v>
      </c>
      <c r="B207" s="140" t="str">
        <f t="shared" si="6"/>
        <v>Wednesday</v>
      </c>
      <c r="C207" s="141" t="s">
        <v>231</v>
      </c>
      <c r="D207" s="141" t="s">
        <v>231</v>
      </c>
      <c r="E207" s="141" t="s">
        <v>231</v>
      </c>
      <c r="F207" s="141" t="s">
        <v>231</v>
      </c>
      <c r="G207" s="141" t="s">
        <v>231</v>
      </c>
      <c r="H207" s="141" t="s">
        <v>231</v>
      </c>
      <c r="I207" s="141" t="s">
        <v>231</v>
      </c>
      <c r="J207" s="141" t="s">
        <v>231</v>
      </c>
      <c r="K207" s="141" t="s">
        <v>231</v>
      </c>
      <c r="L207" s="141" t="s">
        <v>231</v>
      </c>
    </row>
    <row r="208" spans="1:12" ht="18" x14ac:dyDescent="0.3">
      <c r="A208" s="125">
        <f t="shared" si="7"/>
        <v>46429</v>
      </c>
      <c r="B208" s="140" t="str">
        <f t="shared" si="6"/>
        <v>Thursday</v>
      </c>
      <c r="C208" s="141" t="s">
        <v>231</v>
      </c>
      <c r="D208" s="141" t="s">
        <v>231</v>
      </c>
      <c r="E208" s="141" t="s">
        <v>231</v>
      </c>
      <c r="F208" s="141" t="s">
        <v>231</v>
      </c>
      <c r="G208" s="141" t="s">
        <v>231</v>
      </c>
      <c r="H208" s="141" t="s">
        <v>231</v>
      </c>
      <c r="I208" s="141" t="s">
        <v>231</v>
      </c>
      <c r="J208" s="141" t="s">
        <v>231</v>
      </c>
      <c r="K208" s="141" t="s">
        <v>231</v>
      </c>
      <c r="L208" s="141" t="s">
        <v>231</v>
      </c>
    </row>
    <row r="209" spans="1:12" ht="18" x14ac:dyDescent="0.3">
      <c r="A209" s="125">
        <f t="shared" si="7"/>
        <v>46430</v>
      </c>
      <c r="B209" s="140" t="str">
        <f t="shared" si="6"/>
        <v>Friday</v>
      </c>
      <c r="C209" s="141" t="s">
        <v>231</v>
      </c>
      <c r="D209" s="141" t="s">
        <v>231</v>
      </c>
      <c r="E209" s="141" t="s">
        <v>231</v>
      </c>
      <c r="F209" s="141" t="s">
        <v>231</v>
      </c>
      <c r="G209" s="141" t="s">
        <v>231</v>
      </c>
      <c r="H209" s="141" t="s">
        <v>231</v>
      </c>
      <c r="I209" s="141" t="s">
        <v>231</v>
      </c>
      <c r="J209" s="141" t="s">
        <v>231</v>
      </c>
      <c r="K209" s="141" t="s">
        <v>231</v>
      </c>
      <c r="L209" s="141" t="s">
        <v>231</v>
      </c>
    </row>
    <row r="210" spans="1:12" ht="18" x14ac:dyDescent="0.3">
      <c r="A210" s="125">
        <f t="shared" si="7"/>
        <v>46431</v>
      </c>
      <c r="B210" s="140" t="str">
        <f t="shared" si="6"/>
        <v>Saturday</v>
      </c>
      <c r="C210" s="141" t="s">
        <v>231</v>
      </c>
      <c r="D210" s="141" t="s">
        <v>231</v>
      </c>
      <c r="E210" s="141" t="s">
        <v>231</v>
      </c>
      <c r="F210" s="141" t="s">
        <v>231</v>
      </c>
      <c r="G210" s="141" t="s">
        <v>231</v>
      </c>
      <c r="H210" s="141" t="s">
        <v>231</v>
      </c>
      <c r="I210" s="141" t="s">
        <v>231</v>
      </c>
      <c r="J210" s="141" t="s">
        <v>231</v>
      </c>
      <c r="K210" s="141" t="s">
        <v>231</v>
      </c>
      <c r="L210" s="141" t="s">
        <v>231</v>
      </c>
    </row>
    <row r="211" spans="1:12" ht="18" x14ac:dyDescent="0.3">
      <c r="A211" s="125">
        <f t="shared" si="7"/>
        <v>46432</v>
      </c>
      <c r="B211" s="140" t="str">
        <f t="shared" si="6"/>
        <v>Sunday</v>
      </c>
      <c r="C211" s="141" t="s">
        <v>231</v>
      </c>
      <c r="D211" s="141" t="s">
        <v>231</v>
      </c>
      <c r="E211" s="141" t="s">
        <v>231</v>
      </c>
      <c r="F211" s="141" t="s">
        <v>231</v>
      </c>
      <c r="G211" s="141" t="s">
        <v>231</v>
      </c>
      <c r="H211" s="141" t="s">
        <v>231</v>
      </c>
      <c r="I211" s="141" t="s">
        <v>231</v>
      </c>
      <c r="J211" s="141" t="s">
        <v>231</v>
      </c>
      <c r="K211" s="141" t="s">
        <v>231</v>
      </c>
      <c r="L211" s="141" t="s">
        <v>231</v>
      </c>
    </row>
    <row r="212" spans="1:12" ht="18" x14ac:dyDescent="0.3">
      <c r="A212" s="125">
        <f t="shared" si="7"/>
        <v>46433</v>
      </c>
      <c r="B212" s="140" t="str">
        <f t="shared" si="6"/>
        <v>Monday</v>
      </c>
      <c r="C212" s="141" t="s">
        <v>231</v>
      </c>
      <c r="D212" s="141" t="s">
        <v>231</v>
      </c>
      <c r="E212" s="141" t="s">
        <v>231</v>
      </c>
      <c r="F212" s="141" t="s">
        <v>231</v>
      </c>
      <c r="G212" s="141" t="s">
        <v>231</v>
      </c>
      <c r="H212" s="141" t="s">
        <v>231</v>
      </c>
      <c r="I212" s="141" t="s">
        <v>231</v>
      </c>
      <c r="J212" s="141" t="s">
        <v>231</v>
      </c>
      <c r="K212" s="141" t="s">
        <v>231</v>
      </c>
      <c r="L212" s="141" t="s">
        <v>231</v>
      </c>
    </row>
    <row r="213" spans="1:12" ht="18" x14ac:dyDescent="0.3">
      <c r="A213" s="125">
        <f t="shared" si="7"/>
        <v>46434</v>
      </c>
      <c r="B213" s="140" t="str">
        <f t="shared" si="6"/>
        <v>Tuesday</v>
      </c>
      <c r="C213" s="141" t="s">
        <v>231</v>
      </c>
      <c r="D213" s="141" t="s">
        <v>231</v>
      </c>
      <c r="E213" s="141" t="s">
        <v>231</v>
      </c>
      <c r="F213" s="141" t="s">
        <v>231</v>
      </c>
      <c r="G213" s="141" t="s">
        <v>231</v>
      </c>
      <c r="H213" s="141" t="s">
        <v>231</v>
      </c>
      <c r="I213" s="141" t="s">
        <v>231</v>
      </c>
      <c r="J213" s="141" t="s">
        <v>231</v>
      </c>
      <c r="K213" s="141" t="s">
        <v>231</v>
      </c>
      <c r="L213" s="141" t="s">
        <v>231</v>
      </c>
    </row>
    <row r="214" spans="1:12" ht="18" x14ac:dyDescent="0.3">
      <c r="A214" s="125">
        <f t="shared" si="7"/>
        <v>46435</v>
      </c>
      <c r="B214" s="140" t="str">
        <f t="shared" si="6"/>
        <v>Wednesday</v>
      </c>
      <c r="C214" s="141" t="s">
        <v>231</v>
      </c>
      <c r="D214" s="141" t="s">
        <v>231</v>
      </c>
      <c r="E214" s="141" t="s">
        <v>231</v>
      </c>
      <c r="F214" s="141" t="s">
        <v>231</v>
      </c>
      <c r="G214" s="141" t="s">
        <v>231</v>
      </c>
      <c r="H214" s="141" t="s">
        <v>231</v>
      </c>
      <c r="I214" s="141" t="s">
        <v>231</v>
      </c>
      <c r="J214" s="141" t="s">
        <v>231</v>
      </c>
      <c r="K214" s="141" t="s">
        <v>231</v>
      </c>
      <c r="L214" s="141" t="s">
        <v>231</v>
      </c>
    </row>
    <row r="215" spans="1:12" ht="18" x14ac:dyDescent="0.3">
      <c r="A215" s="125">
        <f t="shared" si="7"/>
        <v>46436</v>
      </c>
      <c r="B215" s="140" t="str">
        <f t="shared" si="6"/>
        <v>Thursday</v>
      </c>
      <c r="C215" s="141" t="s">
        <v>231</v>
      </c>
      <c r="D215" s="141" t="s">
        <v>231</v>
      </c>
      <c r="E215" s="141" t="s">
        <v>231</v>
      </c>
      <c r="F215" s="141" t="s">
        <v>231</v>
      </c>
      <c r="G215" s="141" t="s">
        <v>231</v>
      </c>
      <c r="H215" s="141" t="s">
        <v>231</v>
      </c>
      <c r="I215" s="141" t="s">
        <v>231</v>
      </c>
      <c r="J215" s="141" t="s">
        <v>231</v>
      </c>
      <c r="K215" s="141" t="s">
        <v>231</v>
      </c>
      <c r="L215" s="141" t="s">
        <v>231</v>
      </c>
    </row>
    <row r="216" spans="1:12" ht="18" x14ac:dyDescent="0.3">
      <c r="A216" s="125">
        <f t="shared" si="7"/>
        <v>46437</v>
      </c>
      <c r="B216" s="140" t="str">
        <f t="shared" si="6"/>
        <v>Friday</v>
      </c>
      <c r="C216" s="141" t="s">
        <v>231</v>
      </c>
      <c r="D216" s="141" t="s">
        <v>231</v>
      </c>
      <c r="E216" s="141" t="s">
        <v>231</v>
      </c>
      <c r="F216" s="141" t="s">
        <v>231</v>
      </c>
      <c r="G216" s="141" t="s">
        <v>231</v>
      </c>
      <c r="H216" s="141" t="s">
        <v>231</v>
      </c>
      <c r="I216" s="141" t="s">
        <v>231</v>
      </c>
      <c r="J216" s="141" t="s">
        <v>231</v>
      </c>
      <c r="K216" s="141" t="s">
        <v>231</v>
      </c>
      <c r="L216" s="141" t="s">
        <v>231</v>
      </c>
    </row>
    <row r="217" spans="1:12" ht="18" x14ac:dyDescent="0.3">
      <c r="A217" s="125">
        <f t="shared" si="7"/>
        <v>46438</v>
      </c>
      <c r="B217" s="140" t="str">
        <f t="shared" si="6"/>
        <v>Saturday</v>
      </c>
      <c r="C217" s="141" t="s">
        <v>231</v>
      </c>
      <c r="D217" s="141" t="s">
        <v>231</v>
      </c>
      <c r="E217" s="141" t="s">
        <v>231</v>
      </c>
      <c r="F217" s="141" t="s">
        <v>231</v>
      </c>
      <c r="G217" s="141" t="s">
        <v>231</v>
      </c>
      <c r="H217" s="141" t="s">
        <v>231</v>
      </c>
      <c r="I217" s="141" t="s">
        <v>231</v>
      </c>
      <c r="J217" s="141" t="s">
        <v>231</v>
      </c>
      <c r="K217" s="141" t="s">
        <v>231</v>
      </c>
      <c r="L217" s="141" t="s">
        <v>231</v>
      </c>
    </row>
    <row r="218" spans="1:12" ht="18" x14ac:dyDescent="0.3">
      <c r="A218" s="125">
        <f t="shared" si="7"/>
        <v>46439</v>
      </c>
      <c r="B218" s="140" t="str">
        <f t="shared" si="6"/>
        <v>Sunday</v>
      </c>
      <c r="C218" s="141" t="s">
        <v>231</v>
      </c>
      <c r="D218" s="141" t="s">
        <v>231</v>
      </c>
      <c r="E218" s="141" t="s">
        <v>231</v>
      </c>
      <c r="F218" s="141" t="s">
        <v>231</v>
      </c>
      <c r="G218" s="141" t="s">
        <v>231</v>
      </c>
      <c r="H218" s="141" t="s">
        <v>231</v>
      </c>
      <c r="I218" s="141" t="s">
        <v>231</v>
      </c>
      <c r="J218" s="141" t="s">
        <v>231</v>
      </c>
      <c r="K218" s="141" t="s">
        <v>231</v>
      </c>
      <c r="L218" s="141" t="s">
        <v>231</v>
      </c>
    </row>
    <row r="219" spans="1:12" ht="18" x14ac:dyDescent="0.3">
      <c r="A219" s="125">
        <f t="shared" si="7"/>
        <v>46440</v>
      </c>
      <c r="B219" s="140" t="str">
        <f t="shared" si="6"/>
        <v>Monday</v>
      </c>
      <c r="C219" s="141" t="s">
        <v>231</v>
      </c>
      <c r="D219" s="141" t="s">
        <v>231</v>
      </c>
      <c r="E219" s="141" t="s">
        <v>231</v>
      </c>
      <c r="F219" s="141" t="s">
        <v>231</v>
      </c>
      <c r="G219" s="141" t="s">
        <v>231</v>
      </c>
      <c r="H219" s="141" t="s">
        <v>231</v>
      </c>
      <c r="I219" s="141" t="s">
        <v>231</v>
      </c>
      <c r="J219" s="141" t="s">
        <v>231</v>
      </c>
      <c r="K219" s="141" t="s">
        <v>231</v>
      </c>
      <c r="L219" s="141" t="s">
        <v>231</v>
      </c>
    </row>
    <row r="220" spans="1:12" ht="18" x14ac:dyDescent="0.3">
      <c r="A220" s="125">
        <f t="shared" si="7"/>
        <v>46441</v>
      </c>
      <c r="B220" s="140" t="str">
        <f t="shared" si="6"/>
        <v>Tuesday</v>
      </c>
      <c r="C220" s="141" t="s">
        <v>231</v>
      </c>
      <c r="D220" s="141" t="s">
        <v>231</v>
      </c>
      <c r="E220" s="141" t="s">
        <v>231</v>
      </c>
      <c r="F220" s="141" t="s">
        <v>231</v>
      </c>
      <c r="G220" s="141" t="s">
        <v>231</v>
      </c>
      <c r="H220" s="141" t="s">
        <v>231</v>
      </c>
      <c r="I220" s="141" t="s">
        <v>231</v>
      </c>
      <c r="J220" s="141" t="s">
        <v>231</v>
      </c>
      <c r="K220" s="141" t="s">
        <v>231</v>
      </c>
      <c r="L220" s="141" t="s">
        <v>231</v>
      </c>
    </row>
    <row r="221" spans="1:12" ht="18" x14ac:dyDescent="0.3">
      <c r="A221" s="125">
        <f t="shared" si="7"/>
        <v>46442</v>
      </c>
      <c r="B221" s="140" t="str">
        <f t="shared" si="6"/>
        <v>Wednesday</v>
      </c>
      <c r="C221" s="141" t="s">
        <v>231</v>
      </c>
      <c r="D221" s="141" t="s">
        <v>231</v>
      </c>
      <c r="E221" s="141" t="s">
        <v>231</v>
      </c>
      <c r="F221" s="141" t="s">
        <v>231</v>
      </c>
      <c r="G221" s="141" t="s">
        <v>231</v>
      </c>
      <c r="H221" s="141" t="s">
        <v>231</v>
      </c>
      <c r="I221" s="141" t="s">
        <v>231</v>
      </c>
      <c r="J221" s="141" t="s">
        <v>231</v>
      </c>
      <c r="K221" s="141" t="s">
        <v>231</v>
      </c>
      <c r="L221" s="141" t="s">
        <v>231</v>
      </c>
    </row>
    <row r="222" spans="1:12" ht="18" x14ac:dyDescent="0.3">
      <c r="A222" s="125">
        <f t="shared" si="7"/>
        <v>46443</v>
      </c>
      <c r="B222" s="140" t="str">
        <f t="shared" si="6"/>
        <v>Thursday</v>
      </c>
      <c r="C222" s="141" t="s">
        <v>231</v>
      </c>
      <c r="D222" s="141" t="s">
        <v>231</v>
      </c>
      <c r="E222" s="141" t="s">
        <v>231</v>
      </c>
      <c r="F222" s="141" t="s">
        <v>231</v>
      </c>
      <c r="G222" s="141" t="s">
        <v>231</v>
      </c>
      <c r="H222" s="141" t="s">
        <v>231</v>
      </c>
      <c r="I222" s="141" t="s">
        <v>231</v>
      </c>
      <c r="J222" s="141" t="s">
        <v>231</v>
      </c>
      <c r="K222" s="141" t="s">
        <v>231</v>
      </c>
      <c r="L222" s="141" t="s">
        <v>231</v>
      </c>
    </row>
    <row r="223" spans="1:12" ht="18" x14ac:dyDescent="0.3">
      <c r="A223" s="125">
        <f t="shared" si="7"/>
        <v>46444</v>
      </c>
      <c r="B223" s="140" t="str">
        <f t="shared" si="6"/>
        <v>Friday</v>
      </c>
      <c r="C223" s="141" t="s">
        <v>231</v>
      </c>
      <c r="D223" s="141" t="s">
        <v>231</v>
      </c>
      <c r="E223" s="141" t="s">
        <v>231</v>
      </c>
      <c r="F223" s="141" t="s">
        <v>231</v>
      </c>
      <c r="G223" s="141" t="s">
        <v>231</v>
      </c>
      <c r="H223" s="141" t="s">
        <v>231</v>
      </c>
      <c r="I223" s="141" t="s">
        <v>231</v>
      </c>
      <c r="J223" s="141" t="s">
        <v>231</v>
      </c>
      <c r="K223" s="141" t="s">
        <v>231</v>
      </c>
      <c r="L223" s="141" t="s">
        <v>231</v>
      </c>
    </row>
    <row r="224" spans="1:12" ht="18" x14ac:dyDescent="0.3">
      <c r="A224" s="125">
        <f t="shared" si="7"/>
        <v>46445</v>
      </c>
      <c r="B224" s="140" t="str">
        <f t="shared" si="6"/>
        <v>Saturday</v>
      </c>
      <c r="C224" s="141" t="s">
        <v>231</v>
      </c>
      <c r="D224" s="141" t="s">
        <v>231</v>
      </c>
      <c r="E224" s="141" t="s">
        <v>231</v>
      </c>
      <c r="F224" s="141" t="s">
        <v>231</v>
      </c>
      <c r="G224" s="141" t="s">
        <v>231</v>
      </c>
      <c r="H224" s="141" t="s">
        <v>231</v>
      </c>
      <c r="I224" s="141" t="s">
        <v>231</v>
      </c>
      <c r="J224" s="141" t="s">
        <v>231</v>
      </c>
      <c r="K224" s="141" t="s">
        <v>231</v>
      </c>
      <c r="L224" s="141" t="s">
        <v>231</v>
      </c>
    </row>
    <row r="225" spans="1:12" ht="18" x14ac:dyDescent="0.3">
      <c r="A225" s="125">
        <f t="shared" si="7"/>
        <v>46446</v>
      </c>
      <c r="B225" s="140" t="str">
        <f t="shared" si="6"/>
        <v>Sunday</v>
      </c>
      <c r="C225" s="141" t="s">
        <v>231</v>
      </c>
      <c r="D225" s="141" t="s">
        <v>231</v>
      </c>
      <c r="E225" s="141" t="s">
        <v>231</v>
      </c>
      <c r="F225" s="141" t="s">
        <v>231</v>
      </c>
      <c r="G225" s="141" t="s">
        <v>231</v>
      </c>
      <c r="H225" s="141" t="s">
        <v>231</v>
      </c>
      <c r="I225" s="141" t="s">
        <v>231</v>
      </c>
      <c r="J225" s="141" t="s">
        <v>231</v>
      </c>
      <c r="K225" s="141" t="s">
        <v>231</v>
      </c>
      <c r="L225" s="141" t="s">
        <v>231</v>
      </c>
    </row>
    <row r="226" spans="1:12" ht="18" x14ac:dyDescent="0.3">
      <c r="A226" s="125">
        <f t="shared" si="7"/>
        <v>46447</v>
      </c>
      <c r="B226" s="140" t="str">
        <f t="shared" si="6"/>
        <v>Monday</v>
      </c>
      <c r="C226" s="141" t="s">
        <v>231</v>
      </c>
      <c r="D226" s="141" t="s">
        <v>231</v>
      </c>
      <c r="E226" s="141" t="s">
        <v>231</v>
      </c>
      <c r="F226" s="141" t="s">
        <v>231</v>
      </c>
      <c r="G226" s="141" t="s">
        <v>231</v>
      </c>
      <c r="H226" s="141" t="s">
        <v>231</v>
      </c>
      <c r="I226" s="141" t="s">
        <v>231</v>
      </c>
      <c r="J226" s="141" t="s">
        <v>231</v>
      </c>
      <c r="K226" s="141" t="s">
        <v>231</v>
      </c>
      <c r="L226" s="141" t="s">
        <v>231</v>
      </c>
    </row>
    <row r="227" spans="1:12" ht="18" x14ac:dyDescent="0.3">
      <c r="A227" s="125">
        <f t="shared" si="7"/>
        <v>46448</v>
      </c>
      <c r="B227" s="140" t="str">
        <f t="shared" si="6"/>
        <v>Tuesday</v>
      </c>
      <c r="C227" s="141" t="s">
        <v>231</v>
      </c>
      <c r="D227" s="141" t="s">
        <v>231</v>
      </c>
      <c r="E227" s="141" t="s">
        <v>231</v>
      </c>
      <c r="F227" s="141" t="s">
        <v>231</v>
      </c>
      <c r="G227" s="141" t="s">
        <v>231</v>
      </c>
      <c r="H227" s="141" t="s">
        <v>231</v>
      </c>
      <c r="I227" s="141" t="s">
        <v>231</v>
      </c>
      <c r="J227" s="141" t="s">
        <v>231</v>
      </c>
      <c r="K227" s="141" t="s">
        <v>231</v>
      </c>
      <c r="L227" s="141" t="s">
        <v>231</v>
      </c>
    </row>
    <row r="228" spans="1:12" ht="18" x14ac:dyDescent="0.3">
      <c r="A228" s="125">
        <f t="shared" si="7"/>
        <v>46449</v>
      </c>
      <c r="B228" s="140" t="str">
        <f t="shared" si="6"/>
        <v>Wednesday</v>
      </c>
      <c r="C228" s="141" t="s">
        <v>231</v>
      </c>
      <c r="D228" s="141" t="s">
        <v>231</v>
      </c>
      <c r="E228" s="141" t="s">
        <v>231</v>
      </c>
      <c r="F228" s="141" t="s">
        <v>231</v>
      </c>
      <c r="G228" s="141" t="s">
        <v>231</v>
      </c>
      <c r="H228" s="141" t="s">
        <v>231</v>
      </c>
      <c r="I228" s="141" t="s">
        <v>231</v>
      </c>
      <c r="J228" s="141" t="s">
        <v>231</v>
      </c>
      <c r="K228" s="141" t="s">
        <v>231</v>
      </c>
      <c r="L228" s="141" t="s">
        <v>231</v>
      </c>
    </row>
    <row r="229" spans="1:12" ht="18" x14ac:dyDescent="0.3">
      <c r="A229" s="125">
        <f t="shared" si="7"/>
        <v>46450</v>
      </c>
      <c r="B229" s="140" t="str">
        <f t="shared" si="6"/>
        <v>Thursday</v>
      </c>
      <c r="C229" s="141" t="s">
        <v>231</v>
      </c>
      <c r="D229" s="141" t="s">
        <v>231</v>
      </c>
      <c r="E229" s="141" t="s">
        <v>231</v>
      </c>
      <c r="F229" s="141" t="s">
        <v>231</v>
      </c>
      <c r="G229" s="141" t="s">
        <v>231</v>
      </c>
      <c r="H229" s="141" t="s">
        <v>231</v>
      </c>
      <c r="I229" s="141" t="s">
        <v>231</v>
      </c>
      <c r="J229" s="141" t="s">
        <v>231</v>
      </c>
      <c r="K229" s="141" t="s">
        <v>231</v>
      </c>
      <c r="L229" s="141" t="s">
        <v>231</v>
      </c>
    </row>
    <row r="230" spans="1:12" ht="18" x14ac:dyDescent="0.3">
      <c r="A230" s="125">
        <f t="shared" si="7"/>
        <v>46451</v>
      </c>
      <c r="B230" s="140" t="str">
        <f t="shared" si="6"/>
        <v>Friday</v>
      </c>
      <c r="C230" s="141" t="s">
        <v>231</v>
      </c>
      <c r="D230" s="141" t="s">
        <v>231</v>
      </c>
      <c r="E230" s="141" t="s">
        <v>231</v>
      </c>
      <c r="F230" s="141" t="s">
        <v>231</v>
      </c>
      <c r="G230" s="141" t="s">
        <v>231</v>
      </c>
      <c r="H230" s="141" t="s">
        <v>231</v>
      </c>
      <c r="I230" s="141" t="s">
        <v>231</v>
      </c>
      <c r="J230" s="141" t="s">
        <v>231</v>
      </c>
      <c r="K230" s="141" t="s">
        <v>231</v>
      </c>
      <c r="L230" s="141" t="s">
        <v>231</v>
      </c>
    </row>
    <row r="231" spans="1:12" ht="18" x14ac:dyDescent="0.3">
      <c r="A231" s="125">
        <f t="shared" si="7"/>
        <v>46452</v>
      </c>
      <c r="B231" s="140" t="str">
        <f t="shared" si="6"/>
        <v>Saturday</v>
      </c>
      <c r="C231" s="141" t="s">
        <v>231</v>
      </c>
      <c r="D231" s="141" t="s">
        <v>231</v>
      </c>
      <c r="E231" s="141" t="s">
        <v>231</v>
      </c>
      <c r="F231" s="141" t="s">
        <v>231</v>
      </c>
      <c r="G231" s="141" t="s">
        <v>231</v>
      </c>
      <c r="H231" s="141" t="s">
        <v>231</v>
      </c>
      <c r="I231" s="141" t="s">
        <v>231</v>
      </c>
      <c r="J231" s="141" t="s">
        <v>231</v>
      </c>
      <c r="K231" s="141" t="s">
        <v>231</v>
      </c>
      <c r="L231" s="141" t="s">
        <v>231</v>
      </c>
    </row>
    <row r="232" spans="1:12" ht="18" x14ac:dyDescent="0.3">
      <c r="A232" s="125">
        <f t="shared" si="7"/>
        <v>46453</v>
      </c>
      <c r="B232" s="140" t="str">
        <f t="shared" si="6"/>
        <v>Sunday</v>
      </c>
      <c r="C232" s="141" t="s">
        <v>231</v>
      </c>
      <c r="D232" s="141" t="s">
        <v>231</v>
      </c>
      <c r="E232" s="141" t="s">
        <v>231</v>
      </c>
      <c r="F232" s="141" t="s">
        <v>231</v>
      </c>
      <c r="G232" s="141" t="s">
        <v>231</v>
      </c>
      <c r="H232" s="141" t="s">
        <v>231</v>
      </c>
      <c r="I232" s="141" t="s">
        <v>231</v>
      </c>
      <c r="J232" s="141" t="s">
        <v>231</v>
      </c>
      <c r="K232" s="141" t="s">
        <v>231</v>
      </c>
      <c r="L232" s="141" t="s">
        <v>231</v>
      </c>
    </row>
    <row r="233" spans="1:12" ht="18" x14ac:dyDescent="0.3">
      <c r="A233" s="125">
        <f t="shared" si="7"/>
        <v>46454</v>
      </c>
      <c r="B233" s="140" t="str">
        <f t="shared" si="6"/>
        <v>Monday</v>
      </c>
      <c r="C233" s="141" t="s">
        <v>231</v>
      </c>
      <c r="D233" s="141" t="s">
        <v>231</v>
      </c>
      <c r="E233" s="141" t="s">
        <v>231</v>
      </c>
      <c r="F233" s="141" t="s">
        <v>231</v>
      </c>
      <c r="G233" s="141" t="s">
        <v>231</v>
      </c>
      <c r="H233" s="141" t="s">
        <v>231</v>
      </c>
      <c r="I233" s="141" t="s">
        <v>231</v>
      </c>
      <c r="J233" s="141" t="s">
        <v>231</v>
      </c>
      <c r="K233" s="141" t="s">
        <v>231</v>
      </c>
      <c r="L233" s="141" t="s">
        <v>231</v>
      </c>
    </row>
    <row r="234" spans="1:12" ht="18" x14ac:dyDescent="0.3">
      <c r="A234" s="125">
        <f t="shared" si="7"/>
        <v>46455</v>
      </c>
      <c r="B234" s="140" t="str">
        <f t="shared" si="6"/>
        <v>Tuesday</v>
      </c>
      <c r="C234" s="141" t="s">
        <v>231</v>
      </c>
      <c r="D234" s="141" t="s">
        <v>231</v>
      </c>
      <c r="E234" s="141" t="s">
        <v>231</v>
      </c>
      <c r="F234" s="141" t="s">
        <v>231</v>
      </c>
      <c r="G234" s="141" t="s">
        <v>231</v>
      </c>
      <c r="H234" s="141" t="s">
        <v>231</v>
      </c>
      <c r="I234" s="141" t="s">
        <v>231</v>
      </c>
      <c r="J234" s="141" t="s">
        <v>231</v>
      </c>
      <c r="K234" s="141" t="s">
        <v>231</v>
      </c>
      <c r="L234" s="141" t="s">
        <v>231</v>
      </c>
    </row>
    <row r="235" spans="1:12" ht="18" x14ac:dyDescent="0.3">
      <c r="A235" s="125">
        <f t="shared" si="7"/>
        <v>46456</v>
      </c>
      <c r="B235" s="140" t="str">
        <f t="shared" si="6"/>
        <v>Wednesday</v>
      </c>
      <c r="C235" s="141" t="s">
        <v>231</v>
      </c>
      <c r="D235" s="141" t="s">
        <v>231</v>
      </c>
      <c r="E235" s="141" t="s">
        <v>231</v>
      </c>
      <c r="F235" s="141" t="s">
        <v>231</v>
      </c>
      <c r="G235" s="141" t="s">
        <v>231</v>
      </c>
      <c r="H235" s="141" t="s">
        <v>231</v>
      </c>
      <c r="I235" s="141" t="s">
        <v>231</v>
      </c>
      <c r="J235" s="141" t="s">
        <v>231</v>
      </c>
      <c r="K235" s="141" t="s">
        <v>231</v>
      </c>
      <c r="L235" s="141" t="s">
        <v>231</v>
      </c>
    </row>
    <row r="236" spans="1:12" ht="18" x14ac:dyDescent="0.3">
      <c r="A236" s="125">
        <f t="shared" si="7"/>
        <v>46457</v>
      </c>
      <c r="B236" s="140" t="str">
        <f t="shared" si="6"/>
        <v>Thursday</v>
      </c>
      <c r="C236" s="141" t="s">
        <v>231</v>
      </c>
      <c r="D236" s="141" t="s">
        <v>231</v>
      </c>
      <c r="E236" s="141" t="s">
        <v>231</v>
      </c>
      <c r="F236" s="141" t="s">
        <v>231</v>
      </c>
      <c r="G236" s="141" t="s">
        <v>231</v>
      </c>
      <c r="H236" s="141" t="s">
        <v>231</v>
      </c>
      <c r="I236" s="141" t="s">
        <v>231</v>
      </c>
      <c r="J236" s="141" t="s">
        <v>231</v>
      </c>
      <c r="K236" s="141" t="s">
        <v>231</v>
      </c>
      <c r="L236" s="141" t="s">
        <v>231</v>
      </c>
    </row>
    <row r="237" spans="1:12" ht="18" x14ac:dyDescent="0.3">
      <c r="A237" s="125">
        <f t="shared" si="7"/>
        <v>46458</v>
      </c>
      <c r="B237" s="140" t="str">
        <f t="shared" si="6"/>
        <v>Friday</v>
      </c>
      <c r="C237" s="141" t="s">
        <v>231</v>
      </c>
      <c r="D237" s="141" t="s">
        <v>231</v>
      </c>
      <c r="E237" s="141" t="s">
        <v>231</v>
      </c>
      <c r="F237" s="141" t="s">
        <v>231</v>
      </c>
      <c r="G237" s="141" t="s">
        <v>231</v>
      </c>
      <c r="H237" s="141" t="s">
        <v>231</v>
      </c>
      <c r="I237" s="141" t="s">
        <v>231</v>
      </c>
      <c r="J237" s="141" t="s">
        <v>231</v>
      </c>
      <c r="K237" s="141" t="s">
        <v>231</v>
      </c>
      <c r="L237" s="141" t="s">
        <v>231</v>
      </c>
    </row>
    <row r="238" spans="1:12" ht="18" x14ac:dyDescent="0.3">
      <c r="A238" s="125">
        <f t="shared" si="7"/>
        <v>46459</v>
      </c>
      <c r="B238" s="140" t="str">
        <f t="shared" si="6"/>
        <v>Saturday</v>
      </c>
      <c r="C238" s="141" t="s">
        <v>231</v>
      </c>
      <c r="D238" s="141" t="s">
        <v>231</v>
      </c>
      <c r="E238" s="141" t="s">
        <v>231</v>
      </c>
      <c r="F238" s="141" t="s">
        <v>231</v>
      </c>
      <c r="G238" s="141" t="s">
        <v>231</v>
      </c>
      <c r="H238" s="141" t="s">
        <v>231</v>
      </c>
      <c r="I238" s="141" t="s">
        <v>231</v>
      </c>
      <c r="J238" s="141" t="s">
        <v>231</v>
      </c>
      <c r="K238" s="141" t="s">
        <v>231</v>
      </c>
      <c r="L238" s="141" t="s">
        <v>231</v>
      </c>
    </row>
    <row r="239" spans="1:12" ht="18" x14ac:dyDescent="0.3">
      <c r="A239" s="125">
        <f t="shared" si="7"/>
        <v>46460</v>
      </c>
      <c r="B239" s="140" t="str">
        <f t="shared" si="6"/>
        <v>Sunday</v>
      </c>
      <c r="C239" s="141" t="s">
        <v>231</v>
      </c>
      <c r="D239" s="141" t="s">
        <v>231</v>
      </c>
      <c r="E239" s="141" t="s">
        <v>231</v>
      </c>
      <c r="F239" s="141" t="s">
        <v>231</v>
      </c>
      <c r="G239" s="141" t="s">
        <v>231</v>
      </c>
      <c r="H239" s="141" t="s">
        <v>231</v>
      </c>
      <c r="I239" s="141" t="s">
        <v>231</v>
      </c>
      <c r="J239" s="141" t="s">
        <v>231</v>
      </c>
      <c r="K239" s="141" t="s">
        <v>231</v>
      </c>
      <c r="L239" s="141" t="s">
        <v>231</v>
      </c>
    </row>
    <row r="240" spans="1:12" ht="18" x14ac:dyDescent="0.3">
      <c r="A240" s="125">
        <f t="shared" si="7"/>
        <v>46461</v>
      </c>
      <c r="B240" s="140" t="str">
        <f t="shared" si="6"/>
        <v>Monday</v>
      </c>
      <c r="C240" s="141" t="s">
        <v>231</v>
      </c>
      <c r="D240" s="141" t="s">
        <v>231</v>
      </c>
      <c r="E240" s="141" t="s">
        <v>231</v>
      </c>
      <c r="F240" s="141" t="s">
        <v>231</v>
      </c>
      <c r="G240" s="141" t="s">
        <v>231</v>
      </c>
      <c r="H240" s="141" t="s">
        <v>231</v>
      </c>
      <c r="I240" s="141" t="s">
        <v>231</v>
      </c>
      <c r="J240" s="141" t="s">
        <v>231</v>
      </c>
      <c r="K240" s="141" t="s">
        <v>231</v>
      </c>
      <c r="L240" s="141" t="s">
        <v>231</v>
      </c>
    </row>
    <row r="241" spans="1:12" ht="18" x14ac:dyDescent="0.3">
      <c r="A241" s="125">
        <f t="shared" si="7"/>
        <v>46462</v>
      </c>
      <c r="B241" s="140" t="str">
        <f t="shared" si="6"/>
        <v>Tuesday</v>
      </c>
      <c r="C241" s="141" t="s">
        <v>231</v>
      </c>
      <c r="D241" s="141" t="s">
        <v>231</v>
      </c>
      <c r="E241" s="141" t="s">
        <v>231</v>
      </c>
      <c r="F241" s="141" t="s">
        <v>231</v>
      </c>
      <c r="G241" s="141" t="s">
        <v>231</v>
      </c>
      <c r="H241" s="141" t="s">
        <v>231</v>
      </c>
      <c r="I241" s="141" t="s">
        <v>231</v>
      </c>
      <c r="J241" s="141" t="s">
        <v>231</v>
      </c>
      <c r="K241" s="141" t="s">
        <v>231</v>
      </c>
      <c r="L241" s="141" t="s">
        <v>231</v>
      </c>
    </row>
    <row r="242" spans="1:12" ht="18" x14ac:dyDescent="0.3">
      <c r="A242" s="125">
        <f t="shared" si="7"/>
        <v>46463</v>
      </c>
      <c r="B242" s="140" t="str">
        <f t="shared" si="6"/>
        <v>Wednesday</v>
      </c>
      <c r="C242" s="141" t="s">
        <v>231</v>
      </c>
      <c r="D242" s="141" t="s">
        <v>231</v>
      </c>
      <c r="E242" s="141" t="s">
        <v>231</v>
      </c>
      <c r="F242" s="141" t="s">
        <v>231</v>
      </c>
      <c r="G242" s="141" t="s">
        <v>231</v>
      </c>
      <c r="H242" s="141" t="s">
        <v>231</v>
      </c>
      <c r="I242" s="141" t="s">
        <v>231</v>
      </c>
      <c r="J242" s="141" t="s">
        <v>231</v>
      </c>
      <c r="K242" s="141" t="s">
        <v>231</v>
      </c>
      <c r="L242" s="141" t="s">
        <v>231</v>
      </c>
    </row>
    <row r="243" spans="1:12" ht="18" x14ac:dyDescent="0.3">
      <c r="A243" s="125">
        <f t="shared" si="7"/>
        <v>46464</v>
      </c>
      <c r="B243" s="140" t="str">
        <f t="shared" si="6"/>
        <v>Thursday</v>
      </c>
      <c r="C243" s="141" t="s">
        <v>231</v>
      </c>
      <c r="D243" s="141" t="s">
        <v>231</v>
      </c>
      <c r="E243" s="141" t="s">
        <v>231</v>
      </c>
      <c r="F243" s="141" t="s">
        <v>231</v>
      </c>
      <c r="G243" s="141" t="s">
        <v>231</v>
      </c>
      <c r="H243" s="141" t="s">
        <v>231</v>
      </c>
      <c r="I243" s="141" t="s">
        <v>231</v>
      </c>
      <c r="J243" s="141" t="s">
        <v>231</v>
      </c>
      <c r="K243" s="141" t="s">
        <v>231</v>
      </c>
      <c r="L243" s="141" t="s">
        <v>231</v>
      </c>
    </row>
    <row r="244" spans="1:12" ht="18" x14ac:dyDescent="0.3">
      <c r="A244" s="125">
        <f t="shared" si="7"/>
        <v>46465</v>
      </c>
      <c r="B244" s="140" t="str">
        <f t="shared" si="6"/>
        <v>Friday</v>
      </c>
      <c r="C244" s="141" t="s">
        <v>231</v>
      </c>
      <c r="D244" s="141" t="s">
        <v>231</v>
      </c>
      <c r="E244" s="141" t="s">
        <v>231</v>
      </c>
      <c r="F244" s="141" t="s">
        <v>231</v>
      </c>
      <c r="G244" s="141" t="s">
        <v>231</v>
      </c>
      <c r="H244" s="141" t="s">
        <v>231</v>
      </c>
      <c r="I244" s="141" t="s">
        <v>231</v>
      </c>
      <c r="J244" s="141" t="s">
        <v>231</v>
      </c>
      <c r="K244" s="141" t="s">
        <v>231</v>
      </c>
      <c r="L244" s="141" t="s">
        <v>231</v>
      </c>
    </row>
    <row r="245" spans="1:12" ht="18" x14ac:dyDescent="0.3">
      <c r="A245" s="125">
        <f t="shared" si="7"/>
        <v>46466</v>
      </c>
      <c r="B245" s="140" t="str">
        <f t="shared" si="6"/>
        <v>Saturday</v>
      </c>
      <c r="C245" s="141" t="s">
        <v>231</v>
      </c>
      <c r="D245" s="141" t="s">
        <v>231</v>
      </c>
      <c r="E245" s="141" t="s">
        <v>231</v>
      </c>
      <c r="F245" s="141" t="s">
        <v>231</v>
      </c>
      <c r="G245" s="141" t="s">
        <v>231</v>
      </c>
      <c r="H245" s="141" t="s">
        <v>231</v>
      </c>
      <c r="I245" s="141" t="s">
        <v>231</v>
      </c>
      <c r="J245" s="141" t="s">
        <v>231</v>
      </c>
      <c r="K245" s="141" t="s">
        <v>231</v>
      </c>
      <c r="L245" s="141" t="s">
        <v>231</v>
      </c>
    </row>
    <row r="246" spans="1:12" ht="18" x14ac:dyDescent="0.3">
      <c r="A246" s="125">
        <f t="shared" si="7"/>
        <v>46467</v>
      </c>
      <c r="B246" s="140" t="str">
        <f t="shared" si="6"/>
        <v>Sunday</v>
      </c>
      <c r="C246" s="141" t="s">
        <v>231</v>
      </c>
      <c r="D246" s="141" t="s">
        <v>231</v>
      </c>
      <c r="E246" s="141" t="s">
        <v>231</v>
      </c>
      <c r="F246" s="141" t="s">
        <v>231</v>
      </c>
      <c r="G246" s="141" t="s">
        <v>231</v>
      </c>
      <c r="H246" s="141" t="s">
        <v>231</v>
      </c>
      <c r="I246" s="141" t="s">
        <v>231</v>
      </c>
      <c r="J246" s="141" t="s">
        <v>231</v>
      </c>
      <c r="K246" s="141" t="s">
        <v>231</v>
      </c>
      <c r="L246" s="141" t="s">
        <v>231</v>
      </c>
    </row>
    <row r="247" spans="1:12" ht="18" x14ac:dyDescent="0.3">
      <c r="A247" s="125">
        <f t="shared" si="7"/>
        <v>46468</v>
      </c>
      <c r="B247" s="140" t="str">
        <f t="shared" si="6"/>
        <v>Monday</v>
      </c>
      <c r="C247" s="141" t="s">
        <v>231</v>
      </c>
      <c r="D247" s="141" t="s">
        <v>231</v>
      </c>
      <c r="E247" s="141" t="s">
        <v>231</v>
      </c>
      <c r="F247" s="141" t="s">
        <v>231</v>
      </c>
      <c r="G247" s="141" t="s">
        <v>231</v>
      </c>
      <c r="H247" s="141" t="s">
        <v>231</v>
      </c>
      <c r="I247" s="141" t="s">
        <v>231</v>
      </c>
      <c r="J247" s="141" t="s">
        <v>231</v>
      </c>
      <c r="K247" s="141" t="s">
        <v>231</v>
      </c>
      <c r="L247" s="141" t="s">
        <v>231</v>
      </c>
    </row>
    <row r="248" spans="1:12" ht="18" x14ac:dyDescent="0.3">
      <c r="A248" s="125">
        <f t="shared" si="7"/>
        <v>46469</v>
      </c>
      <c r="B248" s="140" t="str">
        <f t="shared" si="6"/>
        <v>Tuesday</v>
      </c>
      <c r="C248" s="141" t="s">
        <v>231</v>
      </c>
      <c r="D248" s="141" t="s">
        <v>231</v>
      </c>
      <c r="E248" s="141" t="s">
        <v>231</v>
      </c>
      <c r="F248" s="141" t="s">
        <v>231</v>
      </c>
      <c r="G248" s="141" t="s">
        <v>231</v>
      </c>
      <c r="H248" s="141" t="s">
        <v>231</v>
      </c>
      <c r="I248" s="141" t="s">
        <v>231</v>
      </c>
      <c r="J248" s="141" t="s">
        <v>231</v>
      </c>
      <c r="K248" s="141" t="s">
        <v>231</v>
      </c>
      <c r="L248" s="141" t="s">
        <v>231</v>
      </c>
    </row>
    <row r="249" spans="1:12" ht="18" x14ac:dyDescent="0.3">
      <c r="A249" s="125">
        <f t="shared" si="7"/>
        <v>46470</v>
      </c>
      <c r="B249" s="140" t="str">
        <f t="shared" si="6"/>
        <v>Wednesday</v>
      </c>
      <c r="C249" s="141" t="s">
        <v>231</v>
      </c>
      <c r="D249" s="141" t="s">
        <v>231</v>
      </c>
      <c r="E249" s="141" t="s">
        <v>231</v>
      </c>
      <c r="F249" s="141" t="s">
        <v>231</v>
      </c>
      <c r="G249" s="141" t="s">
        <v>231</v>
      </c>
      <c r="H249" s="141" t="s">
        <v>231</v>
      </c>
      <c r="I249" s="141" t="s">
        <v>231</v>
      </c>
      <c r="J249" s="141" t="s">
        <v>231</v>
      </c>
      <c r="K249" s="141" t="s">
        <v>231</v>
      </c>
      <c r="L249" s="141" t="s">
        <v>231</v>
      </c>
    </row>
    <row r="250" spans="1:12" ht="18" x14ac:dyDescent="0.3">
      <c r="A250" s="125">
        <f t="shared" si="7"/>
        <v>46471</v>
      </c>
      <c r="B250" s="140" t="str">
        <f t="shared" si="6"/>
        <v>Thursday</v>
      </c>
      <c r="C250" s="141" t="s">
        <v>231</v>
      </c>
      <c r="D250" s="141" t="s">
        <v>231</v>
      </c>
      <c r="E250" s="141" t="s">
        <v>231</v>
      </c>
      <c r="F250" s="141" t="s">
        <v>231</v>
      </c>
      <c r="G250" s="141" t="s">
        <v>231</v>
      </c>
      <c r="H250" s="141" t="s">
        <v>231</v>
      </c>
      <c r="I250" s="141" t="s">
        <v>231</v>
      </c>
      <c r="J250" s="141" t="s">
        <v>231</v>
      </c>
      <c r="K250" s="141" t="s">
        <v>231</v>
      </c>
      <c r="L250" s="141" t="s">
        <v>231</v>
      </c>
    </row>
    <row r="251" spans="1:12" ht="18" x14ac:dyDescent="0.3">
      <c r="A251" s="125">
        <f t="shared" si="7"/>
        <v>46472</v>
      </c>
      <c r="B251" s="140" t="str">
        <f t="shared" si="6"/>
        <v>Friday</v>
      </c>
      <c r="C251" s="141" t="s">
        <v>231</v>
      </c>
      <c r="D251" s="141" t="s">
        <v>231</v>
      </c>
      <c r="E251" s="141" t="s">
        <v>231</v>
      </c>
      <c r="F251" s="141" t="s">
        <v>231</v>
      </c>
      <c r="G251" s="141" t="s">
        <v>231</v>
      </c>
      <c r="H251" s="141" t="s">
        <v>231</v>
      </c>
      <c r="I251" s="141" t="s">
        <v>231</v>
      </c>
      <c r="J251" s="141" t="s">
        <v>231</v>
      </c>
      <c r="K251" s="141" t="s">
        <v>231</v>
      </c>
      <c r="L251" s="141" t="s">
        <v>231</v>
      </c>
    </row>
    <row r="252" spans="1:12" ht="18" x14ac:dyDescent="0.3">
      <c r="A252" s="125">
        <f t="shared" si="7"/>
        <v>46473</v>
      </c>
      <c r="B252" s="140" t="str">
        <f t="shared" si="6"/>
        <v>Saturday</v>
      </c>
      <c r="C252" s="141" t="s">
        <v>231</v>
      </c>
      <c r="D252" s="141" t="s">
        <v>231</v>
      </c>
      <c r="E252" s="141" t="s">
        <v>231</v>
      </c>
      <c r="F252" s="141" t="s">
        <v>231</v>
      </c>
      <c r="G252" s="141" t="s">
        <v>231</v>
      </c>
      <c r="H252" s="141" t="s">
        <v>231</v>
      </c>
      <c r="I252" s="141" t="s">
        <v>231</v>
      </c>
      <c r="J252" s="141" t="s">
        <v>231</v>
      </c>
      <c r="K252" s="141" t="s">
        <v>231</v>
      </c>
      <c r="L252" s="141" t="s">
        <v>231</v>
      </c>
    </row>
    <row r="253" spans="1:12" ht="18" x14ac:dyDescent="0.3">
      <c r="A253" s="125">
        <f t="shared" si="7"/>
        <v>46474</v>
      </c>
      <c r="B253" s="140" t="str">
        <f t="shared" si="6"/>
        <v>Sunday</v>
      </c>
      <c r="C253" s="141" t="s">
        <v>231</v>
      </c>
      <c r="D253" s="141" t="s">
        <v>231</v>
      </c>
      <c r="E253" s="141" t="s">
        <v>231</v>
      </c>
      <c r="F253" s="141" t="s">
        <v>231</v>
      </c>
      <c r="G253" s="141" t="s">
        <v>231</v>
      </c>
      <c r="H253" s="141" t="s">
        <v>231</v>
      </c>
      <c r="I253" s="141" t="s">
        <v>231</v>
      </c>
      <c r="J253" s="141" t="s">
        <v>231</v>
      </c>
      <c r="K253" s="141" t="s">
        <v>231</v>
      </c>
      <c r="L253" s="141" t="s">
        <v>231</v>
      </c>
    </row>
    <row r="254" spans="1:12" ht="18" x14ac:dyDescent="0.3">
      <c r="A254" s="125">
        <f t="shared" si="7"/>
        <v>46475</v>
      </c>
      <c r="B254" s="140" t="str">
        <f t="shared" si="6"/>
        <v>Monday</v>
      </c>
      <c r="C254" s="141" t="s">
        <v>231</v>
      </c>
      <c r="D254" s="141" t="s">
        <v>231</v>
      </c>
      <c r="E254" s="141" t="s">
        <v>231</v>
      </c>
      <c r="F254" s="141" t="s">
        <v>231</v>
      </c>
      <c r="G254" s="141" t="s">
        <v>231</v>
      </c>
      <c r="H254" s="141" t="s">
        <v>231</v>
      </c>
      <c r="I254" s="141" t="s">
        <v>231</v>
      </c>
      <c r="J254" s="141" t="s">
        <v>231</v>
      </c>
      <c r="K254" s="141" t="s">
        <v>231</v>
      </c>
      <c r="L254" s="141" t="s">
        <v>231</v>
      </c>
    </row>
    <row r="255" spans="1:12" ht="18" x14ac:dyDescent="0.3">
      <c r="A255" s="125">
        <f t="shared" si="7"/>
        <v>46476</v>
      </c>
      <c r="B255" s="140" t="str">
        <f t="shared" si="6"/>
        <v>Tuesday</v>
      </c>
      <c r="C255" s="141" t="s">
        <v>231</v>
      </c>
      <c r="D255" s="141" t="s">
        <v>231</v>
      </c>
      <c r="E255" s="141" t="s">
        <v>231</v>
      </c>
      <c r="F255" s="141" t="s">
        <v>231</v>
      </c>
      <c r="G255" s="141" t="s">
        <v>231</v>
      </c>
      <c r="H255" s="141" t="s">
        <v>231</v>
      </c>
      <c r="I255" s="141" t="s">
        <v>231</v>
      </c>
      <c r="J255" s="141" t="s">
        <v>231</v>
      </c>
      <c r="K255" s="141" t="s">
        <v>231</v>
      </c>
      <c r="L255" s="141" t="s">
        <v>231</v>
      </c>
    </row>
    <row r="256" spans="1:12" ht="18" x14ac:dyDescent="0.3">
      <c r="A256" s="125">
        <f t="shared" si="7"/>
        <v>46477</v>
      </c>
      <c r="B256" s="140" t="str">
        <f t="shared" si="6"/>
        <v>Wednesday</v>
      </c>
      <c r="C256" s="141" t="s">
        <v>231</v>
      </c>
      <c r="D256" s="141" t="s">
        <v>231</v>
      </c>
      <c r="E256" s="141" t="s">
        <v>231</v>
      </c>
      <c r="F256" s="141" t="s">
        <v>231</v>
      </c>
      <c r="G256" s="141" t="s">
        <v>231</v>
      </c>
      <c r="H256" s="141" t="s">
        <v>231</v>
      </c>
      <c r="I256" s="141" t="s">
        <v>231</v>
      </c>
      <c r="J256" s="141" t="s">
        <v>231</v>
      </c>
      <c r="K256" s="141" t="s">
        <v>231</v>
      </c>
      <c r="L256" s="141" t="s">
        <v>231</v>
      </c>
    </row>
    <row r="257" spans="1:12" ht="18" x14ac:dyDescent="0.3">
      <c r="A257" s="125">
        <f t="shared" si="7"/>
        <v>46478</v>
      </c>
      <c r="B257" s="140" t="str">
        <f t="shared" si="6"/>
        <v>Thursday</v>
      </c>
      <c r="C257" s="141" t="s">
        <v>231</v>
      </c>
      <c r="D257" s="141" t="s">
        <v>231</v>
      </c>
      <c r="E257" s="141" t="s">
        <v>231</v>
      </c>
      <c r="F257" s="141" t="s">
        <v>231</v>
      </c>
      <c r="G257" s="141" t="s">
        <v>231</v>
      </c>
      <c r="H257" s="141" t="s">
        <v>231</v>
      </c>
      <c r="I257" s="141" t="s">
        <v>231</v>
      </c>
      <c r="J257" s="141" t="s">
        <v>231</v>
      </c>
      <c r="K257" s="141" t="s">
        <v>231</v>
      </c>
      <c r="L257" s="141" t="s">
        <v>231</v>
      </c>
    </row>
    <row r="258" spans="1:12" ht="18" x14ac:dyDescent="0.3">
      <c r="A258" s="125">
        <f t="shared" si="7"/>
        <v>46479</v>
      </c>
      <c r="B258" s="140" t="str">
        <f t="shared" ref="B258:B321" si="8">CHOOSE(WEEKDAY(A258,2),"Monday","Tuesday","Wednesday","Thursday","Friday","Saturday","Sunday")</f>
        <v>Friday</v>
      </c>
      <c r="C258" s="141" t="s">
        <v>231</v>
      </c>
      <c r="D258" s="141" t="s">
        <v>231</v>
      </c>
      <c r="E258" s="141" t="s">
        <v>231</v>
      </c>
      <c r="F258" s="141" t="s">
        <v>231</v>
      </c>
      <c r="G258" s="141" t="s">
        <v>231</v>
      </c>
      <c r="H258" s="141" t="s">
        <v>231</v>
      </c>
      <c r="I258" s="141" t="s">
        <v>231</v>
      </c>
      <c r="J258" s="141" t="s">
        <v>231</v>
      </c>
      <c r="K258" s="141" t="s">
        <v>231</v>
      </c>
      <c r="L258" s="141" t="s">
        <v>231</v>
      </c>
    </row>
    <row r="259" spans="1:12" ht="18" x14ac:dyDescent="0.3">
      <c r="A259" s="125">
        <f t="shared" si="7"/>
        <v>46480</v>
      </c>
      <c r="B259" s="140" t="str">
        <f t="shared" si="8"/>
        <v>Saturday</v>
      </c>
      <c r="C259" s="141" t="s">
        <v>231</v>
      </c>
      <c r="D259" s="141" t="s">
        <v>231</v>
      </c>
      <c r="E259" s="141" t="s">
        <v>231</v>
      </c>
      <c r="F259" s="141" t="s">
        <v>231</v>
      </c>
      <c r="G259" s="141" t="s">
        <v>231</v>
      </c>
      <c r="H259" s="141" t="s">
        <v>231</v>
      </c>
      <c r="I259" s="141" t="s">
        <v>231</v>
      </c>
      <c r="J259" s="141" t="s">
        <v>231</v>
      </c>
      <c r="K259" s="141" t="s">
        <v>231</v>
      </c>
      <c r="L259" s="141" t="s">
        <v>231</v>
      </c>
    </row>
    <row r="260" spans="1:12" ht="18" x14ac:dyDescent="0.3">
      <c r="A260" s="125">
        <f t="shared" ref="A260:A323" si="9">A259+1</f>
        <v>46481</v>
      </c>
      <c r="B260" s="140" t="str">
        <f t="shared" si="8"/>
        <v>Sunday</v>
      </c>
      <c r="C260" s="141" t="s">
        <v>231</v>
      </c>
      <c r="D260" s="141" t="s">
        <v>231</v>
      </c>
      <c r="E260" s="141" t="s">
        <v>231</v>
      </c>
      <c r="F260" s="141" t="s">
        <v>231</v>
      </c>
      <c r="G260" s="141" t="s">
        <v>231</v>
      </c>
      <c r="H260" s="141" t="s">
        <v>231</v>
      </c>
      <c r="I260" s="141" t="s">
        <v>231</v>
      </c>
      <c r="J260" s="141" t="s">
        <v>231</v>
      </c>
      <c r="K260" s="141" t="s">
        <v>231</v>
      </c>
      <c r="L260" s="141" t="s">
        <v>231</v>
      </c>
    </row>
    <row r="261" spans="1:12" ht="18" x14ac:dyDescent="0.3">
      <c r="A261" s="125">
        <f t="shared" si="9"/>
        <v>46482</v>
      </c>
      <c r="B261" s="140" t="str">
        <f t="shared" si="8"/>
        <v>Monday</v>
      </c>
      <c r="C261" s="141" t="s">
        <v>231</v>
      </c>
      <c r="D261" s="141" t="s">
        <v>231</v>
      </c>
      <c r="E261" s="141" t="s">
        <v>231</v>
      </c>
      <c r="F261" s="141" t="s">
        <v>231</v>
      </c>
      <c r="G261" s="141" t="s">
        <v>231</v>
      </c>
      <c r="H261" s="141" t="s">
        <v>231</v>
      </c>
      <c r="I261" s="141" t="s">
        <v>231</v>
      </c>
      <c r="J261" s="141" t="s">
        <v>231</v>
      </c>
      <c r="K261" s="141" t="s">
        <v>231</v>
      </c>
      <c r="L261" s="141" t="s">
        <v>231</v>
      </c>
    </row>
    <row r="262" spans="1:12" ht="18" x14ac:dyDescent="0.3">
      <c r="A262" s="125">
        <f t="shared" si="9"/>
        <v>46483</v>
      </c>
      <c r="B262" s="140" t="str">
        <f t="shared" si="8"/>
        <v>Tuesday</v>
      </c>
      <c r="C262" s="141" t="s">
        <v>231</v>
      </c>
      <c r="D262" s="141" t="s">
        <v>231</v>
      </c>
      <c r="E262" s="141" t="s">
        <v>231</v>
      </c>
      <c r="F262" s="141" t="s">
        <v>231</v>
      </c>
      <c r="G262" s="141" t="s">
        <v>231</v>
      </c>
      <c r="H262" s="141" t="s">
        <v>231</v>
      </c>
      <c r="I262" s="141" t="s">
        <v>231</v>
      </c>
      <c r="J262" s="141" t="s">
        <v>231</v>
      </c>
      <c r="K262" s="141" t="s">
        <v>231</v>
      </c>
      <c r="L262" s="141" t="s">
        <v>231</v>
      </c>
    </row>
    <row r="263" spans="1:12" ht="18" x14ac:dyDescent="0.3">
      <c r="A263" s="125">
        <f t="shared" si="9"/>
        <v>46484</v>
      </c>
      <c r="B263" s="140" t="str">
        <f t="shared" si="8"/>
        <v>Wednesday</v>
      </c>
      <c r="C263" s="141" t="s">
        <v>231</v>
      </c>
      <c r="D263" s="141" t="s">
        <v>231</v>
      </c>
      <c r="E263" s="141" t="s">
        <v>231</v>
      </c>
      <c r="F263" s="141" t="s">
        <v>231</v>
      </c>
      <c r="G263" s="141" t="s">
        <v>231</v>
      </c>
      <c r="H263" s="141" t="s">
        <v>231</v>
      </c>
      <c r="I263" s="141" t="s">
        <v>231</v>
      </c>
      <c r="J263" s="141" t="s">
        <v>231</v>
      </c>
      <c r="K263" s="141" t="s">
        <v>231</v>
      </c>
      <c r="L263" s="141" t="s">
        <v>231</v>
      </c>
    </row>
    <row r="264" spans="1:12" ht="18" x14ac:dyDescent="0.3">
      <c r="A264" s="125">
        <f t="shared" si="9"/>
        <v>46485</v>
      </c>
      <c r="B264" s="140" t="str">
        <f t="shared" si="8"/>
        <v>Thursday</v>
      </c>
      <c r="C264" s="141" t="s">
        <v>231</v>
      </c>
      <c r="D264" s="141" t="s">
        <v>231</v>
      </c>
      <c r="E264" s="141" t="s">
        <v>231</v>
      </c>
      <c r="F264" s="141" t="s">
        <v>231</v>
      </c>
      <c r="G264" s="141" t="s">
        <v>231</v>
      </c>
      <c r="H264" s="141" t="s">
        <v>231</v>
      </c>
      <c r="I264" s="141" t="s">
        <v>231</v>
      </c>
      <c r="J264" s="141" t="s">
        <v>231</v>
      </c>
      <c r="K264" s="141" t="s">
        <v>231</v>
      </c>
      <c r="L264" s="141" t="s">
        <v>231</v>
      </c>
    </row>
    <row r="265" spans="1:12" ht="18" x14ac:dyDescent="0.3">
      <c r="A265" s="125">
        <f t="shared" si="9"/>
        <v>46486</v>
      </c>
      <c r="B265" s="140" t="str">
        <f t="shared" si="8"/>
        <v>Friday</v>
      </c>
      <c r="C265" s="141" t="s">
        <v>231</v>
      </c>
      <c r="D265" s="141" t="s">
        <v>231</v>
      </c>
      <c r="E265" s="141" t="s">
        <v>231</v>
      </c>
      <c r="F265" s="141" t="s">
        <v>231</v>
      </c>
      <c r="G265" s="141" t="s">
        <v>231</v>
      </c>
      <c r="H265" s="141" t="s">
        <v>231</v>
      </c>
      <c r="I265" s="141" t="s">
        <v>231</v>
      </c>
      <c r="J265" s="141" t="s">
        <v>231</v>
      </c>
      <c r="K265" s="141" t="s">
        <v>231</v>
      </c>
      <c r="L265" s="141" t="s">
        <v>231</v>
      </c>
    </row>
    <row r="266" spans="1:12" ht="18" x14ac:dyDescent="0.3">
      <c r="A266" s="125">
        <f t="shared" si="9"/>
        <v>46487</v>
      </c>
      <c r="B266" s="140" t="str">
        <f t="shared" si="8"/>
        <v>Saturday</v>
      </c>
      <c r="C266" s="141" t="s">
        <v>231</v>
      </c>
      <c r="D266" s="141" t="s">
        <v>231</v>
      </c>
      <c r="E266" s="141" t="s">
        <v>231</v>
      </c>
      <c r="F266" s="141" t="s">
        <v>231</v>
      </c>
      <c r="G266" s="141" t="s">
        <v>231</v>
      </c>
      <c r="H266" s="141" t="s">
        <v>231</v>
      </c>
      <c r="I266" s="141" t="s">
        <v>231</v>
      </c>
      <c r="J266" s="141" t="s">
        <v>231</v>
      </c>
      <c r="K266" s="141" t="s">
        <v>231</v>
      </c>
      <c r="L266" s="141" t="s">
        <v>231</v>
      </c>
    </row>
    <row r="267" spans="1:12" ht="18" x14ac:dyDescent="0.3">
      <c r="A267" s="125">
        <f t="shared" si="9"/>
        <v>46488</v>
      </c>
      <c r="B267" s="140" t="str">
        <f t="shared" si="8"/>
        <v>Sunday</v>
      </c>
      <c r="C267" s="141" t="s">
        <v>231</v>
      </c>
      <c r="D267" s="141" t="s">
        <v>231</v>
      </c>
      <c r="E267" s="141" t="s">
        <v>231</v>
      </c>
      <c r="F267" s="141" t="s">
        <v>231</v>
      </c>
      <c r="G267" s="141" t="s">
        <v>231</v>
      </c>
      <c r="H267" s="141" t="s">
        <v>231</v>
      </c>
      <c r="I267" s="141" t="s">
        <v>231</v>
      </c>
      <c r="J267" s="141" t="s">
        <v>231</v>
      </c>
      <c r="K267" s="141" t="s">
        <v>231</v>
      </c>
      <c r="L267" s="141" t="s">
        <v>231</v>
      </c>
    </row>
    <row r="268" spans="1:12" ht="18" x14ac:dyDescent="0.3">
      <c r="A268" s="125">
        <f t="shared" si="9"/>
        <v>46489</v>
      </c>
      <c r="B268" s="140" t="str">
        <f t="shared" si="8"/>
        <v>Monday</v>
      </c>
      <c r="C268" s="141" t="s">
        <v>231</v>
      </c>
      <c r="D268" s="141" t="s">
        <v>231</v>
      </c>
      <c r="E268" s="141" t="s">
        <v>231</v>
      </c>
      <c r="F268" s="141" t="s">
        <v>231</v>
      </c>
      <c r="G268" s="141" t="s">
        <v>231</v>
      </c>
      <c r="H268" s="141" t="s">
        <v>231</v>
      </c>
      <c r="I268" s="141" t="s">
        <v>231</v>
      </c>
      <c r="J268" s="141" t="s">
        <v>231</v>
      </c>
      <c r="K268" s="141" t="s">
        <v>231</v>
      </c>
      <c r="L268" s="141" t="s">
        <v>231</v>
      </c>
    </row>
    <row r="269" spans="1:12" ht="18" x14ac:dyDescent="0.3">
      <c r="A269" s="125">
        <f t="shared" si="9"/>
        <v>46490</v>
      </c>
      <c r="B269" s="140" t="str">
        <f t="shared" si="8"/>
        <v>Tuesday</v>
      </c>
      <c r="C269" s="141" t="s">
        <v>231</v>
      </c>
      <c r="D269" s="141" t="s">
        <v>231</v>
      </c>
      <c r="E269" s="141" t="s">
        <v>231</v>
      </c>
      <c r="F269" s="141" t="s">
        <v>231</v>
      </c>
      <c r="G269" s="141" t="s">
        <v>231</v>
      </c>
      <c r="H269" s="141" t="s">
        <v>231</v>
      </c>
      <c r="I269" s="141" t="s">
        <v>231</v>
      </c>
      <c r="J269" s="141" t="s">
        <v>231</v>
      </c>
      <c r="K269" s="141" t="s">
        <v>231</v>
      </c>
      <c r="L269" s="141" t="s">
        <v>231</v>
      </c>
    </row>
    <row r="270" spans="1:12" ht="18" x14ac:dyDescent="0.3">
      <c r="A270" s="125">
        <f t="shared" si="9"/>
        <v>46491</v>
      </c>
      <c r="B270" s="140" t="str">
        <f t="shared" si="8"/>
        <v>Wednesday</v>
      </c>
      <c r="C270" s="141" t="s">
        <v>231</v>
      </c>
      <c r="D270" s="141" t="s">
        <v>231</v>
      </c>
      <c r="E270" s="141" t="s">
        <v>231</v>
      </c>
      <c r="F270" s="141" t="s">
        <v>231</v>
      </c>
      <c r="G270" s="141" t="s">
        <v>231</v>
      </c>
      <c r="H270" s="141" t="s">
        <v>231</v>
      </c>
      <c r="I270" s="141" t="s">
        <v>231</v>
      </c>
      <c r="J270" s="141" t="s">
        <v>231</v>
      </c>
      <c r="K270" s="141" t="s">
        <v>231</v>
      </c>
      <c r="L270" s="141" t="s">
        <v>231</v>
      </c>
    </row>
    <row r="271" spans="1:12" ht="18" x14ac:dyDescent="0.3">
      <c r="A271" s="125">
        <f t="shared" si="9"/>
        <v>46492</v>
      </c>
      <c r="B271" s="140" t="str">
        <f t="shared" si="8"/>
        <v>Thursday</v>
      </c>
      <c r="C271" s="141" t="s">
        <v>231</v>
      </c>
      <c r="D271" s="141" t="s">
        <v>231</v>
      </c>
      <c r="E271" s="141" t="s">
        <v>231</v>
      </c>
      <c r="F271" s="141" t="s">
        <v>231</v>
      </c>
      <c r="G271" s="141" t="s">
        <v>231</v>
      </c>
      <c r="H271" s="141" t="s">
        <v>231</v>
      </c>
      <c r="I271" s="141" t="s">
        <v>231</v>
      </c>
      <c r="J271" s="141" t="s">
        <v>231</v>
      </c>
      <c r="K271" s="141" t="s">
        <v>231</v>
      </c>
      <c r="L271" s="141" t="s">
        <v>231</v>
      </c>
    </row>
    <row r="272" spans="1:12" ht="18" x14ac:dyDescent="0.3">
      <c r="A272" s="125">
        <f t="shared" si="9"/>
        <v>46493</v>
      </c>
      <c r="B272" s="140" t="str">
        <f t="shared" si="8"/>
        <v>Friday</v>
      </c>
      <c r="C272" s="141" t="s">
        <v>231</v>
      </c>
      <c r="D272" s="141" t="s">
        <v>231</v>
      </c>
      <c r="E272" s="141" t="s">
        <v>231</v>
      </c>
      <c r="F272" s="141" t="s">
        <v>231</v>
      </c>
      <c r="G272" s="141" t="s">
        <v>231</v>
      </c>
      <c r="H272" s="141" t="s">
        <v>231</v>
      </c>
      <c r="I272" s="141" t="s">
        <v>231</v>
      </c>
      <c r="J272" s="141" t="s">
        <v>231</v>
      </c>
      <c r="K272" s="141" t="s">
        <v>231</v>
      </c>
      <c r="L272" s="141" t="s">
        <v>231</v>
      </c>
    </row>
    <row r="273" spans="1:12" ht="18" x14ac:dyDescent="0.3">
      <c r="A273" s="125">
        <f t="shared" si="9"/>
        <v>46494</v>
      </c>
      <c r="B273" s="140" t="str">
        <f t="shared" si="8"/>
        <v>Saturday</v>
      </c>
      <c r="C273" s="141" t="s">
        <v>231</v>
      </c>
      <c r="D273" s="141" t="s">
        <v>231</v>
      </c>
      <c r="E273" s="141" t="s">
        <v>231</v>
      </c>
      <c r="F273" s="141" t="s">
        <v>231</v>
      </c>
      <c r="G273" s="141" t="s">
        <v>231</v>
      </c>
      <c r="H273" s="141" t="s">
        <v>231</v>
      </c>
      <c r="I273" s="141" t="s">
        <v>231</v>
      </c>
      <c r="J273" s="141" t="s">
        <v>231</v>
      </c>
      <c r="K273" s="141" t="s">
        <v>231</v>
      </c>
      <c r="L273" s="141" t="s">
        <v>231</v>
      </c>
    </row>
    <row r="274" spans="1:12" ht="18" x14ac:dyDescent="0.3">
      <c r="A274" s="125">
        <f t="shared" si="9"/>
        <v>46495</v>
      </c>
      <c r="B274" s="140" t="str">
        <f t="shared" si="8"/>
        <v>Sunday</v>
      </c>
      <c r="C274" s="141" t="s">
        <v>231</v>
      </c>
      <c r="D274" s="141" t="s">
        <v>231</v>
      </c>
      <c r="E274" s="141" t="s">
        <v>231</v>
      </c>
      <c r="F274" s="141" t="s">
        <v>231</v>
      </c>
      <c r="G274" s="141" t="s">
        <v>231</v>
      </c>
      <c r="H274" s="141" t="s">
        <v>231</v>
      </c>
      <c r="I274" s="141" t="s">
        <v>231</v>
      </c>
      <c r="J274" s="141" t="s">
        <v>231</v>
      </c>
      <c r="K274" s="141" t="s">
        <v>231</v>
      </c>
      <c r="L274" s="141" t="s">
        <v>231</v>
      </c>
    </row>
    <row r="275" spans="1:12" ht="18" x14ac:dyDescent="0.3">
      <c r="A275" s="125">
        <f t="shared" si="9"/>
        <v>46496</v>
      </c>
      <c r="B275" s="140" t="str">
        <f t="shared" si="8"/>
        <v>Monday</v>
      </c>
      <c r="C275" s="141" t="s">
        <v>231</v>
      </c>
      <c r="D275" s="141" t="s">
        <v>231</v>
      </c>
      <c r="E275" s="141" t="s">
        <v>231</v>
      </c>
      <c r="F275" s="141" t="s">
        <v>231</v>
      </c>
      <c r="G275" s="141" t="s">
        <v>231</v>
      </c>
      <c r="H275" s="141" t="s">
        <v>231</v>
      </c>
      <c r="I275" s="141" t="s">
        <v>231</v>
      </c>
      <c r="J275" s="141" t="s">
        <v>231</v>
      </c>
      <c r="K275" s="141" t="s">
        <v>231</v>
      </c>
      <c r="L275" s="141" t="s">
        <v>231</v>
      </c>
    </row>
    <row r="276" spans="1:12" ht="18" x14ac:dyDescent="0.3">
      <c r="A276" s="125">
        <f t="shared" si="9"/>
        <v>46497</v>
      </c>
      <c r="B276" s="140" t="str">
        <f t="shared" si="8"/>
        <v>Tuesday</v>
      </c>
      <c r="C276" s="141" t="s">
        <v>231</v>
      </c>
      <c r="D276" s="141" t="s">
        <v>231</v>
      </c>
      <c r="E276" s="141" t="s">
        <v>231</v>
      </c>
      <c r="F276" s="141" t="s">
        <v>231</v>
      </c>
      <c r="G276" s="141" t="s">
        <v>231</v>
      </c>
      <c r="H276" s="141" t="s">
        <v>231</v>
      </c>
      <c r="I276" s="141" t="s">
        <v>231</v>
      </c>
      <c r="J276" s="141" t="s">
        <v>231</v>
      </c>
      <c r="K276" s="141" t="s">
        <v>231</v>
      </c>
      <c r="L276" s="141" t="s">
        <v>231</v>
      </c>
    </row>
    <row r="277" spans="1:12" ht="18" x14ac:dyDescent="0.3">
      <c r="A277" s="125">
        <f t="shared" si="9"/>
        <v>46498</v>
      </c>
      <c r="B277" s="140" t="str">
        <f t="shared" si="8"/>
        <v>Wednesday</v>
      </c>
      <c r="C277" s="141" t="s">
        <v>231</v>
      </c>
      <c r="D277" s="141" t="s">
        <v>231</v>
      </c>
      <c r="E277" s="141" t="s">
        <v>231</v>
      </c>
      <c r="F277" s="141" t="s">
        <v>231</v>
      </c>
      <c r="G277" s="141" t="s">
        <v>231</v>
      </c>
      <c r="H277" s="141" t="s">
        <v>231</v>
      </c>
      <c r="I277" s="141" t="s">
        <v>231</v>
      </c>
      <c r="J277" s="141" t="s">
        <v>231</v>
      </c>
      <c r="K277" s="141" t="s">
        <v>231</v>
      </c>
      <c r="L277" s="141" t="s">
        <v>231</v>
      </c>
    </row>
    <row r="278" spans="1:12" ht="18" x14ac:dyDescent="0.3">
      <c r="A278" s="125">
        <f t="shared" si="9"/>
        <v>46499</v>
      </c>
      <c r="B278" s="140" t="str">
        <f t="shared" si="8"/>
        <v>Thursday</v>
      </c>
      <c r="C278" s="141" t="s">
        <v>231</v>
      </c>
      <c r="D278" s="141" t="s">
        <v>231</v>
      </c>
      <c r="E278" s="141" t="s">
        <v>231</v>
      </c>
      <c r="F278" s="141" t="s">
        <v>231</v>
      </c>
      <c r="G278" s="141" t="s">
        <v>231</v>
      </c>
      <c r="H278" s="141" t="s">
        <v>231</v>
      </c>
      <c r="I278" s="141" t="s">
        <v>231</v>
      </c>
      <c r="J278" s="141" t="s">
        <v>231</v>
      </c>
      <c r="K278" s="141" t="s">
        <v>231</v>
      </c>
      <c r="L278" s="141" t="s">
        <v>231</v>
      </c>
    </row>
    <row r="279" spans="1:12" ht="18" x14ac:dyDescent="0.3">
      <c r="A279" s="125">
        <f t="shared" si="9"/>
        <v>46500</v>
      </c>
      <c r="B279" s="140" t="str">
        <f t="shared" si="8"/>
        <v>Friday</v>
      </c>
      <c r="C279" s="141" t="s">
        <v>231</v>
      </c>
      <c r="D279" s="141" t="s">
        <v>231</v>
      </c>
      <c r="E279" s="141" t="s">
        <v>231</v>
      </c>
      <c r="F279" s="141" t="s">
        <v>231</v>
      </c>
      <c r="G279" s="141" t="s">
        <v>231</v>
      </c>
      <c r="H279" s="141" t="s">
        <v>231</v>
      </c>
      <c r="I279" s="141" t="s">
        <v>231</v>
      </c>
      <c r="J279" s="141" t="s">
        <v>231</v>
      </c>
      <c r="K279" s="141" t="s">
        <v>231</v>
      </c>
      <c r="L279" s="141" t="s">
        <v>231</v>
      </c>
    </row>
    <row r="280" spans="1:12" ht="18" x14ac:dyDescent="0.3">
      <c r="A280" s="125">
        <f t="shared" si="9"/>
        <v>46501</v>
      </c>
      <c r="B280" s="140" t="str">
        <f t="shared" si="8"/>
        <v>Saturday</v>
      </c>
      <c r="C280" s="141" t="s">
        <v>231</v>
      </c>
      <c r="D280" s="141" t="s">
        <v>231</v>
      </c>
      <c r="E280" s="141" t="s">
        <v>231</v>
      </c>
      <c r="F280" s="141" t="s">
        <v>231</v>
      </c>
      <c r="G280" s="141" t="s">
        <v>231</v>
      </c>
      <c r="H280" s="141" t="s">
        <v>231</v>
      </c>
      <c r="I280" s="141" t="s">
        <v>231</v>
      </c>
      <c r="J280" s="141" t="s">
        <v>231</v>
      </c>
      <c r="K280" s="141" t="s">
        <v>231</v>
      </c>
      <c r="L280" s="141" t="s">
        <v>231</v>
      </c>
    </row>
    <row r="281" spans="1:12" ht="18" x14ac:dyDescent="0.3">
      <c r="A281" s="125">
        <f t="shared" si="9"/>
        <v>46502</v>
      </c>
      <c r="B281" s="140" t="str">
        <f t="shared" si="8"/>
        <v>Sunday</v>
      </c>
      <c r="C281" s="141" t="s">
        <v>231</v>
      </c>
      <c r="D281" s="141" t="s">
        <v>231</v>
      </c>
      <c r="E281" s="141" t="s">
        <v>231</v>
      </c>
      <c r="F281" s="141" t="s">
        <v>231</v>
      </c>
      <c r="G281" s="141" t="s">
        <v>231</v>
      </c>
      <c r="H281" s="141" t="s">
        <v>231</v>
      </c>
      <c r="I281" s="141" t="s">
        <v>231</v>
      </c>
      <c r="J281" s="141" t="s">
        <v>231</v>
      </c>
      <c r="K281" s="141" t="s">
        <v>231</v>
      </c>
      <c r="L281" s="141" t="s">
        <v>231</v>
      </c>
    </row>
    <row r="282" spans="1:12" ht="18" x14ac:dyDescent="0.3">
      <c r="A282" s="125">
        <f t="shared" si="9"/>
        <v>46503</v>
      </c>
      <c r="B282" s="140" t="str">
        <f t="shared" si="8"/>
        <v>Monday</v>
      </c>
      <c r="C282" s="141" t="s">
        <v>231</v>
      </c>
      <c r="D282" s="141" t="s">
        <v>231</v>
      </c>
      <c r="E282" s="141" t="s">
        <v>231</v>
      </c>
      <c r="F282" s="141" t="s">
        <v>231</v>
      </c>
      <c r="G282" s="141" t="s">
        <v>231</v>
      </c>
      <c r="H282" s="141" t="s">
        <v>231</v>
      </c>
      <c r="I282" s="141" t="s">
        <v>231</v>
      </c>
      <c r="J282" s="141" t="s">
        <v>231</v>
      </c>
      <c r="K282" s="141" t="s">
        <v>231</v>
      </c>
      <c r="L282" s="141" t="s">
        <v>231</v>
      </c>
    </row>
    <row r="283" spans="1:12" ht="18" x14ac:dyDescent="0.3">
      <c r="A283" s="125">
        <f t="shared" si="9"/>
        <v>46504</v>
      </c>
      <c r="B283" s="140" t="str">
        <f t="shared" si="8"/>
        <v>Tuesday</v>
      </c>
      <c r="C283" s="141" t="s">
        <v>231</v>
      </c>
      <c r="D283" s="141" t="s">
        <v>231</v>
      </c>
      <c r="E283" s="141" t="s">
        <v>231</v>
      </c>
      <c r="F283" s="141" t="s">
        <v>231</v>
      </c>
      <c r="G283" s="141" t="s">
        <v>231</v>
      </c>
      <c r="H283" s="141" t="s">
        <v>231</v>
      </c>
      <c r="I283" s="141" t="s">
        <v>231</v>
      </c>
      <c r="J283" s="141" t="s">
        <v>231</v>
      </c>
      <c r="K283" s="141" t="s">
        <v>231</v>
      </c>
      <c r="L283" s="141" t="s">
        <v>231</v>
      </c>
    </row>
    <row r="284" spans="1:12" ht="18" x14ac:dyDescent="0.3">
      <c r="A284" s="125">
        <f t="shared" si="9"/>
        <v>46505</v>
      </c>
      <c r="B284" s="140" t="str">
        <f t="shared" si="8"/>
        <v>Wednesday</v>
      </c>
      <c r="C284" s="141" t="s">
        <v>231</v>
      </c>
      <c r="D284" s="141" t="s">
        <v>231</v>
      </c>
      <c r="E284" s="141" t="s">
        <v>231</v>
      </c>
      <c r="F284" s="141" t="s">
        <v>231</v>
      </c>
      <c r="G284" s="141" t="s">
        <v>231</v>
      </c>
      <c r="H284" s="141" t="s">
        <v>231</v>
      </c>
      <c r="I284" s="141" t="s">
        <v>231</v>
      </c>
      <c r="J284" s="141" t="s">
        <v>231</v>
      </c>
      <c r="K284" s="141" t="s">
        <v>231</v>
      </c>
      <c r="L284" s="141" t="s">
        <v>231</v>
      </c>
    </row>
    <row r="285" spans="1:12" ht="18" x14ac:dyDescent="0.3">
      <c r="A285" s="125">
        <f t="shared" si="9"/>
        <v>46506</v>
      </c>
      <c r="B285" s="140" t="str">
        <f t="shared" si="8"/>
        <v>Thursday</v>
      </c>
      <c r="C285" s="141" t="s">
        <v>231</v>
      </c>
      <c r="D285" s="141" t="s">
        <v>231</v>
      </c>
      <c r="E285" s="141" t="s">
        <v>231</v>
      </c>
      <c r="F285" s="141" t="s">
        <v>231</v>
      </c>
      <c r="G285" s="141" t="s">
        <v>231</v>
      </c>
      <c r="H285" s="141" t="s">
        <v>231</v>
      </c>
      <c r="I285" s="141" t="s">
        <v>231</v>
      </c>
      <c r="J285" s="141" t="s">
        <v>231</v>
      </c>
      <c r="K285" s="141" t="s">
        <v>231</v>
      </c>
      <c r="L285" s="141" t="s">
        <v>231</v>
      </c>
    </row>
    <row r="286" spans="1:12" ht="18" x14ac:dyDescent="0.3">
      <c r="A286" s="125">
        <f t="shared" si="9"/>
        <v>46507</v>
      </c>
      <c r="B286" s="140" t="str">
        <f t="shared" si="8"/>
        <v>Friday</v>
      </c>
      <c r="C286" s="141" t="s">
        <v>231</v>
      </c>
      <c r="D286" s="141" t="s">
        <v>231</v>
      </c>
      <c r="E286" s="141" t="s">
        <v>231</v>
      </c>
      <c r="F286" s="141" t="s">
        <v>231</v>
      </c>
      <c r="G286" s="141" t="s">
        <v>231</v>
      </c>
      <c r="H286" s="141" t="s">
        <v>231</v>
      </c>
      <c r="I286" s="141" t="s">
        <v>231</v>
      </c>
      <c r="J286" s="141" t="s">
        <v>231</v>
      </c>
      <c r="K286" s="141" t="s">
        <v>231</v>
      </c>
      <c r="L286" s="141" t="s">
        <v>231</v>
      </c>
    </row>
    <row r="287" spans="1:12" ht="18" x14ac:dyDescent="0.3">
      <c r="A287" s="125">
        <f t="shared" si="9"/>
        <v>46508</v>
      </c>
      <c r="B287" s="140" t="str">
        <f t="shared" si="8"/>
        <v>Saturday</v>
      </c>
      <c r="C287" s="141" t="s">
        <v>231</v>
      </c>
      <c r="D287" s="141" t="s">
        <v>231</v>
      </c>
      <c r="E287" s="141" t="s">
        <v>231</v>
      </c>
      <c r="F287" s="141" t="s">
        <v>231</v>
      </c>
      <c r="G287" s="141" t="s">
        <v>231</v>
      </c>
      <c r="H287" s="141" t="s">
        <v>231</v>
      </c>
      <c r="I287" s="141" t="s">
        <v>231</v>
      </c>
      <c r="J287" s="141" t="s">
        <v>231</v>
      </c>
      <c r="K287" s="141" t="s">
        <v>231</v>
      </c>
      <c r="L287" s="141" t="s">
        <v>231</v>
      </c>
    </row>
    <row r="288" spans="1:12" ht="18" x14ac:dyDescent="0.3">
      <c r="A288" s="125">
        <f t="shared" si="9"/>
        <v>46509</v>
      </c>
      <c r="B288" s="140" t="str">
        <f t="shared" si="8"/>
        <v>Sunday</v>
      </c>
      <c r="C288" s="141" t="s">
        <v>231</v>
      </c>
      <c r="D288" s="141" t="s">
        <v>231</v>
      </c>
      <c r="E288" s="141" t="s">
        <v>231</v>
      </c>
      <c r="F288" s="141" t="s">
        <v>231</v>
      </c>
      <c r="G288" s="141" t="s">
        <v>231</v>
      </c>
      <c r="H288" s="141" t="s">
        <v>231</v>
      </c>
      <c r="I288" s="141" t="s">
        <v>231</v>
      </c>
      <c r="J288" s="141" t="s">
        <v>231</v>
      </c>
      <c r="K288" s="141" t="s">
        <v>231</v>
      </c>
      <c r="L288" s="141" t="s">
        <v>231</v>
      </c>
    </row>
    <row r="289" spans="1:12" ht="18" x14ac:dyDescent="0.3">
      <c r="A289" s="125">
        <f t="shared" si="9"/>
        <v>46510</v>
      </c>
      <c r="B289" s="140" t="str">
        <f t="shared" si="8"/>
        <v>Monday</v>
      </c>
      <c r="C289" s="141" t="s">
        <v>231</v>
      </c>
      <c r="D289" s="141" t="s">
        <v>231</v>
      </c>
      <c r="E289" s="141" t="s">
        <v>231</v>
      </c>
      <c r="F289" s="141" t="s">
        <v>231</v>
      </c>
      <c r="G289" s="141" t="s">
        <v>231</v>
      </c>
      <c r="H289" s="141" t="s">
        <v>231</v>
      </c>
      <c r="I289" s="141" t="s">
        <v>231</v>
      </c>
      <c r="J289" s="141" t="s">
        <v>231</v>
      </c>
      <c r="K289" s="141" t="s">
        <v>231</v>
      </c>
      <c r="L289" s="141" t="s">
        <v>231</v>
      </c>
    </row>
    <row r="290" spans="1:12" ht="18" x14ac:dyDescent="0.3">
      <c r="A290" s="125">
        <f t="shared" si="9"/>
        <v>46511</v>
      </c>
      <c r="B290" s="140" t="str">
        <f t="shared" si="8"/>
        <v>Tuesday</v>
      </c>
      <c r="C290" s="141" t="s">
        <v>231</v>
      </c>
      <c r="D290" s="141" t="s">
        <v>231</v>
      </c>
      <c r="E290" s="141" t="s">
        <v>231</v>
      </c>
      <c r="F290" s="141" t="s">
        <v>231</v>
      </c>
      <c r="G290" s="141" t="s">
        <v>231</v>
      </c>
      <c r="H290" s="141" t="s">
        <v>231</v>
      </c>
      <c r="I290" s="141" t="s">
        <v>231</v>
      </c>
      <c r="J290" s="141" t="s">
        <v>231</v>
      </c>
      <c r="K290" s="141" t="s">
        <v>231</v>
      </c>
      <c r="L290" s="141" t="s">
        <v>231</v>
      </c>
    </row>
    <row r="291" spans="1:12" ht="18" x14ac:dyDescent="0.3">
      <c r="A291" s="125">
        <f t="shared" si="9"/>
        <v>46512</v>
      </c>
      <c r="B291" s="140" t="str">
        <f t="shared" si="8"/>
        <v>Wednesday</v>
      </c>
      <c r="C291" s="141" t="s">
        <v>231</v>
      </c>
      <c r="D291" s="141" t="s">
        <v>231</v>
      </c>
      <c r="E291" s="141" t="s">
        <v>231</v>
      </c>
      <c r="F291" s="141" t="s">
        <v>231</v>
      </c>
      <c r="G291" s="141" t="s">
        <v>231</v>
      </c>
      <c r="H291" s="141" t="s">
        <v>231</v>
      </c>
      <c r="I291" s="141" t="s">
        <v>231</v>
      </c>
      <c r="J291" s="141" t="s">
        <v>231</v>
      </c>
      <c r="K291" s="141" t="s">
        <v>231</v>
      </c>
      <c r="L291" s="141" t="s">
        <v>231</v>
      </c>
    </row>
    <row r="292" spans="1:12" ht="18" x14ac:dyDescent="0.3">
      <c r="A292" s="125">
        <f t="shared" si="9"/>
        <v>46513</v>
      </c>
      <c r="B292" s="140" t="str">
        <f t="shared" si="8"/>
        <v>Thursday</v>
      </c>
      <c r="C292" s="141" t="s">
        <v>231</v>
      </c>
      <c r="D292" s="141" t="s">
        <v>231</v>
      </c>
      <c r="E292" s="141" t="s">
        <v>231</v>
      </c>
      <c r="F292" s="141" t="s">
        <v>231</v>
      </c>
      <c r="G292" s="141" t="s">
        <v>231</v>
      </c>
      <c r="H292" s="141" t="s">
        <v>231</v>
      </c>
      <c r="I292" s="141" t="s">
        <v>231</v>
      </c>
      <c r="J292" s="141" t="s">
        <v>231</v>
      </c>
      <c r="K292" s="141" t="s">
        <v>231</v>
      </c>
      <c r="L292" s="141" t="s">
        <v>231</v>
      </c>
    </row>
    <row r="293" spans="1:12" ht="18" x14ac:dyDescent="0.3">
      <c r="A293" s="125">
        <f t="shared" si="9"/>
        <v>46514</v>
      </c>
      <c r="B293" s="140" t="str">
        <f t="shared" si="8"/>
        <v>Friday</v>
      </c>
      <c r="C293" s="141" t="s">
        <v>231</v>
      </c>
      <c r="D293" s="141" t="s">
        <v>231</v>
      </c>
      <c r="E293" s="141" t="s">
        <v>231</v>
      </c>
      <c r="F293" s="141" t="s">
        <v>231</v>
      </c>
      <c r="G293" s="141" t="s">
        <v>231</v>
      </c>
      <c r="H293" s="141" t="s">
        <v>231</v>
      </c>
      <c r="I293" s="141" t="s">
        <v>231</v>
      </c>
      <c r="J293" s="141" t="s">
        <v>231</v>
      </c>
      <c r="K293" s="141" t="s">
        <v>231</v>
      </c>
      <c r="L293" s="141" t="s">
        <v>231</v>
      </c>
    </row>
    <row r="294" spans="1:12" ht="18" x14ac:dyDescent="0.3">
      <c r="A294" s="125">
        <f t="shared" si="9"/>
        <v>46515</v>
      </c>
      <c r="B294" s="140" t="str">
        <f t="shared" si="8"/>
        <v>Saturday</v>
      </c>
      <c r="C294" s="141" t="s">
        <v>231</v>
      </c>
      <c r="D294" s="141" t="s">
        <v>231</v>
      </c>
      <c r="E294" s="141" t="s">
        <v>231</v>
      </c>
      <c r="F294" s="141" t="s">
        <v>231</v>
      </c>
      <c r="G294" s="141" t="s">
        <v>231</v>
      </c>
      <c r="H294" s="141" t="s">
        <v>231</v>
      </c>
      <c r="I294" s="141" t="s">
        <v>231</v>
      </c>
      <c r="J294" s="141" t="s">
        <v>231</v>
      </c>
      <c r="K294" s="141" t="s">
        <v>231</v>
      </c>
      <c r="L294" s="141" t="s">
        <v>231</v>
      </c>
    </row>
    <row r="295" spans="1:12" ht="18" x14ac:dyDescent="0.3">
      <c r="A295" s="125">
        <f t="shared" si="9"/>
        <v>46516</v>
      </c>
      <c r="B295" s="140" t="str">
        <f t="shared" si="8"/>
        <v>Sunday</v>
      </c>
      <c r="C295" s="141" t="s">
        <v>231</v>
      </c>
      <c r="D295" s="141" t="s">
        <v>231</v>
      </c>
      <c r="E295" s="141" t="s">
        <v>231</v>
      </c>
      <c r="F295" s="141" t="s">
        <v>231</v>
      </c>
      <c r="G295" s="141" t="s">
        <v>231</v>
      </c>
      <c r="H295" s="141" t="s">
        <v>231</v>
      </c>
      <c r="I295" s="141" t="s">
        <v>231</v>
      </c>
      <c r="J295" s="141" t="s">
        <v>231</v>
      </c>
      <c r="K295" s="141" t="s">
        <v>231</v>
      </c>
      <c r="L295" s="141" t="s">
        <v>231</v>
      </c>
    </row>
    <row r="296" spans="1:12" ht="18" x14ac:dyDescent="0.3">
      <c r="A296" s="125">
        <f t="shared" si="9"/>
        <v>46517</v>
      </c>
      <c r="B296" s="140" t="str">
        <f t="shared" si="8"/>
        <v>Monday</v>
      </c>
      <c r="C296" s="141" t="s">
        <v>231</v>
      </c>
      <c r="D296" s="141" t="s">
        <v>231</v>
      </c>
      <c r="E296" s="141" t="s">
        <v>231</v>
      </c>
      <c r="F296" s="141" t="s">
        <v>231</v>
      </c>
      <c r="G296" s="141" t="s">
        <v>231</v>
      </c>
      <c r="H296" s="141" t="s">
        <v>231</v>
      </c>
      <c r="I296" s="141" t="s">
        <v>231</v>
      </c>
      <c r="J296" s="141" t="s">
        <v>231</v>
      </c>
      <c r="K296" s="141" t="s">
        <v>231</v>
      </c>
      <c r="L296" s="141" t="s">
        <v>231</v>
      </c>
    </row>
    <row r="297" spans="1:12" ht="18" x14ac:dyDescent="0.3">
      <c r="A297" s="125">
        <f t="shared" si="9"/>
        <v>46518</v>
      </c>
      <c r="B297" s="140" t="str">
        <f t="shared" si="8"/>
        <v>Tuesday</v>
      </c>
      <c r="C297" s="141" t="s">
        <v>231</v>
      </c>
      <c r="D297" s="141" t="s">
        <v>231</v>
      </c>
      <c r="E297" s="141" t="s">
        <v>231</v>
      </c>
      <c r="F297" s="141" t="s">
        <v>231</v>
      </c>
      <c r="G297" s="141" t="s">
        <v>231</v>
      </c>
      <c r="H297" s="141" t="s">
        <v>231</v>
      </c>
      <c r="I297" s="141" t="s">
        <v>231</v>
      </c>
      <c r="J297" s="141" t="s">
        <v>231</v>
      </c>
      <c r="K297" s="141" t="s">
        <v>231</v>
      </c>
      <c r="L297" s="141" t="s">
        <v>231</v>
      </c>
    </row>
    <row r="298" spans="1:12" ht="18" x14ac:dyDescent="0.3">
      <c r="A298" s="125">
        <f t="shared" si="9"/>
        <v>46519</v>
      </c>
      <c r="B298" s="140" t="str">
        <f t="shared" si="8"/>
        <v>Wednesday</v>
      </c>
      <c r="C298" s="141" t="s">
        <v>231</v>
      </c>
      <c r="D298" s="141" t="s">
        <v>231</v>
      </c>
      <c r="E298" s="141" t="s">
        <v>231</v>
      </c>
      <c r="F298" s="141" t="s">
        <v>231</v>
      </c>
      <c r="G298" s="141" t="s">
        <v>231</v>
      </c>
      <c r="H298" s="141" t="s">
        <v>231</v>
      </c>
      <c r="I298" s="141" t="s">
        <v>231</v>
      </c>
      <c r="J298" s="141" t="s">
        <v>231</v>
      </c>
      <c r="K298" s="141" t="s">
        <v>231</v>
      </c>
      <c r="L298" s="141" t="s">
        <v>231</v>
      </c>
    </row>
    <row r="299" spans="1:12" ht="18" x14ac:dyDescent="0.3">
      <c r="A299" s="125">
        <f t="shared" si="9"/>
        <v>46520</v>
      </c>
      <c r="B299" s="140" t="str">
        <f t="shared" si="8"/>
        <v>Thursday</v>
      </c>
      <c r="C299" s="141" t="s">
        <v>231</v>
      </c>
      <c r="D299" s="141" t="s">
        <v>231</v>
      </c>
      <c r="E299" s="141" t="s">
        <v>231</v>
      </c>
      <c r="F299" s="141" t="s">
        <v>231</v>
      </c>
      <c r="G299" s="141" t="s">
        <v>231</v>
      </c>
      <c r="H299" s="141" t="s">
        <v>231</v>
      </c>
      <c r="I299" s="141" t="s">
        <v>231</v>
      </c>
      <c r="J299" s="141" t="s">
        <v>231</v>
      </c>
      <c r="K299" s="141" t="s">
        <v>231</v>
      </c>
      <c r="L299" s="141" t="s">
        <v>231</v>
      </c>
    </row>
    <row r="300" spans="1:12" ht="18" x14ac:dyDescent="0.3">
      <c r="A300" s="125">
        <f t="shared" si="9"/>
        <v>46521</v>
      </c>
      <c r="B300" s="140" t="str">
        <f t="shared" si="8"/>
        <v>Friday</v>
      </c>
      <c r="C300" s="141" t="s">
        <v>231</v>
      </c>
      <c r="D300" s="141" t="s">
        <v>231</v>
      </c>
      <c r="E300" s="141" t="s">
        <v>231</v>
      </c>
      <c r="F300" s="141" t="s">
        <v>231</v>
      </c>
      <c r="G300" s="141" t="s">
        <v>231</v>
      </c>
      <c r="H300" s="141" t="s">
        <v>231</v>
      </c>
      <c r="I300" s="141" t="s">
        <v>231</v>
      </c>
      <c r="J300" s="141" t="s">
        <v>231</v>
      </c>
      <c r="K300" s="141" t="s">
        <v>231</v>
      </c>
      <c r="L300" s="141" t="s">
        <v>231</v>
      </c>
    </row>
    <row r="301" spans="1:12" ht="18" x14ac:dyDescent="0.3">
      <c r="A301" s="125">
        <f t="shared" si="9"/>
        <v>46522</v>
      </c>
      <c r="B301" s="140" t="str">
        <f t="shared" si="8"/>
        <v>Saturday</v>
      </c>
      <c r="C301" s="141" t="s">
        <v>231</v>
      </c>
      <c r="D301" s="141" t="s">
        <v>231</v>
      </c>
      <c r="E301" s="141" t="s">
        <v>231</v>
      </c>
      <c r="F301" s="141" t="s">
        <v>231</v>
      </c>
      <c r="G301" s="141" t="s">
        <v>231</v>
      </c>
      <c r="H301" s="141" t="s">
        <v>231</v>
      </c>
      <c r="I301" s="141" t="s">
        <v>231</v>
      </c>
      <c r="J301" s="141" t="s">
        <v>231</v>
      </c>
      <c r="K301" s="141" t="s">
        <v>231</v>
      </c>
      <c r="L301" s="141" t="s">
        <v>231</v>
      </c>
    </row>
    <row r="302" spans="1:12" ht="18" x14ac:dyDescent="0.3">
      <c r="A302" s="125">
        <f t="shared" si="9"/>
        <v>46523</v>
      </c>
      <c r="B302" s="140" t="str">
        <f t="shared" si="8"/>
        <v>Sunday</v>
      </c>
      <c r="C302" s="141" t="s">
        <v>231</v>
      </c>
      <c r="D302" s="141" t="s">
        <v>231</v>
      </c>
      <c r="E302" s="141" t="s">
        <v>231</v>
      </c>
      <c r="F302" s="141" t="s">
        <v>231</v>
      </c>
      <c r="G302" s="141" t="s">
        <v>231</v>
      </c>
      <c r="H302" s="141" t="s">
        <v>231</v>
      </c>
      <c r="I302" s="141" t="s">
        <v>231</v>
      </c>
      <c r="J302" s="141" t="s">
        <v>231</v>
      </c>
      <c r="K302" s="141" t="s">
        <v>231</v>
      </c>
      <c r="L302" s="141" t="s">
        <v>231</v>
      </c>
    </row>
    <row r="303" spans="1:12" ht="18" x14ac:dyDescent="0.3">
      <c r="A303" s="125">
        <f t="shared" si="9"/>
        <v>46524</v>
      </c>
      <c r="B303" s="140" t="str">
        <f t="shared" si="8"/>
        <v>Monday</v>
      </c>
      <c r="C303" s="141" t="s">
        <v>231</v>
      </c>
      <c r="D303" s="141" t="s">
        <v>231</v>
      </c>
      <c r="E303" s="141" t="s">
        <v>231</v>
      </c>
      <c r="F303" s="141" t="s">
        <v>231</v>
      </c>
      <c r="G303" s="141" t="s">
        <v>231</v>
      </c>
      <c r="H303" s="141" t="s">
        <v>231</v>
      </c>
      <c r="I303" s="141" t="s">
        <v>231</v>
      </c>
      <c r="J303" s="141" t="s">
        <v>231</v>
      </c>
      <c r="K303" s="141" t="s">
        <v>231</v>
      </c>
      <c r="L303" s="141" t="s">
        <v>231</v>
      </c>
    </row>
    <row r="304" spans="1:12" ht="18" x14ac:dyDescent="0.3">
      <c r="A304" s="125">
        <f t="shared" si="9"/>
        <v>46525</v>
      </c>
      <c r="B304" s="140" t="str">
        <f t="shared" si="8"/>
        <v>Tuesday</v>
      </c>
      <c r="C304" s="141" t="s">
        <v>231</v>
      </c>
      <c r="D304" s="141" t="s">
        <v>231</v>
      </c>
      <c r="E304" s="141" t="s">
        <v>231</v>
      </c>
      <c r="F304" s="141" t="s">
        <v>231</v>
      </c>
      <c r="G304" s="141" t="s">
        <v>231</v>
      </c>
      <c r="H304" s="141" t="s">
        <v>231</v>
      </c>
      <c r="I304" s="141" t="s">
        <v>231</v>
      </c>
      <c r="J304" s="141" t="s">
        <v>231</v>
      </c>
      <c r="K304" s="141" t="s">
        <v>231</v>
      </c>
      <c r="L304" s="141" t="s">
        <v>231</v>
      </c>
    </row>
    <row r="305" spans="1:12" ht="18" x14ac:dyDescent="0.3">
      <c r="A305" s="125">
        <f t="shared" si="9"/>
        <v>46526</v>
      </c>
      <c r="B305" s="140" t="str">
        <f t="shared" si="8"/>
        <v>Wednesday</v>
      </c>
      <c r="C305" s="141" t="s">
        <v>231</v>
      </c>
      <c r="D305" s="141" t="s">
        <v>231</v>
      </c>
      <c r="E305" s="141" t="s">
        <v>231</v>
      </c>
      <c r="F305" s="141" t="s">
        <v>231</v>
      </c>
      <c r="G305" s="141" t="s">
        <v>231</v>
      </c>
      <c r="H305" s="141" t="s">
        <v>231</v>
      </c>
      <c r="I305" s="141" t="s">
        <v>231</v>
      </c>
      <c r="J305" s="141" t="s">
        <v>231</v>
      </c>
      <c r="K305" s="141" t="s">
        <v>231</v>
      </c>
      <c r="L305" s="141" t="s">
        <v>231</v>
      </c>
    </row>
    <row r="306" spans="1:12" ht="18" x14ac:dyDescent="0.3">
      <c r="A306" s="125">
        <f t="shared" si="9"/>
        <v>46527</v>
      </c>
      <c r="B306" s="140" t="str">
        <f t="shared" si="8"/>
        <v>Thursday</v>
      </c>
      <c r="C306" s="141" t="s">
        <v>231</v>
      </c>
      <c r="D306" s="141" t="s">
        <v>231</v>
      </c>
      <c r="E306" s="141" t="s">
        <v>231</v>
      </c>
      <c r="F306" s="141" t="s">
        <v>231</v>
      </c>
      <c r="G306" s="141" t="s">
        <v>231</v>
      </c>
      <c r="H306" s="141" t="s">
        <v>231</v>
      </c>
      <c r="I306" s="141" t="s">
        <v>231</v>
      </c>
      <c r="J306" s="141" t="s">
        <v>231</v>
      </c>
      <c r="K306" s="141" t="s">
        <v>231</v>
      </c>
      <c r="L306" s="141" t="s">
        <v>231</v>
      </c>
    </row>
    <row r="307" spans="1:12" ht="18" x14ac:dyDescent="0.3">
      <c r="A307" s="125">
        <f t="shared" si="9"/>
        <v>46528</v>
      </c>
      <c r="B307" s="140" t="str">
        <f t="shared" si="8"/>
        <v>Friday</v>
      </c>
      <c r="C307" s="141" t="s">
        <v>231</v>
      </c>
      <c r="D307" s="141" t="s">
        <v>231</v>
      </c>
      <c r="E307" s="141" t="s">
        <v>231</v>
      </c>
      <c r="F307" s="141" t="s">
        <v>231</v>
      </c>
      <c r="G307" s="141" t="s">
        <v>231</v>
      </c>
      <c r="H307" s="141" t="s">
        <v>231</v>
      </c>
      <c r="I307" s="141" t="s">
        <v>231</v>
      </c>
      <c r="J307" s="141" t="s">
        <v>231</v>
      </c>
      <c r="K307" s="141" t="s">
        <v>231</v>
      </c>
      <c r="L307" s="141" t="s">
        <v>231</v>
      </c>
    </row>
    <row r="308" spans="1:12" ht="18" x14ac:dyDescent="0.3">
      <c r="A308" s="125">
        <f t="shared" si="9"/>
        <v>46529</v>
      </c>
      <c r="B308" s="140" t="str">
        <f t="shared" si="8"/>
        <v>Saturday</v>
      </c>
      <c r="C308" s="141" t="s">
        <v>231</v>
      </c>
      <c r="D308" s="141" t="s">
        <v>231</v>
      </c>
      <c r="E308" s="141" t="s">
        <v>231</v>
      </c>
      <c r="F308" s="141" t="s">
        <v>231</v>
      </c>
      <c r="G308" s="141" t="s">
        <v>231</v>
      </c>
      <c r="H308" s="141" t="s">
        <v>231</v>
      </c>
      <c r="I308" s="141" t="s">
        <v>231</v>
      </c>
      <c r="J308" s="141" t="s">
        <v>231</v>
      </c>
      <c r="K308" s="141" t="s">
        <v>231</v>
      </c>
      <c r="L308" s="141" t="s">
        <v>231</v>
      </c>
    </row>
    <row r="309" spans="1:12" ht="18" x14ac:dyDescent="0.3">
      <c r="A309" s="125">
        <f t="shared" si="9"/>
        <v>46530</v>
      </c>
      <c r="B309" s="140" t="str">
        <f t="shared" si="8"/>
        <v>Sunday</v>
      </c>
      <c r="C309" s="141" t="s">
        <v>231</v>
      </c>
      <c r="D309" s="141" t="s">
        <v>231</v>
      </c>
      <c r="E309" s="141" t="s">
        <v>231</v>
      </c>
      <c r="F309" s="141" t="s">
        <v>231</v>
      </c>
      <c r="G309" s="141" t="s">
        <v>231</v>
      </c>
      <c r="H309" s="141" t="s">
        <v>231</v>
      </c>
      <c r="I309" s="141" t="s">
        <v>231</v>
      </c>
      <c r="J309" s="141" t="s">
        <v>231</v>
      </c>
      <c r="K309" s="141" t="s">
        <v>231</v>
      </c>
      <c r="L309" s="141" t="s">
        <v>231</v>
      </c>
    </row>
    <row r="310" spans="1:12" ht="18" x14ac:dyDescent="0.3">
      <c r="A310" s="125">
        <f t="shared" si="9"/>
        <v>46531</v>
      </c>
      <c r="B310" s="140" t="str">
        <f t="shared" si="8"/>
        <v>Monday</v>
      </c>
      <c r="C310" s="141" t="s">
        <v>231</v>
      </c>
      <c r="D310" s="141" t="s">
        <v>231</v>
      </c>
      <c r="E310" s="141" t="s">
        <v>231</v>
      </c>
      <c r="F310" s="141" t="s">
        <v>231</v>
      </c>
      <c r="G310" s="141" t="s">
        <v>231</v>
      </c>
      <c r="H310" s="141" t="s">
        <v>231</v>
      </c>
      <c r="I310" s="141" t="s">
        <v>231</v>
      </c>
      <c r="J310" s="141" t="s">
        <v>231</v>
      </c>
      <c r="K310" s="141" t="s">
        <v>231</v>
      </c>
      <c r="L310" s="141" t="s">
        <v>231</v>
      </c>
    </row>
    <row r="311" spans="1:12" ht="18" x14ac:dyDescent="0.3">
      <c r="A311" s="125">
        <f t="shared" si="9"/>
        <v>46532</v>
      </c>
      <c r="B311" s="140" t="str">
        <f t="shared" si="8"/>
        <v>Tuesday</v>
      </c>
      <c r="C311" s="141" t="s">
        <v>231</v>
      </c>
      <c r="D311" s="141" t="s">
        <v>231</v>
      </c>
      <c r="E311" s="141" t="s">
        <v>231</v>
      </c>
      <c r="F311" s="141" t="s">
        <v>231</v>
      </c>
      <c r="G311" s="141" t="s">
        <v>231</v>
      </c>
      <c r="H311" s="141" t="s">
        <v>231</v>
      </c>
      <c r="I311" s="141" t="s">
        <v>231</v>
      </c>
      <c r="J311" s="141" t="s">
        <v>231</v>
      </c>
      <c r="K311" s="141" t="s">
        <v>231</v>
      </c>
      <c r="L311" s="141" t="s">
        <v>231</v>
      </c>
    </row>
    <row r="312" spans="1:12" ht="18" x14ac:dyDescent="0.3">
      <c r="A312" s="125">
        <f t="shared" si="9"/>
        <v>46533</v>
      </c>
      <c r="B312" s="140" t="str">
        <f t="shared" si="8"/>
        <v>Wednesday</v>
      </c>
      <c r="C312" s="141" t="s">
        <v>231</v>
      </c>
      <c r="D312" s="141" t="s">
        <v>231</v>
      </c>
      <c r="E312" s="141" t="s">
        <v>231</v>
      </c>
      <c r="F312" s="141" t="s">
        <v>231</v>
      </c>
      <c r="G312" s="141" t="s">
        <v>231</v>
      </c>
      <c r="H312" s="141" t="s">
        <v>231</v>
      </c>
      <c r="I312" s="141" t="s">
        <v>231</v>
      </c>
      <c r="J312" s="141" t="s">
        <v>231</v>
      </c>
      <c r="K312" s="141" t="s">
        <v>231</v>
      </c>
      <c r="L312" s="141" t="s">
        <v>231</v>
      </c>
    </row>
    <row r="313" spans="1:12" ht="18" x14ac:dyDescent="0.3">
      <c r="A313" s="125">
        <f t="shared" si="9"/>
        <v>46534</v>
      </c>
      <c r="B313" s="140" t="str">
        <f t="shared" si="8"/>
        <v>Thursday</v>
      </c>
      <c r="C313" s="141" t="s">
        <v>231</v>
      </c>
      <c r="D313" s="141" t="s">
        <v>231</v>
      </c>
      <c r="E313" s="141" t="s">
        <v>231</v>
      </c>
      <c r="F313" s="141" t="s">
        <v>231</v>
      </c>
      <c r="G313" s="141" t="s">
        <v>231</v>
      </c>
      <c r="H313" s="141" t="s">
        <v>231</v>
      </c>
      <c r="I313" s="141" t="s">
        <v>231</v>
      </c>
      <c r="J313" s="141" t="s">
        <v>231</v>
      </c>
      <c r="K313" s="141" t="s">
        <v>231</v>
      </c>
      <c r="L313" s="141" t="s">
        <v>231</v>
      </c>
    </row>
    <row r="314" spans="1:12" ht="18" x14ac:dyDescent="0.3">
      <c r="A314" s="125">
        <f t="shared" si="9"/>
        <v>46535</v>
      </c>
      <c r="B314" s="140" t="str">
        <f t="shared" si="8"/>
        <v>Friday</v>
      </c>
      <c r="C314" s="141" t="s">
        <v>231</v>
      </c>
      <c r="D314" s="141" t="s">
        <v>231</v>
      </c>
      <c r="E314" s="141" t="s">
        <v>231</v>
      </c>
      <c r="F314" s="141" t="s">
        <v>231</v>
      </c>
      <c r="G314" s="141" t="s">
        <v>231</v>
      </c>
      <c r="H314" s="141" t="s">
        <v>231</v>
      </c>
      <c r="I314" s="141" t="s">
        <v>231</v>
      </c>
      <c r="J314" s="141" t="s">
        <v>231</v>
      </c>
      <c r="K314" s="141" t="s">
        <v>231</v>
      </c>
      <c r="L314" s="141" t="s">
        <v>231</v>
      </c>
    </row>
    <row r="315" spans="1:12" ht="18" x14ac:dyDescent="0.3">
      <c r="A315" s="125">
        <f t="shared" si="9"/>
        <v>46536</v>
      </c>
      <c r="B315" s="140" t="str">
        <f t="shared" si="8"/>
        <v>Saturday</v>
      </c>
      <c r="C315" s="141" t="s">
        <v>231</v>
      </c>
      <c r="D315" s="141" t="s">
        <v>231</v>
      </c>
      <c r="E315" s="141" t="s">
        <v>231</v>
      </c>
      <c r="F315" s="141" t="s">
        <v>231</v>
      </c>
      <c r="G315" s="141" t="s">
        <v>231</v>
      </c>
      <c r="H315" s="141" t="s">
        <v>231</v>
      </c>
      <c r="I315" s="141" t="s">
        <v>231</v>
      </c>
      <c r="J315" s="141" t="s">
        <v>231</v>
      </c>
      <c r="K315" s="141" t="s">
        <v>231</v>
      </c>
      <c r="L315" s="141" t="s">
        <v>231</v>
      </c>
    </row>
    <row r="316" spans="1:12" ht="18" x14ac:dyDescent="0.3">
      <c r="A316" s="125">
        <f t="shared" si="9"/>
        <v>46537</v>
      </c>
      <c r="B316" s="140" t="str">
        <f t="shared" si="8"/>
        <v>Sunday</v>
      </c>
      <c r="C316" s="141" t="s">
        <v>231</v>
      </c>
      <c r="D316" s="141" t="s">
        <v>231</v>
      </c>
      <c r="E316" s="141" t="s">
        <v>231</v>
      </c>
      <c r="F316" s="141" t="s">
        <v>231</v>
      </c>
      <c r="G316" s="141" t="s">
        <v>231</v>
      </c>
      <c r="H316" s="141" t="s">
        <v>231</v>
      </c>
      <c r="I316" s="141" t="s">
        <v>231</v>
      </c>
      <c r="J316" s="141" t="s">
        <v>231</v>
      </c>
      <c r="K316" s="141" t="s">
        <v>231</v>
      </c>
      <c r="L316" s="141" t="s">
        <v>231</v>
      </c>
    </row>
    <row r="317" spans="1:12" ht="18" x14ac:dyDescent="0.3">
      <c r="A317" s="125">
        <f t="shared" si="9"/>
        <v>46538</v>
      </c>
      <c r="B317" s="140" t="str">
        <f t="shared" si="8"/>
        <v>Monday</v>
      </c>
      <c r="C317" s="141" t="s">
        <v>231</v>
      </c>
      <c r="D317" s="141" t="s">
        <v>231</v>
      </c>
      <c r="E317" s="141" t="s">
        <v>231</v>
      </c>
      <c r="F317" s="141" t="s">
        <v>231</v>
      </c>
      <c r="G317" s="141" t="s">
        <v>231</v>
      </c>
      <c r="H317" s="141" t="s">
        <v>231</v>
      </c>
      <c r="I317" s="141" t="s">
        <v>231</v>
      </c>
      <c r="J317" s="141" t="s">
        <v>231</v>
      </c>
      <c r="K317" s="141" t="s">
        <v>231</v>
      </c>
      <c r="L317" s="141" t="s">
        <v>231</v>
      </c>
    </row>
    <row r="318" spans="1:12" ht="18" x14ac:dyDescent="0.3">
      <c r="A318" s="125">
        <f t="shared" si="9"/>
        <v>46539</v>
      </c>
      <c r="B318" s="140" t="str">
        <f t="shared" si="8"/>
        <v>Tuesday</v>
      </c>
      <c r="C318" s="141" t="s">
        <v>231</v>
      </c>
      <c r="D318" s="141" t="s">
        <v>231</v>
      </c>
      <c r="E318" s="141" t="s">
        <v>231</v>
      </c>
      <c r="F318" s="141" t="s">
        <v>231</v>
      </c>
      <c r="G318" s="141" t="s">
        <v>231</v>
      </c>
      <c r="H318" s="141" t="s">
        <v>231</v>
      </c>
      <c r="I318" s="141" t="s">
        <v>231</v>
      </c>
      <c r="J318" s="141" t="s">
        <v>231</v>
      </c>
      <c r="K318" s="141" t="s">
        <v>231</v>
      </c>
      <c r="L318" s="141" t="s">
        <v>231</v>
      </c>
    </row>
    <row r="319" spans="1:12" ht="18" x14ac:dyDescent="0.3">
      <c r="A319" s="125">
        <f t="shared" si="9"/>
        <v>46540</v>
      </c>
      <c r="B319" s="140" t="str">
        <f t="shared" si="8"/>
        <v>Wednesday</v>
      </c>
      <c r="C319" s="141" t="s">
        <v>231</v>
      </c>
      <c r="D319" s="141" t="s">
        <v>231</v>
      </c>
      <c r="E319" s="141" t="s">
        <v>231</v>
      </c>
      <c r="F319" s="141" t="s">
        <v>231</v>
      </c>
      <c r="G319" s="141" t="s">
        <v>231</v>
      </c>
      <c r="H319" s="141" t="s">
        <v>231</v>
      </c>
      <c r="I319" s="141" t="s">
        <v>231</v>
      </c>
      <c r="J319" s="141" t="s">
        <v>231</v>
      </c>
      <c r="K319" s="141" t="s">
        <v>231</v>
      </c>
      <c r="L319" s="141" t="s">
        <v>231</v>
      </c>
    </row>
    <row r="320" spans="1:12" ht="18" x14ac:dyDescent="0.3">
      <c r="A320" s="125">
        <f t="shared" si="9"/>
        <v>46541</v>
      </c>
      <c r="B320" s="140" t="str">
        <f t="shared" si="8"/>
        <v>Thursday</v>
      </c>
      <c r="C320" s="141" t="s">
        <v>231</v>
      </c>
      <c r="D320" s="141" t="s">
        <v>231</v>
      </c>
      <c r="E320" s="141" t="s">
        <v>231</v>
      </c>
      <c r="F320" s="141" t="s">
        <v>231</v>
      </c>
      <c r="G320" s="141" t="s">
        <v>231</v>
      </c>
      <c r="H320" s="141" t="s">
        <v>231</v>
      </c>
      <c r="I320" s="141" t="s">
        <v>231</v>
      </c>
      <c r="J320" s="141" t="s">
        <v>231</v>
      </c>
      <c r="K320" s="141" t="s">
        <v>231</v>
      </c>
      <c r="L320" s="141" t="s">
        <v>231</v>
      </c>
    </row>
    <row r="321" spans="1:12" ht="18" x14ac:dyDescent="0.3">
      <c r="A321" s="125">
        <f t="shared" si="9"/>
        <v>46542</v>
      </c>
      <c r="B321" s="140" t="str">
        <f t="shared" si="8"/>
        <v>Friday</v>
      </c>
      <c r="C321" s="141" t="s">
        <v>231</v>
      </c>
      <c r="D321" s="141" t="s">
        <v>231</v>
      </c>
      <c r="E321" s="141" t="s">
        <v>231</v>
      </c>
      <c r="F321" s="141" t="s">
        <v>231</v>
      </c>
      <c r="G321" s="141" t="s">
        <v>231</v>
      </c>
      <c r="H321" s="141" t="s">
        <v>231</v>
      </c>
      <c r="I321" s="141" t="s">
        <v>231</v>
      </c>
      <c r="J321" s="141" t="s">
        <v>231</v>
      </c>
      <c r="K321" s="141" t="s">
        <v>231</v>
      </c>
      <c r="L321" s="141" t="s">
        <v>231</v>
      </c>
    </row>
    <row r="322" spans="1:12" ht="18" x14ac:dyDescent="0.3">
      <c r="A322" s="125">
        <f t="shared" si="9"/>
        <v>46543</v>
      </c>
      <c r="B322" s="140" t="str">
        <f t="shared" ref="B322:B368" si="10">CHOOSE(WEEKDAY(A322,2),"Monday","Tuesday","Wednesday","Thursday","Friday","Saturday","Sunday")</f>
        <v>Saturday</v>
      </c>
      <c r="C322" s="141" t="s">
        <v>231</v>
      </c>
      <c r="D322" s="141" t="s">
        <v>231</v>
      </c>
      <c r="E322" s="141" t="s">
        <v>231</v>
      </c>
      <c r="F322" s="141" t="s">
        <v>231</v>
      </c>
      <c r="G322" s="141" t="s">
        <v>231</v>
      </c>
      <c r="H322" s="141" t="s">
        <v>231</v>
      </c>
      <c r="I322" s="141" t="s">
        <v>231</v>
      </c>
      <c r="J322" s="141" t="s">
        <v>231</v>
      </c>
      <c r="K322" s="141" t="s">
        <v>231</v>
      </c>
      <c r="L322" s="141" t="s">
        <v>231</v>
      </c>
    </row>
    <row r="323" spans="1:12" ht="18" x14ac:dyDescent="0.3">
      <c r="A323" s="125">
        <f t="shared" si="9"/>
        <v>46544</v>
      </c>
      <c r="B323" s="140" t="str">
        <f t="shared" si="10"/>
        <v>Sunday</v>
      </c>
      <c r="C323" s="141" t="s">
        <v>231</v>
      </c>
      <c r="D323" s="141" t="s">
        <v>231</v>
      </c>
      <c r="E323" s="141" t="s">
        <v>231</v>
      </c>
      <c r="F323" s="141" t="s">
        <v>231</v>
      </c>
      <c r="G323" s="141" t="s">
        <v>231</v>
      </c>
      <c r="H323" s="141" t="s">
        <v>231</v>
      </c>
      <c r="I323" s="141" t="s">
        <v>231</v>
      </c>
      <c r="J323" s="141" t="s">
        <v>231</v>
      </c>
      <c r="K323" s="141" t="s">
        <v>231</v>
      </c>
      <c r="L323" s="141" t="s">
        <v>231</v>
      </c>
    </row>
    <row r="324" spans="1:12" ht="18" x14ac:dyDescent="0.3">
      <c r="A324" s="125">
        <f t="shared" ref="A324:A368" si="11">A323+1</f>
        <v>46545</v>
      </c>
      <c r="B324" s="140" t="str">
        <f t="shared" si="10"/>
        <v>Monday</v>
      </c>
      <c r="C324" s="141" t="s">
        <v>231</v>
      </c>
      <c r="D324" s="141" t="s">
        <v>231</v>
      </c>
      <c r="E324" s="141" t="s">
        <v>231</v>
      </c>
      <c r="F324" s="141" t="s">
        <v>231</v>
      </c>
      <c r="G324" s="141" t="s">
        <v>231</v>
      </c>
      <c r="H324" s="141" t="s">
        <v>231</v>
      </c>
      <c r="I324" s="141" t="s">
        <v>231</v>
      </c>
      <c r="J324" s="141" t="s">
        <v>231</v>
      </c>
      <c r="K324" s="141" t="s">
        <v>231</v>
      </c>
      <c r="L324" s="141" t="s">
        <v>231</v>
      </c>
    </row>
    <row r="325" spans="1:12" ht="18" x14ac:dyDescent="0.3">
      <c r="A325" s="125">
        <f t="shared" si="11"/>
        <v>46546</v>
      </c>
      <c r="B325" s="140" t="str">
        <f t="shared" si="10"/>
        <v>Tuesday</v>
      </c>
      <c r="C325" s="141" t="s">
        <v>231</v>
      </c>
      <c r="D325" s="141" t="s">
        <v>231</v>
      </c>
      <c r="E325" s="141" t="s">
        <v>231</v>
      </c>
      <c r="F325" s="141" t="s">
        <v>231</v>
      </c>
      <c r="G325" s="141" t="s">
        <v>231</v>
      </c>
      <c r="H325" s="141" t="s">
        <v>231</v>
      </c>
      <c r="I325" s="141" t="s">
        <v>231</v>
      </c>
      <c r="J325" s="141" t="s">
        <v>231</v>
      </c>
      <c r="K325" s="141" t="s">
        <v>231</v>
      </c>
      <c r="L325" s="141" t="s">
        <v>231</v>
      </c>
    </row>
    <row r="326" spans="1:12" ht="18" x14ac:dyDescent="0.3">
      <c r="A326" s="125">
        <f t="shared" si="11"/>
        <v>46547</v>
      </c>
      <c r="B326" s="140" t="str">
        <f t="shared" si="10"/>
        <v>Wednesday</v>
      </c>
      <c r="C326" s="141" t="s">
        <v>231</v>
      </c>
      <c r="D326" s="141" t="s">
        <v>231</v>
      </c>
      <c r="E326" s="141" t="s">
        <v>231</v>
      </c>
      <c r="F326" s="141" t="s">
        <v>231</v>
      </c>
      <c r="G326" s="141" t="s">
        <v>231</v>
      </c>
      <c r="H326" s="141" t="s">
        <v>231</v>
      </c>
      <c r="I326" s="141" t="s">
        <v>231</v>
      </c>
      <c r="J326" s="141" t="s">
        <v>231</v>
      </c>
      <c r="K326" s="141" t="s">
        <v>231</v>
      </c>
      <c r="L326" s="141" t="s">
        <v>231</v>
      </c>
    </row>
    <row r="327" spans="1:12" ht="18" x14ac:dyDescent="0.3">
      <c r="A327" s="125">
        <f t="shared" si="11"/>
        <v>46548</v>
      </c>
      <c r="B327" s="140" t="str">
        <f t="shared" si="10"/>
        <v>Thursday</v>
      </c>
      <c r="C327" s="141" t="s">
        <v>231</v>
      </c>
      <c r="D327" s="141" t="s">
        <v>231</v>
      </c>
      <c r="E327" s="141" t="s">
        <v>231</v>
      </c>
      <c r="F327" s="141" t="s">
        <v>231</v>
      </c>
      <c r="G327" s="141" t="s">
        <v>231</v>
      </c>
      <c r="H327" s="141" t="s">
        <v>231</v>
      </c>
      <c r="I327" s="141" t="s">
        <v>231</v>
      </c>
      <c r="J327" s="141" t="s">
        <v>231</v>
      </c>
      <c r="K327" s="141" t="s">
        <v>231</v>
      </c>
      <c r="L327" s="141" t="s">
        <v>231</v>
      </c>
    </row>
    <row r="328" spans="1:12" ht="18" x14ac:dyDescent="0.3">
      <c r="A328" s="125">
        <f t="shared" si="11"/>
        <v>46549</v>
      </c>
      <c r="B328" s="140" t="str">
        <f t="shared" si="10"/>
        <v>Friday</v>
      </c>
      <c r="C328" s="141" t="s">
        <v>231</v>
      </c>
      <c r="D328" s="141" t="s">
        <v>231</v>
      </c>
      <c r="E328" s="141" t="s">
        <v>231</v>
      </c>
      <c r="F328" s="141" t="s">
        <v>231</v>
      </c>
      <c r="G328" s="141" t="s">
        <v>231</v>
      </c>
      <c r="H328" s="141" t="s">
        <v>231</v>
      </c>
      <c r="I328" s="141" t="s">
        <v>231</v>
      </c>
      <c r="J328" s="141" t="s">
        <v>231</v>
      </c>
      <c r="K328" s="141" t="s">
        <v>231</v>
      </c>
      <c r="L328" s="141" t="s">
        <v>231</v>
      </c>
    </row>
    <row r="329" spans="1:12" ht="18" x14ac:dyDescent="0.3">
      <c r="A329" s="125">
        <f t="shared" si="11"/>
        <v>46550</v>
      </c>
      <c r="B329" s="140" t="str">
        <f t="shared" si="10"/>
        <v>Saturday</v>
      </c>
      <c r="C329" s="141" t="s">
        <v>231</v>
      </c>
      <c r="D329" s="141" t="s">
        <v>231</v>
      </c>
      <c r="E329" s="141" t="s">
        <v>231</v>
      </c>
      <c r="F329" s="141" t="s">
        <v>231</v>
      </c>
      <c r="G329" s="141" t="s">
        <v>231</v>
      </c>
      <c r="H329" s="141" t="s">
        <v>231</v>
      </c>
      <c r="I329" s="141" t="s">
        <v>231</v>
      </c>
      <c r="J329" s="141" t="s">
        <v>231</v>
      </c>
      <c r="K329" s="141" t="s">
        <v>231</v>
      </c>
      <c r="L329" s="141" t="s">
        <v>231</v>
      </c>
    </row>
    <row r="330" spans="1:12" ht="18" x14ac:dyDescent="0.3">
      <c r="A330" s="125">
        <f t="shared" si="11"/>
        <v>46551</v>
      </c>
      <c r="B330" s="140" t="str">
        <f t="shared" si="10"/>
        <v>Sunday</v>
      </c>
      <c r="C330" s="141" t="s">
        <v>231</v>
      </c>
      <c r="D330" s="141" t="s">
        <v>231</v>
      </c>
      <c r="E330" s="141" t="s">
        <v>231</v>
      </c>
      <c r="F330" s="141" t="s">
        <v>231</v>
      </c>
      <c r="G330" s="141" t="s">
        <v>231</v>
      </c>
      <c r="H330" s="141" t="s">
        <v>231</v>
      </c>
      <c r="I330" s="141" t="s">
        <v>231</v>
      </c>
      <c r="J330" s="141" t="s">
        <v>231</v>
      </c>
      <c r="K330" s="141" t="s">
        <v>231</v>
      </c>
      <c r="L330" s="141" t="s">
        <v>231</v>
      </c>
    </row>
    <row r="331" spans="1:12" ht="18" x14ac:dyDescent="0.3">
      <c r="A331" s="125">
        <f t="shared" si="11"/>
        <v>46552</v>
      </c>
      <c r="B331" s="140" t="str">
        <f t="shared" si="10"/>
        <v>Monday</v>
      </c>
      <c r="C331" s="141" t="s">
        <v>231</v>
      </c>
      <c r="D331" s="141" t="s">
        <v>231</v>
      </c>
      <c r="E331" s="141" t="s">
        <v>231</v>
      </c>
      <c r="F331" s="141" t="s">
        <v>231</v>
      </c>
      <c r="G331" s="141" t="s">
        <v>231</v>
      </c>
      <c r="H331" s="141" t="s">
        <v>231</v>
      </c>
      <c r="I331" s="141" t="s">
        <v>231</v>
      </c>
      <c r="J331" s="141" t="s">
        <v>231</v>
      </c>
      <c r="K331" s="141" t="s">
        <v>231</v>
      </c>
      <c r="L331" s="141" t="s">
        <v>231</v>
      </c>
    </row>
    <row r="332" spans="1:12" ht="18" x14ac:dyDescent="0.3">
      <c r="A332" s="125">
        <f t="shared" si="11"/>
        <v>46553</v>
      </c>
      <c r="B332" s="140" t="str">
        <f t="shared" si="10"/>
        <v>Tuesday</v>
      </c>
      <c r="C332" s="141" t="s">
        <v>231</v>
      </c>
      <c r="D332" s="141" t="s">
        <v>231</v>
      </c>
      <c r="E332" s="141" t="s">
        <v>231</v>
      </c>
      <c r="F332" s="141" t="s">
        <v>231</v>
      </c>
      <c r="G332" s="141" t="s">
        <v>231</v>
      </c>
      <c r="H332" s="141" t="s">
        <v>231</v>
      </c>
      <c r="I332" s="141" t="s">
        <v>231</v>
      </c>
      <c r="J332" s="141" t="s">
        <v>231</v>
      </c>
      <c r="K332" s="141" t="s">
        <v>231</v>
      </c>
      <c r="L332" s="141" t="s">
        <v>231</v>
      </c>
    </row>
    <row r="333" spans="1:12" ht="18" x14ac:dyDescent="0.3">
      <c r="A333" s="125">
        <f t="shared" si="11"/>
        <v>46554</v>
      </c>
      <c r="B333" s="140" t="str">
        <f t="shared" si="10"/>
        <v>Wednesday</v>
      </c>
      <c r="C333" s="141" t="s">
        <v>231</v>
      </c>
      <c r="D333" s="141" t="s">
        <v>231</v>
      </c>
      <c r="E333" s="141" t="s">
        <v>231</v>
      </c>
      <c r="F333" s="141" t="s">
        <v>231</v>
      </c>
      <c r="G333" s="141" t="s">
        <v>231</v>
      </c>
      <c r="H333" s="141" t="s">
        <v>231</v>
      </c>
      <c r="I333" s="141" t="s">
        <v>231</v>
      </c>
      <c r="J333" s="141" t="s">
        <v>231</v>
      </c>
      <c r="K333" s="141" t="s">
        <v>231</v>
      </c>
      <c r="L333" s="141" t="s">
        <v>231</v>
      </c>
    </row>
    <row r="334" spans="1:12" ht="18" x14ac:dyDescent="0.3">
      <c r="A334" s="125">
        <f t="shared" si="11"/>
        <v>46555</v>
      </c>
      <c r="B334" s="140" t="str">
        <f t="shared" si="10"/>
        <v>Thursday</v>
      </c>
      <c r="C334" s="141" t="s">
        <v>231</v>
      </c>
      <c r="D334" s="141" t="s">
        <v>231</v>
      </c>
      <c r="E334" s="141" t="s">
        <v>231</v>
      </c>
      <c r="F334" s="141" t="s">
        <v>231</v>
      </c>
      <c r="G334" s="141" t="s">
        <v>231</v>
      </c>
      <c r="H334" s="141" t="s">
        <v>231</v>
      </c>
      <c r="I334" s="141" t="s">
        <v>231</v>
      </c>
      <c r="J334" s="141" t="s">
        <v>231</v>
      </c>
      <c r="K334" s="141" t="s">
        <v>231</v>
      </c>
      <c r="L334" s="141" t="s">
        <v>231</v>
      </c>
    </row>
    <row r="335" spans="1:12" ht="18" x14ac:dyDescent="0.3">
      <c r="A335" s="125">
        <f t="shared" si="11"/>
        <v>46556</v>
      </c>
      <c r="B335" s="140" t="str">
        <f t="shared" si="10"/>
        <v>Friday</v>
      </c>
      <c r="C335" s="141" t="s">
        <v>231</v>
      </c>
      <c r="D335" s="141" t="s">
        <v>231</v>
      </c>
      <c r="E335" s="141" t="s">
        <v>231</v>
      </c>
      <c r="F335" s="141" t="s">
        <v>231</v>
      </c>
      <c r="G335" s="141" t="s">
        <v>231</v>
      </c>
      <c r="H335" s="141" t="s">
        <v>231</v>
      </c>
      <c r="I335" s="141" t="s">
        <v>231</v>
      </c>
      <c r="J335" s="141" t="s">
        <v>231</v>
      </c>
      <c r="K335" s="141" t="s">
        <v>231</v>
      </c>
      <c r="L335" s="141" t="s">
        <v>231</v>
      </c>
    </row>
    <row r="336" spans="1:12" ht="18" x14ac:dyDescent="0.3">
      <c r="A336" s="125">
        <f t="shared" si="11"/>
        <v>46557</v>
      </c>
      <c r="B336" s="140" t="str">
        <f t="shared" si="10"/>
        <v>Saturday</v>
      </c>
      <c r="C336" s="141" t="s">
        <v>231</v>
      </c>
      <c r="D336" s="141" t="s">
        <v>231</v>
      </c>
      <c r="E336" s="141" t="s">
        <v>231</v>
      </c>
      <c r="F336" s="141" t="s">
        <v>231</v>
      </c>
      <c r="G336" s="141" t="s">
        <v>231</v>
      </c>
      <c r="H336" s="141" t="s">
        <v>231</v>
      </c>
      <c r="I336" s="141" t="s">
        <v>231</v>
      </c>
      <c r="J336" s="141" t="s">
        <v>231</v>
      </c>
      <c r="K336" s="141" t="s">
        <v>231</v>
      </c>
      <c r="L336" s="141" t="s">
        <v>231</v>
      </c>
    </row>
    <row r="337" spans="1:12" ht="18" x14ac:dyDescent="0.3">
      <c r="A337" s="125">
        <f t="shared" si="11"/>
        <v>46558</v>
      </c>
      <c r="B337" s="140" t="str">
        <f t="shared" si="10"/>
        <v>Sunday</v>
      </c>
      <c r="C337" s="141" t="s">
        <v>231</v>
      </c>
      <c r="D337" s="141" t="s">
        <v>231</v>
      </c>
      <c r="E337" s="141" t="s">
        <v>231</v>
      </c>
      <c r="F337" s="141" t="s">
        <v>231</v>
      </c>
      <c r="G337" s="141" t="s">
        <v>231</v>
      </c>
      <c r="H337" s="141" t="s">
        <v>231</v>
      </c>
      <c r="I337" s="141" t="s">
        <v>231</v>
      </c>
      <c r="J337" s="141" t="s">
        <v>231</v>
      </c>
      <c r="K337" s="141" t="s">
        <v>231</v>
      </c>
      <c r="L337" s="141" t="s">
        <v>231</v>
      </c>
    </row>
    <row r="338" spans="1:12" ht="18" x14ac:dyDescent="0.3">
      <c r="A338" s="125">
        <f t="shared" si="11"/>
        <v>46559</v>
      </c>
      <c r="B338" s="140" t="str">
        <f t="shared" si="10"/>
        <v>Monday</v>
      </c>
      <c r="C338" s="141" t="s">
        <v>231</v>
      </c>
      <c r="D338" s="141" t="s">
        <v>231</v>
      </c>
      <c r="E338" s="141" t="s">
        <v>231</v>
      </c>
      <c r="F338" s="141" t="s">
        <v>231</v>
      </c>
      <c r="G338" s="141" t="s">
        <v>231</v>
      </c>
      <c r="H338" s="141" t="s">
        <v>231</v>
      </c>
      <c r="I338" s="141" t="s">
        <v>231</v>
      </c>
      <c r="J338" s="141" t="s">
        <v>231</v>
      </c>
      <c r="K338" s="141" t="s">
        <v>231</v>
      </c>
      <c r="L338" s="141" t="s">
        <v>231</v>
      </c>
    </row>
    <row r="339" spans="1:12" ht="18" x14ac:dyDescent="0.3">
      <c r="A339" s="125">
        <f t="shared" si="11"/>
        <v>46560</v>
      </c>
      <c r="B339" s="140" t="str">
        <f t="shared" si="10"/>
        <v>Tuesday</v>
      </c>
      <c r="C339" s="141" t="s">
        <v>231</v>
      </c>
      <c r="D339" s="141" t="s">
        <v>231</v>
      </c>
      <c r="E339" s="141" t="s">
        <v>231</v>
      </c>
      <c r="F339" s="141" t="s">
        <v>231</v>
      </c>
      <c r="G339" s="141" t="s">
        <v>231</v>
      </c>
      <c r="H339" s="141" t="s">
        <v>231</v>
      </c>
      <c r="I339" s="141" t="s">
        <v>231</v>
      </c>
      <c r="J339" s="141" t="s">
        <v>231</v>
      </c>
      <c r="K339" s="141" t="s">
        <v>231</v>
      </c>
      <c r="L339" s="141" t="s">
        <v>231</v>
      </c>
    </row>
    <row r="340" spans="1:12" ht="18" x14ac:dyDescent="0.3">
      <c r="A340" s="125">
        <f t="shared" si="11"/>
        <v>46561</v>
      </c>
      <c r="B340" s="140" t="str">
        <f t="shared" si="10"/>
        <v>Wednesday</v>
      </c>
      <c r="C340" s="141" t="s">
        <v>231</v>
      </c>
      <c r="D340" s="141" t="s">
        <v>231</v>
      </c>
      <c r="E340" s="141" t="s">
        <v>231</v>
      </c>
      <c r="F340" s="141" t="s">
        <v>231</v>
      </c>
      <c r="G340" s="141" t="s">
        <v>231</v>
      </c>
      <c r="H340" s="141" t="s">
        <v>231</v>
      </c>
      <c r="I340" s="141" t="s">
        <v>231</v>
      </c>
      <c r="J340" s="141" t="s">
        <v>231</v>
      </c>
      <c r="K340" s="141" t="s">
        <v>231</v>
      </c>
      <c r="L340" s="141" t="s">
        <v>231</v>
      </c>
    </row>
    <row r="341" spans="1:12" ht="18" x14ac:dyDescent="0.3">
      <c r="A341" s="125">
        <f t="shared" si="11"/>
        <v>46562</v>
      </c>
      <c r="B341" s="140" t="str">
        <f t="shared" si="10"/>
        <v>Thursday</v>
      </c>
      <c r="C341" s="141" t="s">
        <v>231</v>
      </c>
      <c r="D341" s="141" t="s">
        <v>231</v>
      </c>
      <c r="E341" s="141" t="s">
        <v>231</v>
      </c>
      <c r="F341" s="141" t="s">
        <v>231</v>
      </c>
      <c r="G341" s="141" t="s">
        <v>231</v>
      </c>
      <c r="H341" s="141" t="s">
        <v>231</v>
      </c>
      <c r="I341" s="141" t="s">
        <v>231</v>
      </c>
      <c r="J341" s="141" t="s">
        <v>231</v>
      </c>
      <c r="K341" s="141" t="s">
        <v>231</v>
      </c>
      <c r="L341" s="141" t="s">
        <v>231</v>
      </c>
    </row>
    <row r="342" spans="1:12" ht="18" x14ac:dyDescent="0.3">
      <c r="A342" s="125">
        <f t="shared" si="11"/>
        <v>46563</v>
      </c>
      <c r="B342" s="140" t="str">
        <f t="shared" si="10"/>
        <v>Friday</v>
      </c>
      <c r="C342" s="141" t="s">
        <v>231</v>
      </c>
      <c r="D342" s="141" t="s">
        <v>231</v>
      </c>
      <c r="E342" s="141" t="s">
        <v>231</v>
      </c>
      <c r="F342" s="141" t="s">
        <v>231</v>
      </c>
      <c r="G342" s="141" t="s">
        <v>231</v>
      </c>
      <c r="H342" s="141" t="s">
        <v>231</v>
      </c>
      <c r="I342" s="141" t="s">
        <v>231</v>
      </c>
      <c r="J342" s="141" t="s">
        <v>231</v>
      </c>
      <c r="K342" s="141" t="s">
        <v>231</v>
      </c>
      <c r="L342" s="141" t="s">
        <v>231</v>
      </c>
    </row>
    <row r="343" spans="1:12" ht="18" x14ac:dyDescent="0.3">
      <c r="A343" s="125">
        <f t="shared" si="11"/>
        <v>46564</v>
      </c>
      <c r="B343" s="140" t="str">
        <f t="shared" si="10"/>
        <v>Saturday</v>
      </c>
      <c r="C343" s="141" t="s">
        <v>231</v>
      </c>
      <c r="D343" s="141" t="s">
        <v>231</v>
      </c>
      <c r="E343" s="141" t="s">
        <v>231</v>
      </c>
      <c r="F343" s="141" t="s">
        <v>231</v>
      </c>
      <c r="G343" s="141" t="s">
        <v>231</v>
      </c>
      <c r="H343" s="141" t="s">
        <v>231</v>
      </c>
      <c r="I343" s="141" t="s">
        <v>231</v>
      </c>
      <c r="J343" s="141" t="s">
        <v>231</v>
      </c>
      <c r="K343" s="141" t="s">
        <v>231</v>
      </c>
      <c r="L343" s="141" t="s">
        <v>231</v>
      </c>
    </row>
    <row r="344" spans="1:12" ht="18" x14ac:dyDescent="0.3">
      <c r="A344" s="125">
        <f t="shared" si="11"/>
        <v>46565</v>
      </c>
      <c r="B344" s="140" t="str">
        <f t="shared" si="10"/>
        <v>Sunday</v>
      </c>
      <c r="C344" s="141" t="s">
        <v>231</v>
      </c>
      <c r="D344" s="141" t="s">
        <v>231</v>
      </c>
      <c r="E344" s="141" t="s">
        <v>231</v>
      </c>
      <c r="F344" s="141" t="s">
        <v>231</v>
      </c>
      <c r="G344" s="141" t="s">
        <v>231</v>
      </c>
      <c r="H344" s="141" t="s">
        <v>231</v>
      </c>
      <c r="I344" s="141" t="s">
        <v>231</v>
      </c>
      <c r="J344" s="141" t="s">
        <v>231</v>
      </c>
      <c r="K344" s="141" t="s">
        <v>231</v>
      </c>
      <c r="L344" s="141" t="s">
        <v>231</v>
      </c>
    </row>
    <row r="345" spans="1:12" ht="18" x14ac:dyDescent="0.3">
      <c r="A345" s="125">
        <f t="shared" si="11"/>
        <v>46566</v>
      </c>
      <c r="B345" s="140" t="str">
        <f t="shared" si="10"/>
        <v>Monday</v>
      </c>
      <c r="C345" s="141" t="s">
        <v>231</v>
      </c>
      <c r="D345" s="141" t="s">
        <v>231</v>
      </c>
      <c r="E345" s="141" t="s">
        <v>231</v>
      </c>
      <c r="F345" s="141" t="s">
        <v>231</v>
      </c>
      <c r="G345" s="141" t="s">
        <v>231</v>
      </c>
      <c r="H345" s="141" t="s">
        <v>231</v>
      </c>
      <c r="I345" s="141" t="s">
        <v>231</v>
      </c>
      <c r="J345" s="141" t="s">
        <v>231</v>
      </c>
      <c r="K345" s="141" t="s">
        <v>231</v>
      </c>
      <c r="L345" s="141" t="s">
        <v>231</v>
      </c>
    </row>
    <row r="346" spans="1:12" ht="18" x14ac:dyDescent="0.3">
      <c r="A346" s="125">
        <f t="shared" si="11"/>
        <v>46567</v>
      </c>
      <c r="B346" s="140" t="str">
        <f t="shared" si="10"/>
        <v>Tuesday</v>
      </c>
      <c r="C346" s="141" t="s">
        <v>231</v>
      </c>
      <c r="D346" s="141" t="s">
        <v>231</v>
      </c>
      <c r="E346" s="141" t="s">
        <v>231</v>
      </c>
      <c r="F346" s="141" t="s">
        <v>231</v>
      </c>
      <c r="G346" s="141" t="s">
        <v>231</v>
      </c>
      <c r="H346" s="141" t="s">
        <v>231</v>
      </c>
      <c r="I346" s="141" t="s">
        <v>231</v>
      </c>
      <c r="J346" s="141" t="s">
        <v>231</v>
      </c>
      <c r="K346" s="141" t="s">
        <v>231</v>
      </c>
      <c r="L346" s="141" t="s">
        <v>231</v>
      </c>
    </row>
    <row r="347" spans="1:12" ht="18" x14ac:dyDescent="0.3">
      <c r="A347" s="125">
        <f t="shared" si="11"/>
        <v>46568</v>
      </c>
      <c r="B347" s="140" t="str">
        <f t="shared" si="10"/>
        <v>Wednesday</v>
      </c>
      <c r="C347" s="141" t="s">
        <v>231</v>
      </c>
      <c r="D347" s="141" t="s">
        <v>231</v>
      </c>
      <c r="E347" s="141" t="s">
        <v>231</v>
      </c>
      <c r="F347" s="141" t="s">
        <v>231</v>
      </c>
      <c r="G347" s="141" t="s">
        <v>231</v>
      </c>
      <c r="H347" s="141" t="s">
        <v>231</v>
      </c>
      <c r="I347" s="141" t="s">
        <v>231</v>
      </c>
      <c r="J347" s="141" t="s">
        <v>231</v>
      </c>
      <c r="K347" s="141" t="s">
        <v>231</v>
      </c>
      <c r="L347" s="141" t="s">
        <v>231</v>
      </c>
    </row>
    <row r="348" spans="1:12" ht="18" x14ac:dyDescent="0.3">
      <c r="A348" s="125">
        <f t="shared" si="11"/>
        <v>46569</v>
      </c>
      <c r="B348" s="140" t="str">
        <f t="shared" si="10"/>
        <v>Thursday</v>
      </c>
      <c r="C348" s="141" t="s">
        <v>231</v>
      </c>
      <c r="D348" s="141" t="s">
        <v>231</v>
      </c>
      <c r="E348" s="141" t="s">
        <v>231</v>
      </c>
      <c r="F348" s="141" t="s">
        <v>231</v>
      </c>
      <c r="G348" s="141" t="s">
        <v>231</v>
      </c>
      <c r="H348" s="141" t="s">
        <v>231</v>
      </c>
      <c r="I348" s="141" t="s">
        <v>231</v>
      </c>
      <c r="J348" s="141" t="s">
        <v>231</v>
      </c>
      <c r="K348" s="141" t="s">
        <v>231</v>
      </c>
      <c r="L348" s="141" t="s">
        <v>231</v>
      </c>
    </row>
    <row r="349" spans="1:12" ht="18" x14ac:dyDescent="0.3">
      <c r="A349" s="125">
        <f t="shared" si="11"/>
        <v>46570</v>
      </c>
      <c r="B349" s="140" t="str">
        <f t="shared" si="10"/>
        <v>Friday</v>
      </c>
      <c r="C349" s="141" t="s">
        <v>231</v>
      </c>
      <c r="D349" s="141" t="s">
        <v>231</v>
      </c>
      <c r="E349" s="141" t="s">
        <v>231</v>
      </c>
      <c r="F349" s="141" t="s">
        <v>231</v>
      </c>
      <c r="G349" s="141" t="s">
        <v>231</v>
      </c>
      <c r="H349" s="141" t="s">
        <v>231</v>
      </c>
      <c r="I349" s="141" t="s">
        <v>231</v>
      </c>
      <c r="J349" s="141" t="s">
        <v>231</v>
      </c>
      <c r="K349" s="141" t="s">
        <v>231</v>
      </c>
      <c r="L349" s="141" t="s">
        <v>231</v>
      </c>
    </row>
    <row r="350" spans="1:12" ht="18" x14ac:dyDescent="0.3">
      <c r="A350" s="125">
        <f t="shared" si="11"/>
        <v>46571</v>
      </c>
      <c r="B350" s="140" t="str">
        <f t="shared" si="10"/>
        <v>Saturday</v>
      </c>
      <c r="C350" s="141" t="s">
        <v>231</v>
      </c>
      <c r="D350" s="141" t="s">
        <v>231</v>
      </c>
      <c r="E350" s="141" t="s">
        <v>231</v>
      </c>
      <c r="F350" s="141" t="s">
        <v>231</v>
      </c>
      <c r="G350" s="141" t="s">
        <v>231</v>
      </c>
      <c r="H350" s="141" t="s">
        <v>231</v>
      </c>
      <c r="I350" s="141" t="s">
        <v>231</v>
      </c>
      <c r="J350" s="141" t="s">
        <v>231</v>
      </c>
      <c r="K350" s="141" t="s">
        <v>231</v>
      </c>
      <c r="L350" s="141" t="s">
        <v>231</v>
      </c>
    </row>
    <row r="351" spans="1:12" ht="18" x14ac:dyDescent="0.3">
      <c r="A351" s="125">
        <f t="shared" si="11"/>
        <v>46572</v>
      </c>
      <c r="B351" s="140" t="str">
        <f t="shared" si="10"/>
        <v>Sunday</v>
      </c>
      <c r="C351" s="141" t="s">
        <v>231</v>
      </c>
      <c r="D351" s="141" t="s">
        <v>231</v>
      </c>
      <c r="E351" s="141" t="s">
        <v>231</v>
      </c>
      <c r="F351" s="141" t="s">
        <v>231</v>
      </c>
      <c r="G351" s="141" t="s">
        <v>231</v>
      </c>
      <c r="H351" s="141" t="s">
        <v>231</v>
      </c>
      <c r="I351" s="141" t="s">
        <v>231</v>
      </c>
      <c r="J351" s="141" t="s">
        <v>231</v>
      </c>
      <c r="K351" s="141" t="s">
        <v>231</v>
      </c>
      <c r="L351" s="141" t="s">
        <v>231</v>
      </c>
    </row>
    <row r="352" spans="1:12" ht="18" x14ac:dyDescent="0.3">
      <c r="A352" s="125">
        <f t="shared" si="11"/>
        <v>46573</v>
      </c>
      <c r="B352" s="140" t="str">
        <f t="shared" si="10"/>
        <v>Monday</v>
      </c>
      <c r="C352" s="141" t="s">
        <v>231</v>
      </c>
      <c r="D352" s="141" t="s">
        <v>231</v>
      </c>
      <c r="E352" s="141" t="s">
        <v>231</v>
      </c>
      <c r="F352" s="141" t="s">
        <v>231</v>
      </c>
      <c r="G352" s="141" t="s">
        <v>231</v>
      </c>
      <c r="H352" s="141" t="s">
        <v>231</v>
      </c>
      <c r="I352" s="141" t="s">
        <v>231</v>
      </c>
      <c r="J352" s="141" t="s">
        <v>231</v>
      </c>
      <c r="K352" s="141" t="s">
        <v>231</v>
      </c>
      <c r="L352" s="141" t="s">
        <v>231</v>
      </c>
    </row>
    <row r="353" spans="1:12" ht="18" x14ac:dyDescent="0.3">
      <c r="A353" s="125">
        <f t="shared" si="11"/>
        <v>46574</v>
      </c>
      <c r="B353" s="140" t="str">
        <f t="shared" si="10"/>
        <v>Tuesday</v>
      </c>
      <c r="C353" s="141" t="s">
        <v>231</v>
      </c>
      <c r="D353" s="141" t="s">
        <v>231</v>
      </c>
      <c r="E353" s="141" t="s">
        <v>231</v>
      </c>
      <c r="F353" s="141" t="s">
        <v>231</v>
      </c>
      <c r="G353" s="141" t="s">
        <v>231</v>
      </c>
      <c r="H353" s="141" t="s">
        <v>231</v>
      </c>
      <c r="I353" s="141" t="s">
        <v>231</v>
      </c>
      <c r="J353" s="141" t="s">
        <v>231</v>
      </c>
      <c r="K353" s="141" t="s">
        <v>231</v>
      </c>
      <c r="L353" s="141" t="s">
        <v>231</v>
      </c>
    </row>
    <row r="354" spans="1:12" ht="18" x14ac:dyDescent="0.3">
      <c r="A354" s="125">
        <f t="shared" si="11"/>
        <v>46575</v>
      </c>
      <c r="B354" s="140" t="str">
        <f t="shared" si="10"/>
        <v>Wednesday</v>
      </c>
      <c r="C354" s="141" t="s">
        <v>231</v>
      </c>
      <c r="D354" s="141" t="s">
        <v>231</v>
      </c>
      <c r="E354" s="141" t="s">
        <v>231</v>
      </c>
      <c r="F354" s="141" t="s">
        <v>231</v>
      </c>
      <c r="G354" s="141" t="s">
        <v>231</v>
      </c>
      <c r="H354" s="141" t="s">
        <v>231</v>
      </c>
      <c r="I354" s="141" t="s">
        <v>231</v>
      </c>
      <c r="J354" s="141" t="s">
        <v>231</v>
      </c>
      <c r="K354" s="141" t="s">
        <v>231</v>
      </c>
      <c r="L354" s="141" t="s">
        <v>231</v>
      </c>
    </row>
    <row r="355" spans="1:12" ht="18" x14ac:dyDescent="0.3">
      <c r="A355" s="125">
        <f t="shared" si="11"/>
        <v>46576</v>
      </c>
      <c r="B355" s="140" t="str">
        <f t="shared" si="10"/>
        <v>Thursday</v>
      </c>
      <c r="C355" s="141" t="s">
        <v>231</v>
      </c>
      <c r="D355" s="141" t="s">
        <v>231</v>
      </c>
      <c r="E355" s="141" t="s">
        <v>231</v>
      </c>
      <c r="F355" s="141" t="s">
        <v>231</v>
      </c>
      <c r="G355" s="141" t="s">
        <v>231</v>
      </c>
      <c r="H355" s="141" t="s">
        <v>231</v>
      </c>
      <c r="I355" s="141" t="s">
        <v>231</v>
      </c>
      <c r="J355" s="141" t="s">
        <v>231</v>
      </c>
      <c r="K355" s="141" t="s">
        <v>231</v>
      </c>
      <c r="L355" s="141" t="s">
        <v>231</v>
      </c>
    </row>
    <row r="356" spans="1:12" ht="18" x14ac:dyDescent="0.3">
      <c r="A356" s="125">
        <f t="shared" si="11"/>
        <v>46577</v>
      </c>
      <c r="B356" s="140" t="str">
        <f t="shared" si="10"/>
        <v>Friday</v>
      </c>
      <c r="C356" s="141" t="s">
        <v>231</v>
      </c>
      <c r="D356" s="141" t="s">
        <v>231</v>
      </c>
      <c r="E356" s="141" t="s">
        <v>231</v>
      </c>
      <c r="F356" s="141" t="s">
        <v>231</v>
      </c>
      <c r="G356" s="141" t="s">
        <v>231</v>
      </c>
      <c r="H356" s="141" t="s">
        <v>231</v>
      </c>
      <c r="I356" s="141" t="s">
        <v>231</v>
      </c>
      <c r="J356" s="141" t="s">
        <v>231</v>
      </c>
      <c r="K356" s="141" t="s">
        <v>231</v>
      </c>
      <c r="L356" s="141" t="s">
        <v>231</v>
      </c>
    </row>
    <row r="357" spans="1:12" ht="18" x14ac:dyDescent="0.3">
      <c r="A357" s="125">
        <f t="shared" si="11"/>
        <v>46578</v>
      </c>
      <c r="B357" s="140" t="str">
        <f t="shared" si="10"/>
        <v>Saturday</v>
      </c>
      <c r="C357" s="141" t="s">
        <v>231</v>
      </c>
      <c r="D357" s="141" t="s">
        <v>231</v>
      </c>
      <c r="E357" s="141" t="s">
        <v>231</v>
      </c>
      <c r="F357" s="141" t="s">
        <v>231</v>
      </c>
      <c r="G357" s="141" t="s">
        <v>231</v>
      </c>
      <c r="H357" s="141" t="s">
        <v>231</v>
      </c>
      <c r="I357" s="141" t="s">
        <v>231</v>
      </c>
      <c r="J357" s="141" t="s">
        <v>231</v>
      </c>
      <c r="K357" s="141" t="s">
        <v>231</v>
      </c>
      <c r="L357" s="141" t="s">
        <v>231</v>
      </c>
    </row>
    <row r="358" spans="1:12" ht="18" x14ac:dyDescent="0.3">
      <c r="A358" s="125">
        <f t="shared" si="11"/>
        <v>46579</v>
      </c>
      <c r="B358" s="140" t="str">
        <f t="shared" si="10"/>
        <v>Sunday</v>
      </c>
      <c r="C358" s="141" t="s">
        <v>231</v>
      </c>
      <c r="D358" s="141" t="s">
        <v>231</v>
      </c>
      <c r="E358" s="141" t="s">
        <v>231</v>
      </c>
      <c r="F358" s="141" t="s">
        <v>231</v>
      </c>
      <c r="G358" s="141" t="s">
        <v>231</v>
      </c>
      <c r="H358" s="141" t="s">
        <v>231</v>
      </c>
      <c r="I358" s="141" t="s">
        <v>231</v>
      </c>
      <c r="J358" s="141" t="s">
        <v>231</v>
      </c>
      <c r="K358" s="141" t="s">
        <v>231</v>
      </c>
      <c r="L358" s="141" t="s">
        <v>231</v>
      </c>
    </row>
    <row r="359" spans="1:12" ht="18" x14ac:dyDescent="0.3">
      <c r="A359" s="125">
        <f t="shared" si="11"/>
        <v>46580</v>
      </c>
      <c r="B359" s="140" t="str">
        <f t="shared" si="10"/>
        <v>Monday</v>
      </c>
      <c r="C359" s="141" t="s">
        <v>231</v>
      </c>
      <c r="D359" s="141" t="s">
        <v>231</v>
      </c>
      <c r="E359" s="141" t="s">
        <v>231</v>
      </c>
      <c r="F359" s="141" t="s">
        <v>231</v>
      </c>
      <c r="G359" s="141" t="s">
        <v>231</v>
      </c>
      <c r="H359" s="141" t="s">
        <v>231</v>
      </c>
      <c r="I359" s="141" t="s">
        <v>231</v>
      </c>
      <c r="J359" s="141" t="s">
        <v>231</v>
      </c>
      <c r="K359" s="141" t="s">
        <v>231</v>
      </c>
      <c r="L359" s="141" t="s">
        <v>231</v>
      </c>
    </row>
    <row r="360" spans="1:12" ht="18" x14ac:dyDescent="0.3">
      <c r="A360" s="125">
        <f t="shared" si="11"/>
        <v>46581</v>
      </c>
      <c r="B360" s="140" t="str">
        <f t="shared" si="10"/>
        <v>Tuesday</v>
      </c>
      <c r="C360" s="141" t="s">
        <v>231</v>
      </c>
      <c r="D360" s="141" t="s">
        <v>231</v>
      </c>
      <c r="E360" s="141" t="s">
        <v>231</v>
      </c>
      <c r="F360" s="141" t="s">
        <v>231</v>
      </c>
      <c r="G360" s="141" t="s">
        <v>231</v>
      </c>
      <c r="H360" s="141" t="s">
        <v>231</v>
      </c>
      <c r="I360" s="141" t="s">
        <v>231</v>
      </c>
      <c r="J360" s="141" t="s">
        <v>231</v>
      </c>
      <c r="K360" s="141" t="s">
        <v>231</v>
      </c>
      <c r="L360" s="141" t="s">
        <v>231</v>
      </c>
    </row>
    <row r="361" spans="1:12" ht="18" x14ac:dyDescent="0.3">
      <c r="A361" s="125">
        <f t="shared" si="11"/>
        <v>46582</v>
      </c>
      <c r="B361" s="140" t="str">
        <f t="shared" si="10"/>
        <v>Wednesday</v>
      </c>
      <c r="C361" s="141" t="s">
        <v>231</v>
      </c>
      <c r="D361" s="141" t="s">
        <v>231</v>
      </c>
      <c r="E361" s="141" t="s">
        <v>231</v>
      </c>
      <c r="F361" s="141" t="s">
        <v>231</v>
      </c>
      <c r="G361" s="141" t="s">
        <v>231</v>
      </c>
      <c r="H361" s="141" t="s">
        <v>231</v>
      </c>
      <c r="I361" s="141" t="s">
        <v>231</v>
      </c>
      <c r="J361" s="141" t="s">
        <v>231</v>
      </c>
      <c r="K361" s="141" t="s">
        <v>231</v>
      </c>
      <c r="L361" s="141" t="s">
        <v>231</v>
      </c>
    </row>
    <row r="362" spans="1:12" ht="18" x14ac:dyDescent="0.3">
      <c r="A362" s="125">
        <f t="shared" si="11"/>
        <v>46583</v>
      </c>
      <c r="B362" s="140" t="str">
        <f t="shared" si="10"/>
        <v>Thursday</v>
      </c>
      <c r="C362" s="141" t="s">
        <v>231</v>
      </c>
      <c r="D362" s="141" t="s">
        <v>231</v>
      </c>
      <c r="E362" s="141" t="s">
        <v>231</v>
      </c>
      <c r="F362" s="141" t="s">
        <v>231</v>
      </c>
      <c r="G362" s="141" t="s">
        <v>231</v>
      </c>
      <c r="H362" s="141" t="s">
        <v>231</v>
      </c>
      <c r="I362" s="141" t="s">
        <v>231</v>
      </c>
      <c r="J362" s="141" t="s">
        <v>231</v>
      </c>
      <c r="K362" s="141" t="s">
        <v>231</v>
      </c>
      <c r="L362" s="141" t="s">
        <v>231</v>
      </c>
    </row>
    <row r="363" spans="1:12" ht="18" x14ac:dyDescent="0.3">
      <c r="A363" s="125">
        <f t="shared" si="11"/>
        <v>46584</v>
      </c>
      <c r="B363" s="140" t="str">
        <f t="shared" si="10"/>
        <v>Friday</v>
      </c>
      <c r="C363" s="141" t="s">
        <v>231</v>
      </c>
      <c r="D363" s="141" t="s">
        <v>231</v>
      </c>
      <c r="E363" s="141" t="s">
        <v>231</v>
      </c>
      <c r="F363" s="141" t="s">
        <v>231</v>
      </c>
      <c r="G363" s="141" t="s">
        <v>231</v>
      </c>
      <c r="H363" s="141" t="s">
        <v>231</v>
      </c>
      <c r="I363" s="141" t="s">
        <v>231</v>
      </c>
      <c r="J363" s="141" t="s">
        <v>231</v>
      </c>
      <c r="K363" s="141" t="s">
        <v>231</v>
      </c>
      <c r="L363" s="141" t="s">
        <v>231</v>
      </c>
    </row>
    <row r="364" spans="1:12" ht="18" x14ac:dyDescent="0.3">
      <c r="A364" s="125">
        <f t="shared" si="11"/>
        <v>46585</v>
      </c>
      <c r="B364" s="140" t="str">
        <f t="shared" si="10"/>
        <v>Saturday</v>
      </c>
      <c r="C364" s="141" t="s">
        <v>231</v>
      </c>
      <c r="D364" s="141" t="s">
        <v>231</v>
      </c>
      <c r="E364" s="141" t="s">
        <v>231</v>
      </c>
      <c r="F364" s="141" t="s">
        <v>231</v>
      </c>
      <c r="G364" s="141" t="s">
        <v>231</v>
      </c>
      <c r="H364" s="141" t="s">
        <v>231</v>
      </c>
      <c r="I364" s="141" t="s">
        <v>231</v>
      </c>
      <c r="J364" s="141" t="s">
        <v>231</v>
      </c>
      <c r="K364" s="141" t="s">
        <v>231</v>
      </c>
      <c r="L364" s="141" t="s">
        <v>231</v>
      </c>
    </row>
    <row r="365" spans="1:12" ht="18" x14ac:dyDescent="0.3">
      <c r="A365" s="125">
        <f t="shared" si="11"/>
        <v>46586</v>
      </c>
      <c r="B365" s="140" t="str">
        <f t="shared" si="10"/>
        <v>Sunday</v>
      </c>
      <c r="C365" s="141" t="s">
        <v>231</v>
      </c>
      <c r="D365" s="141" t="s">
        <v>231</v>
      </c>
      <c r="E365" s="141" t="s">
        <v>231</v>
      </c>
      <c r="F365" s="141" t="s">
        <v>231</v>
      </c>
      <c r="G365" s="141" t="s">
        <v>231</v>
      </c>
      <c r="H365" s="141" t="s">
        <v>231</v>
      </c>
      <c r="I365" s="141" t="s">
        <v>231</v>
      </c>
      <c r="J365" s="141" t="s">
        <v>231</v>
      </c>
      <c r="K365" s="141" t="s">
        <v>231</v>
      </c>
      <c r="L365" s="141" t="s">
        <v>231</v>
      </c>
    </row>
    <row r="366" spans="1:12" ht="18" x14ac:dyDescent="0.3">
      <c r="A366" s="125">
        <f t="shared" si="11"/>
        <v>46587</v>
      </c>
      <c r="B366" s="140" t="str">
        <f t="shared" si="10"/>
        <v>Monday</v>
      </c>
      <c r="C366" s="141" t="s">
        <v>231</v>
      </c>
      <c r="D366" s="141" t="s">
        <v>231</v>
      </c>
      <c r="E366" s="141" t="s">
        <v>231</v>
      </c>
      <c r="F366" s="141" t="s">
        <v>231</v>
      </c>
      <c r="G366" s="141" t="s">
        <v>231</v>
      </c>
      <c r="H366" s="141" t="s">
        <v>231</v>
      </c>
      <c r="I366" s="141" t="s">
        <v>231</v>
      </c>
      <c r="J366" s="141" t="s">
        <v>231</v>
      </c>
      <c r="K366" s="141" t="s">
        <v>231</v>
      </c>
      <c r="L366" s="141" t="s">
        <v>231</v>
      </c>
    </row>
    <row r="367" spans="1:12" ht="18" x14ac:dyDescent="0.3">
      <c r="A367" s="125">
        <f t="shared" si="11"/>
        <v>46588</v>
      </c>
      <c r="B367" s="140" t="str">
        <f t="shared" si="10"/>
        <v>Tuesday</v>
      </c>
      <c r="C367" s="141" t="s">
        <v>231</v>
      </c>
      <c r="D367" s="141" t="s">
        <v>231</v>
      </c>
      <c r="E367" s="141" t="s">
        <v>231</v>
      </c>
      <c r="F367" s="141" t="s">
        <v>231</v>
      </c>
      <c r="G367" s="141" t="s">
        <v>231</v>
      </c>
      <c r="H367" s="141" t="s">
        <v>231</v>
      </c>
      <c r="I367" s="141" t="s">
        <v>231</v>
      </c>
      <c r="J367" s="141" t="s">
        <v>231</v>
      </c>
      <c r="K367" s="141" t="s">
        <v>231</v>
      </c>
      <c r="L367" s="141" t="s">
        <v>231</v>
      </c>
    </row>
    <row r="368" spans="1:12" ht="18" x14ac:dyDescent="0.3">
      <c r="A368" s="125">
        <f t="shared" si="11"/>
        <v>46589</v>
      </c>
      <c r="B368" s="140" t="str">
        <f t="shared" si="10"/>
        <v>Wednesday</v>
      </c>
      <c r="C368" s="141" t="s">
        <v>231</v>
      </c>
      <c r="D368" s="141" t="s">
        <v>231</v>
      </c>
      <c r="E368" s="141" t="s">
        <v>231</v>
      </c>
      <c r="F368" s="141" t="s">
        <v>231</v>
      </c>
      <c r="G368" s="141" t="s">
        <v>231</v>
      </c>
      <c r="H368" s="141" t="s">
        <v>231</v>
      </c>
      <c r="I368" s="141" t="s">
        <v>231</v>
      </c>
      <c r="J368" s="141" t="s">
        <v>231</v>
      </c>
      <c r="K368" s="141" t="s">
        <v>231</v>
      </c>
      <c r="L368" s="141" t="s">
        <v>231</v>
      </c>
    </row>
    <row r="1048575" spans="1:1" x14ac:dyDescent="0.3">
      <c r="A1048575" t="s">
        <v>231</v>
      </c>
    </row>
    <row r="1048576" spans="1:1" x14ac:dyDescent="0.3">
      <c r="A1048576" t="s">
        <v>232</v>
      </c>
    </row>
  </sheetData>
  <conditionalFormatting sqref="C2:L368">
    <cfRule type="cellIs" dxfId="8" priority="1" operator="equal">
      <formula>"☑"</formula>
    </cfRule>
  </conditionalFormatting>
  <dataValidations count="1">
    <dataValidation type="list" allowBlank="1" showInputMessage="1" showErrorMessage="1" sqref="C2:L368" xr:uid="{84304D52-C1CC-49E7-B364-1BEB78751894}">
      <formula1>$A$1048575:$A$1048576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11EF5E-B43F-42B6-99AC-26DADD4366FC}">
  <sheetPr codeName="Sheet10"/>
  <dimension ref="C2:O11"/>
  <sheetViews>
    <sheetView zoomScale="93" zoomScaleNormal="98" workbookViewId="0">
      <selection activeCell="F9" sqref="F9"/>
    </sheetView>
  </sheetViews>
  <sheetFormatPr defaultRowHeight="14.4" x14ac:dyDescent="0.3"/>
  <cols>
    <col min="3" max="3" width="19.6640625" bestFit="1" customWidth="1"/>
    <col min="4" max="4" width="10.6640625" bestFit="1" customWidth="1"/>
    <col min="5" max="6" width="12.6640625" bestFit="1" customWidth="1"/>
    <col min="7" max="7" width="15.5546875" bestFit="1" customWidth="1"/>
    <col min="8" max="8" width="13.44140625" bestFit="1" customWidth="1"/>
    <col min="9" max="9" width="10.6640625" bestFit="1" customWidth="1"/>
    <col min="10" max="10" width="13.33203125" bestFit="1" customWidth="1"/>
    <col min="11" max="11" width="11.88671875" bestFit="1" customWidth="1"/>
    <col min="12" max="12" width="17.33203125" bestFit="1" customWidth="1"/>
    <col min="13" max="13" width="14.88671875" bestFit="1" customWidth="1"/>
    <col min="14" max="14" width="14" bestFit="1" customWidth="1"/>
    <col min="15" max="15" width="42.5546875" bestFit="1" customWidth="1"/>
  </cols>
  <sheetData>
    <row r="2" spans="3:15" ht="15" thickBot="1" x14ac:dyDescent="0.35">
      <c r="C2" s="54" t="s">
        <v>174</v>
      </c>
      <c r="D2" s="144" t="s">
        <v>240</v>
      </c>
      <c r="E2" s="144" t="s">
        <v>8</v>
      </c>
      <c r="F2" s="144" t="s">
        <v>9</v>
      </c>
      <c r="G2" s="144" t="s">
        <v>10</v>
      </c>
      <c r="H2" s="144" t="s">
        <v>11</v>
      </c>
      <c r="I2" s="144" t="s">
        <v>12</v>
      </c>
      <c r="J2" s="144" t="s">
        <v>13</v>
      </c>
      <c r="K2" s="144" t="s">
        <v>14</v>
      </c>
      <c r="L2" s="144" t="s">
        <v>242</v>
      </c>
      <c r="M2" s="144" t="s">
        <v>243</v>
      </c>
      <c r="N2" s="144" t="s">
        <v>244</v>
      </c>
      <c r="O2" s="143" t="s">
        <v>245</v>
      </c>
    </row>
    <row r="3" spans="3:15" ht="15" thickBot="1" x14ac:dyDescent="0.35">
      <c r="C3" s="145" t="s">
        <v>225</v>
      </c>
      <c r="D3" s="146" cm="1">
        <f t="array" aca="1" ref="D3" ca="1">SUMPRODUCT((Table7[Date]&gt;=$M$3)*(Table7[Date]&lt;=$N$3)*(Table7[Gym Training]="☑"))</f>
        <v>0</v>
      </c>
      <c r="E3" s="163">
        <f>_xlfn.NUMBERVALUE(LEFT(Schedule!C26,FIND(" ",Schedule!C26)-1),",",".")</f>
        <v>1.583</v>
      </c>
      <c r="F3" s="163">
        <f>_xlfn.NUMBERVALUE(LEFT(Schedule!D26,FIND(" ",Schedule!D26)-1),",",".")</f>
        <v>1.167</v>
      </c>
      <c r="G3" s="163">
        <f>_xlfn.NUMBERVALUE(LEFT(Schedule!E26,FIND(" ",Schedule!E26)-1),",",".")</f>
        <v>0.83299999999999996</v>
      </c>
      <c r="H3" s="163">
        <v>1.583</v>
      </c>
      <c r="I3" s="163">
        <f>_xlfn.NUMBERVALUE(LEFT(Schedule!G26,FIND(" ",Schedule!G26)-1),",",".")</f>
        <v>1.583</v>
      </c>
      <c r="J3" s="163">
        <v>1.583</v>
      </c>
      <c r="K3" s="163">
        <f>_xlfn.NUMBERVALUE(LEFT(Schedule!I26,FIND(" ",Schedule!I26)-1),",",".")</f>
        <v>0</v>
      </c>
      <c r="L3" s="147" cm="1">
        <f t="array" aca="1" ref="L3" ca="1">SUMPRODUCT((Table7[Date]&gt;=$M3)*(Table7[Date]&lt;=MIN($N3,TODAY()))*_xlfn.SWITCH($C3,"Gym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Scrolling]="☐"),0)*CHOOSE(WEEKDAY(Table7[Date],2),$E3,$F3,$G3,$H3,$I3,$J3,$K3))</f>
        <v>0</v>
      </c>
      <c r="M3" s="148">
        <f ca="1">TODAY()-WEEKDAY(TODAY(),2)+1</f>
        <v>46314</v>
      </c>
      <c r="N3" s="148">
        <f ca="1">TODAY()-WEEKDAY(TODAY(),2)+7</f>
        <v>46320</v>
      </c>
      <c r="O3" t="str">
        <f ca="1">"Total Activity Hours — "&amp;CHOOSE(MONTH($M$3),"Jan","Feb","Mar","Apr","May","Jun","Jul","Aug","Sep","Oct","Nov","Dec")&amp;" "&amp;DAY($M$3)&amp;", "&amp;YEAR($M$3)&amp;" to "&amp;CHOOSE(MONTH($N$3),"Jan","Feb","Mar","Apr","May","Jun","Jul","Aug","Sep","Oct","Nov","Dec")&amp;" "&amp;DAY($N$3)&amp;", "&amp;YEAR($N$3)</f>
        <v>Total Activity Hours — Oct 19, 2026 to Oct 25, 2026</v>
      </c>
    </row>
    <row r="4" spans="3:15" ht="15" thickBot="1" x14ac:dyDescent="0.35">
      <c r="C4" s="149" t="s">
        <v>226</v>
      </c>
      <c r="D4" s="150" cm="1">
        <f t="array" aca="1" ref="D4" ca="1">SUMPRODUCT((Table7[Date]&gt;=$M$3)*(Table7[Date]&lt;=$N$3)*(Table7[Deutsch Lernen]="☑"))</f>
        <v>0</v>
      </c>
      <c r="E4" s="164">
        <f>_xlfn.NUMBERVALUE(LEFT(Schedule!C25,FIND(" ",Schedule!C25)-1),",",".")</f>
        <v>3</v>
      </c>
      <c r="F4" s="164">
        <f>_xlfn.NUMBERVALUE(LEFT(Schedule!D25,FIND(" ",Schedule!D25)-1),",",".")</f>
        <v>2</v>
      </c>
      <c r="G4" s="164">
        <f>_xlfn.NUMBERVALUE(LEFT(Schedule!E25,FIND(" ",Schedule!E25)-1),",",".")</f>
        <v>2</v>
      </c>
      <c r="H4" s="164">
        <f>_xlfn.NUMBERVALUE(LEFT(Schedule!F25,FIND(" ",Schedule!F25)-1),",",".")</f>
        <v>3</v>
      </c>
      <c r="I4" s="164">
        <f>_xlfn.NUMBERVALUE(LEFT(Schedule!G25,FIND(" ",Schedule!G25)-1),",",".")</f>
        <v>3</v>
      </c>
      <c r="J4" s="164">
        <f>_xlfn.NUMBERVALUE(LEFT(Schedule!H25,FIND(" ",Schedule!H25)-1),",",".")</f>
        <v>4</v>
      </c>
      <c r="K4" s="164">
        <f>_xlfn.NUMBERVALUE(LEFT(Schedule!I25,FIND(" ",Schedule!I25)-1),",",".")</f>
        <v>3.5</v>
      </c>
      <c r="L4" s="151" cm="1">
        <f t="array" aca="1" ref="L4" ca="1">SUMPRODUCT((Table7[Date]&gt;=$M4)*(Table7[Date]&lt;=MIN($N4,TODAY()))*_xlfn.SWITCH($C4,"Gym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Scrolling]="☐"),0)*CHOOSE(WEEKDAY(Table7[Date],2),$E4,$F4,$G4,$H4,$I4,$J4,$K4))</f>
        <v>0</v>
      </c>
      <c r="M4" s="148">
        <f t="shared" ref="M4:M9" ca="1" si="0">TODAY()-WEEKDAY(TODAY(),2)+1</f>
        <v>46314</v>
      </c>
      <c r="N4" s="148">
        <f t="shared" ref="N4:N9" ca="1" si="1">TODAY()-WEEKDAY(TODAY(),2)+7</f>
        <v>46320</v>
      </c>
    </row>
    <row r="5" spans="3:15" ht="15" thickBot="1" x14ac:dyDescent="0.35">
      <c r="C5" s="149" t="s">
        <v>241</v>
      </c>
      <c r="D5" s="150" cm="1">
        <f t="array" aca="1" ref="D5" ca="1">SUMPRODUCT((Table7[Date]&gt;=$M$3)*(Table7[Date]&lt;=$N$3)*(Table7[Deutsch Flashcards (20 min)]="☑"))</f>
        <v>0</v>
      </c>
      <c r="E5" s="164">
        <f t="shared" ref="E5:K5" si="2">20/60</f>
        <v>0.33333333333333331</v>
      </c>
      <c r="F5" s="164">
        <f t="shared" si="2"/>
        <v>0.33333333333333331</v>
      </c>
      <c r="G5" s="164">
        <f t="shared" si="2"/>
        <v>0.33333333333333331</v>
      </c>
      <c r="H5" s="164">
        <f t="shared" si="2"/>
        <v>0.33333333333333331</v>
      </c>
      <c r="I5" s="164">
        <f t="shared" si="2"/>
        <v>0.33333333333333331</v>
      </c>
      <c r="J5" s="164">
        <f t="shared" si="2"/>
        <v>0.33333333333333331</v>
      </c>
      <c r="K5" s="164">
        <f t="shared" si="2"/>
        <v>0.33333333333333331</v>
      </c>
      <c r="L5" s="151" cm="1">
        <f t="array" aca="1" ref="L5" ca="1">SUMPRODUCT((Table7[Date]&gt;=$M5)*(Table7[Date]&lt;=MIN($N5,TODAY()))*_xlfn.SWITCH($C5,"Gym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Scrolling]="☐"),0)*CHOOSE(WEEKDAY(Table7[Date],2),$E5,$F5,$G5,$H5,$I5,$J5,$K5))</f>
        <v>0</v>
      </c>
      <c r="M5" s="148">
        <f t="shared" ca="1" si="0"/>
        <v>46314</v>
      </c>
      <c r="N5" s="148">
        <f t="shared" ca="1" si="1"/>
        <v>46320</v>
      </c>
    </row>
    <row r="6" spans="3:15" ht="15" thickBot="1" x14ac:dyDescent="0.35">
      <c r="C6" s="149" t="s">
        <v>80</v>
      </c>
      <c r="D6" s="150" cm="1">
        <f t="array" aca="1" ref="D6" ca="1">SUMPRODUCT((Table7[Date]&gt;=$M$3)*(Table7[Date]&lt;=$N$3)*(Table7[Career Development]="☑"))</f>
        <v>0</v>
      </c>
      <c r="E6" s="164">
        <f>_xlfn.NUMBERVALUE(LEFT(Schedule!C31,FIND(" ",Schedule!C31)-1),",",".")</f>
        <v>2.5</v>
      </c>
      <c r="F6" s="164">
        <f>_xlfn.NUMBERVALUE(LEFT(Schedule!D31,FIND(" ",Schedule!D31)-1),",",".")</f>
        <v>0</v>
      </c>
      <c r="G6" s="164">
        <f>_xlfn.NUMBERVALUE(LEFT(Schedule!E31,FIND(" ",Schedule!E31)-1),",",".")</f>
        <v>0</v>
      </c>
      <c r="H6" s="164">
        <f>_xlfn.NUMBERVALUE(LEFT(Schedule!F31,FIND(" ",Schedule!F31)-1),",",".")</f>
        <v>1</v>
      </c>
      <c r="I6" s="164">
        <f>_xlfn.NUMBERVALUE(LEFT(Schedule!G31,FIND(" ",Schedule!G31)-1),",",".")</f>
        <v>2.5</v>
      </c>
      <c r="J6" s="164">
        <f>_xlfn.NUMBERVALUE(LEFT(Schedule!H31,FIND(" ",Schedule!H31)-1),",",".")</f>
        <v>1.5</v>
      </c>
      <c r="K6" s="164">
        <f>_xlfn.NUMBERVALUE(LEFT(Schedule!I31,FIND(" ",Schedule!I31)-1),",",".")</f>
        <v>0</v>
      </c>
      <c r="L6" s="151" cm="1">
        <f t="array" aca="1" ref="L6" ca="1">SUMPRODUCT((Table7[Date]&gt;=$M6)*(Table7[Date]&lt;=MIN($N6,TODAY()))*_xlfn.SWITCH($C6,"Gym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Scrolling]="☐"),0)*CHOOSE(WEEKDAY(Table7[Date],2),$E6,$F6,$G6,$H6,$I6,$J6,$K6))</f>
        <v>0</v>
      </c>
      <c r="M6" s="148">
        <f t="shared" ca="1" si="0"/>
        <v>46314</v>
      </c>
      <c r="N6" s="148">
        <f t="shared" ca="1" si="1"/>
        <v>46320</v>
      </c>
    </row>
    <row r="7" spans="3:15" ht="15" thickBot="1" x14ac:dyDescent="0.35">
      <c r="C7" s="149" t="s">
        <v>3</v>
      </c>
      <c r="D7" s="150" cm="1">
        <f t="array" aca="1" ref="D7" ca="1">SUMPRODUCT((Table7[Date]&gt;=$M$3)*(Table7[Date]&lt;=$N$3)*(Table7[Calisthenics]="☑"))</f>
        <v>0</v>
      </c>
      <c r="E7" s="164">
        <f>_xlfn.NUMBERVALUE(LEFT(Schedule!C28,FIND(" ",Schedule!C28)-1),",",".")</f>
        <v>0</v>
      </c>
      <c r="F7" s="164">
        <v>0.33333333333333331</v>
      </c>
      <c r="G7" s="164">
        <v>0.33333333333333331</v>
      </c>
      <c r="H7" s="164">
        <f>_xlfn.NUMBERVALUE(LEFT(Schedule!F28,FIND(" ",Schedule!F28)-1),",",".")</f>
        <v>1.583</v>
      </c>
      <c r="I7" s="164">
        <f>_xlfn.NUMBERVALUE(LEFT(Schedule!G28,FIND(" ",Schedule!G28)-1),",",".")</f>
        <v>0</v>
      </c>
      <c r="J7" s="164">
        <f>_xlfn.NUMBERVALUE(LEFT(Schedule!H28,FIND(" ",Schedule!H28)-1),",",".")</f>
        <v>2</v>
      </c>
      <c r="K7" s="164">
        <f>_xlfn.NUMBERVALUE(LEFT(Schedule!I28,FIND(" ",Schedule!I28)-1),",",".")</f>
        <v>1</v>
      </c>
      <c r="L7" s="151" cm="1">
        <f t="array" aca="1" ref="L7" ca="1">SUMPRODUCT((Table7[Date]&gt;=$M7)*(Table7[Date]&lt;=MIN($N7,TODAY()))*_xlfn.SWITCH($C7,"Gym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Scrolling]="☐"),0)*CHOOSE(WEEKDAY(Table7[Date],2),$E7,$F7,$G7,$H7,$I7,$J7,$K7))</f>
        <v>0</v>
      </c>
      <c r="M7" s="148">
        <f t="shared" ca="1" si="0"/>
        <v>46314</v>
      </c>
      <c r="N7" s="148">
        <f t="shared" ca="1" si="1"/>
        <v>46320</v>
      </c>
    </row>
    <row r="8" spans="3:15" ht="15" thickBot="1" x14ac:dyDescent="0.35">
      <c r="C8" s="149" t="s">
        <v>229</v>
      </c>
      <c r="D8" s="150" cm="1">
        <f t="array" aca="1" ref="D8" ca="1">SUMPRODUCT((Table7[Date]&gt;=$M$3)*(Table7[Date]&lt;=$N$3)*(Table7[Kung Fu Training]="☑"))</f>
        <v>0</v>
      </c>
      <c r="E8" s="164">
        <v>2</v>
      </c>
      <c r="F8" s="164">
        <f>_xlfn.NUMBERVALUE(LEFT(Schedule!D29,FIND(" ",Schedule!D29)-1),",",".")</f>
        <v>2</v>
      </c>
      <c r="G8" s="164">
        <v>2</v>
      </c>
      <c r="H8" s="164">
        <f>_xlfn.NUMBERVALUE(LEFT(Schedule!F29,FIND(" ",Schedule!F29)-1),",",".")</f>
        <v>2</v>
      </c>
      <c r="I8" s="164">
        <v>2</v>
      </c>
      <c r="J8" s="164">
        <f>_xlfn.NUMBERVALUE(LEFT(Schedule!H29,FIND(" ",Schedule!H29)-1),",",".")</f>
        <v>0</v>
      </c>
      <c r="K8" s="164">
        <f>_xlfn.NUMBERVALUE(LEFT(Schedule!I29,FIND(" ",Schedule!I29)-1),",",".")</f>
        <v>1.5</v>
      </c>
      <c r="L8" s="151" cm="1">
        <f t="array" aca="1" ref="L8" ca="1">SUMPRODUCT((Table7[Date]&gt;=$M8)*(Table7[Date]&lt;=MIN($N8,TODAY()))*_xlfn.SWITCH($C8,"Gym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Scrolling]="☐"),0)*CHOOSE(WEEKDAY(Table7[Date],2),$E8,$F8,$G8,$H8,$I8,$J8,$K8))</f>
        <v>0</v>
      </c>
      <c r="M8" s="148">
        <f t="shared" ca="1" si="0"/>
        <v>46314</v>
      </c>
      <c r="N8" s="148">
        <f t="shared" ca="1" si="1"/>
        <v>46320</v>
      </c>
    </row>
    <row r="9" spans="3:15" x14ac:dyDescent="0.3">
      <c r="C9" s="149" t="s">
        <v>230</v>
      </c>
      <c r="D9" s="150" cm="1">
        <f t="array" aca="1" ref="D9" ca="1">SUMPRODUCT((Table7[Date]&gt;=$M$3)*(Table7[Date]&lt;=$N$3)*(Table7[Guitar Practice]="☑"))</f>
        <v>0</v>
      </c>
      <c r="E9" s="164">
        <f>_xlfn.NUMBERVALUE(LEFT(Schedule!C30,FIND(" ",Schedule!C30)-1),",",".")</f>
        <v>0</v>
      </c>
      <c r="F9" s="164">
        <f>_xlfn.NUMBERVALUE(LEFT(Schedule!D30,FIND(" ",Schedule!D30)-1),",",".")</f>
        <v>0</v>
      </c>
      <c r="G9" s="164">
        <f>_xlfn.NUMBERVALUE(LEFT(Schedule!E30,FIND(" ",Schedule!E30)-1),",",".")</f>
        <v>0</v>
      </c>
      <c r="H9" s="164">
        <f>_xlfn.NUMBERVALUE(LEFT(Schedule!F30,FIND(" ",Schedule!F30)-1),",",".")</f>
        <v>0</v>
      </c>
      <c r="I9" s="164">
        <f>_xlfn.NUMBERVALUE(LEFT(Schedule!G30,FIND(" ",Schedule!G30)-1),",",".")</f>
        <v>0</v>
      </c>
      <c r="J9" s="164">
        <f>_xlfn.NUMBERVALUE(LEFT(Schedule!H30,FIND(" ",Schedule!H30)-1),",",".")</f>
        <v>2</v>
      </c>
      <c r="K9" s="164">
        <f>_xlfn.NUMBERVALUE(LEFT(Schedule!I30,FIND(" ",Schedule!I30)-1),",",".")</f>
        <v>2</v>
      </c>
      <c r="L9" s="151" cm="1">
        <f t="array" aca="1" ref="L9" ca="1">SUMPRODUCT((Table7[Date]&gt;=$M9)*(Table7[Date]&lt;=MIN($N9,TODAY()))*_xlfn.SWITCH($C9,"Gym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Scrolling]="☐"),0)*CHOOSE(WEEKDAY(Table7[Date],2),$E9,$F9,$G9,$H9,$I9,$J9,$K9))</f>
        <v>0</v>
      </c>
      <c r="M9" s="148">
        <f t="shared" ca="1" si="0"/>
        <v>46314</v>
      </c>
      <c r="N9" s="148">
        <f t="shared" ca="1" si="1"/>
        <v>46320</v>
      </c>
    </row>
    <row r="10" spans="3:15" x14ac:dyDescent="0.3">
      <c r="C10" s="149" t="s">
        <v>293</v>
      </c>
      <c r="D10" s="151" cm="1">
        <f t="array" aca="1" ref="D10" ca="1">SUMPRODUCT((Table7[Date]&gt;=$M10)*(Table7[Date]&lt;=$N10)*(Table7[No Scrolling]="☑"))</f>
        <v>0</v>
      </c>
      <c r="E10" s="151">
        <f>1</f>
        <v>1</v>
      </c>
      <c r="F10" s="151">
        <f>1</f>
        <v>1</v>
      </c>
      <c r="G10" s="151">
        <f>1</f>
        <v>1</v>
      </c>
      <c r="H10" s="151">
        <f>1</f>
        <v>1</v>
      </c>
      <c r="I10" s="151">
        <f>1</f>
        <v>1</v>
      </c>
      <c r="J10" s="151">
        <f>1</f>
        <v>1</v>
      </c>
      <c r="K10" s="151">
        <f>1</f>
        <v>1</v>
      </c>
      <c r="L10" s="151" cm="1">
        <f t="array" aca="1" ref="L10" ca="1">SUMPRODUCT((Table7[Date]&gt;=$M10)*(Table7[Date]&lt;=MIN($N10,TODAY()))*_xlfn.SWITCH($C10,"Gym Training",--(Table7[Gym Training]="☑"),"Deutsch Lernen",--(Table7[Deutsch Lernen]="☑"),"Deutsch Flashcards",--(Table7[Deutsch Flashcards (20 min)]="☑"),"Career Development",--(Table7[Career Development]="☑"),"Calisthenics",--(Table7[Calisthenics]="☑"),"Kung Fu Training",--(Table7[Kung Fu Training]="☑"),"Guitar Practice",--(Table7[Guitar Practice]="☑"),"Scrolling",--(Table7[No Scrolling]="☐"),0)*CHOOSE(WEEKDAY(Table7[Date],2),$E10,$F10,$G10,$H10,$I10,$J10,$K10))</f>
        <v>7</v>
      </c>
      <c r="M10" s="170">
        <f ca="1">TODAY()-WEEKDAY(TODAY(),2)+1</f>
        <v>46314</v>
      </c>
      <c r="N10" s="170">
        <f ca="1">TODAY()-WEEKDAY(TODAY(),2)+7</f>
        <v>46320</v>
      </c>
    </row>
    <row r="11" spans="3:15" x14ac:dyDescent="0.3">
      <c r="C11" s="55"/>
      <c r="D11" s="55"/>
      <c r="E11" s="55"/>
      <c r="F11" s="55"/>
      <c r="G11" s="55"/>
      <c r="H11" s="55"/>
      <c r="I11" s="55"/>
      <c r="J11" s="55"/>
      <c r="K11" s="55"/>
      <c r="L11" s="142"/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B246A8-6B5E-47A5-B492-2D1545FA49A9}">
  <sheetPr codeName="Sheet6"/>
  <dimension ref="A2:E1048576"/>
  <sheetViews>
    <sheetView workbookViewId="0">
      <selection activeCell="E6" sqref="E6"/>
    </sheetView>
  </sheetViews>
  <sheetFormatPr defaultColWidth="11.44140625" defaultRowHeight="14.4" x14ac:dyDescent="0.3"/>
  <cols>
    <col min="1" max="1" width="22.6640625" bestFit="1" customWidth="1"/>
    <col min="2" max="2" width="33.33203125" bestFit="1" customWidth="1"/>
    <col min="3" max="3" width="18.5546875" bestFit="1" customWidth="1"/>
    <col min="4" max="5" width="33.33203125" bestFit="1" customWidth="1"/>
    <col min="6" max="6" width="19.5546875" bestFit="1" customWidth="1"/>
  </cols>
  <sheetData>
    <row r="2" spans="2:5" x14ac:dyDescent="0.3">
      <c r="B2" s="54" t="s">
        <v>133</v>
      </c>
      <c r="C2" s="54" t="s">
        <v>125</v>
      </c>
      <c r="D2" s="54" t="s">
        <v>191</v>
      </c>
      <c r="E2" s="54" t="s">
        <v>148</v>
      </c>
    </row>
    <row r="3" spans="2:5" x14ac:dyDescent="0.3">
      <c r="B3" s="55" t="s">
        <v>145</v>
      </c>
      <c r="C3" s="55" t="s">
        <v>147</v>
      </c>
      <c r="D3" s="56">
        <f ca="1">TODAY()+MOD(7-WEEKDAY(TODAY(),2),7)-7</f>
        <v>46313</v>
      </c>
      <c r="E3" s="56">
        <f ca="1">TODAY()+MOD(7-WEEKDAY(TODAY(),2),7)</f>
        <v>46320</v>
      </c>
    </row>
    <row r="4" spans="2:5" x14ac:dyDescent="0.3">
      <c r="B4" s="55" t="s">
        <v>146</v>
      </c>
      <c r="C4" s="55" t="s">
        <v>147</v>
      </c>
      <c r="D4" s="56">
        <f ca="1">TODAY()+MOD(7-WEEKDAY(TODAY(),2),7)-7</f>
        <v>46313</v>
      </c>
      <c r="E4" s="56">
        <f ca="1">TODAY()+MOD(7-WEEKDAY(TODAY(),2),7)</f>
        <v>46320</v>
      </c>
    </row>
    <row r="5" spans="2:5" x14ac:dyDescent="0.3">
      <c r="B5" s="55" t="s">
        <v>237</v>
      </c>
      <c r="C5" s="55" t="s">
        <v>141</v>
      </c>
      <c r="D5" s="56">
        <f ca="1">$B$1048562+_xlfn.CEILING.MATH((TODAY()-$B$1048562)/5, 1)*5-5</f>
        <v>46319</v>
      </c>
      <c r="E5" s="56">
        <f ca="1">$B$1048562+_xlfn.CEILING.MATH((TODAY()-$B$1048562)/5, 1)*5</f>
        <v>46324</v>
      </c>
    </row>
    <row r="6" spans="2:5" x14ac:dyDescent="0.3">
      <c r="B6" s="55" t="s">
        <v>323</v>
      </c>
      <c r="C6" s="55" t="s">
        <v>153</v>
      </c>
      <c r="D6" s="56">
        <f ca="1">$B$1048576+_xlfn.CEILING.MATH((TODAY()-$B$1048576)/21, 1)*21-21</f>
        <v>46316</v>
      </c>
      <c r="E6" s="56">
        <f ca="1">$B$1048576+_xlfn.CEILING.MATH((TODAY()-$B$1048576)/21, 1)*21</f>
        <v>46337</v>
      </c>
    </row>
    <row r="7" spans="2:5" x14ac:dyDescent="0.3">
      <c r="B7" s="55" t="s">
        <v>131</v>
      </c>
      <c r="C7" s="55" t="s">
        <v>192</v>
      </c>
      <c r="D7" s="56">
        <f ca="1">IF(DAY(TODAY())&gt;23,
   DATE(YEAR(TODAY()),MONTH(TODAY()),23),
   DATE(YEAR(TODAY()),MONTH(TODAY())-1,23))</f>
        <v>46318</v>
      </c>
      <c r="E7" s="56">
        <f ca="1">IF(DAY(TODAY())&lt;=23,
   DATE(YEAR(TODAY()),MONTH(TODAY()),23),
   DATE(YEAR(TODAY()),MONTH(TODAY())+1,23))</f>
        <v>46349</v>
      </c>
    </row>
    <row r="8" spans="2:5" x14ac:dyDescent="0.3">
      <c r="B8" s="55" t="s">
        <v>128</v>
      </c>
      <c r="C8" s="55" t="s">
        <v>142</v>
      </c>
      <c r="D8" s="56">
        <f ca="1">TODAY()+MOD(6-WEEKDAY(TODAY(),2),7)-7</f>
        <v>46319</v>
      </c>
      <c r="E8" s="56">
        <f ca="1">TODAY()+MOD(6-WEEKDAY(TODAY(),2),7)</f>
        <v>46326</v>
      </c>
    </row>
    <row r="9" spans="2:5" x14ac:dyDescent="0.3">
      <c r="B9" s="55" t="s">
        <v>129</v>
      </c>
      <c r="C9" s="55" t="s">
        <v>142</v>
      </c>
      <c r="D9" s="56">
        <f ca="1">TODAY()+MOD(6-WEEKDAY(TODAY(),2),7)-7</f>
        <v>46319</v>
      </c>
      <c r="E9" s="56">
        <f ca="1">TODAY()+MOD(6-WEEKDAY(TODAY(),2),7)</f>
        <v>46326</v>
      </c>
    </row>
    <row r="10" spans="2:5" x14ac:dyDescent="0.3">
      <c r="B10" s="55" t="s">
        <v>130</v>
      </c>
      <c r="C10" s="55" t="s">
        <v>143</v>
      </c>
      <c r="D10" s="56">
        <f ca="1">$B$1048565+_xlfn.CEILING.MATH((TODAY()-$B$1048565)/14, 1)*14-14</f>
        <v>46319</v>
      </c>
      <c r="E10" s="56">
        <f ca="1">$B$1048565+_xlfn.CEILING.MATH((TODAY()-$B$1048565)/14, 1)*14</f>
        <v>46333</v>
      </c>
    </row>
    <row r="11" spans="2:5" x14ac:dyDescent="0.3">
      <c r="B11" s="55" t="s">
        <v>135</v>
      </c>
      <c r="C11" s="55" t="s">
        <v>143</v>
      </c>
      <c r="D11" s="56">
        <f ca="1">$B$1048569+_xlfn.CEILING.MATH((TODAY()-$B$1048569)/14, 1)*14-14</f>
        <v>46319</v>
      </c>
      <c r="E11" s="56">
        <f ca="1">$B$1048569+_xlfn.CEILING.MATH((TODAY()-$B$1048569)/14, 1)*14</f>
        <v>46333</v>
      </c>
    </row>
    <row r="12" spans="2:5" x14ac:dyDescent="0.3">
      <c r="B12" s="55" t="s">
        <v>139</v>
      </c>
      <c r="C12" s="55" t="s">
        <v>154</v>
      </c>
      <c r="D12" s="56">
        <f ca="1">$B$1048571+_xlfn.CEILING.MATH((TODAY()-$B$1048571)/28, 1)*28-28</f>
        <v>46293</v>
      </c>
      <c r="E12" s="56">
        <f ca="1">$B$1048571+_xlfn.CEILING.MATH((TODAY()-$B$1048571)/28, 1)*28</f>
        <v>46321</v>
      </c>
    </row>
    <row r="13" spans="2:5" x14ac:dyDescent="0.3">
      <c r="B13" s="55" t="s">
        <v>136</v>
      </c>
      <c r="C13" s="55" t="s">
        <v>152</v>
      </c>
      <c r="D13" s="56">
        <f ca="1">$B$1048570+_xlfn.CEILING.MATH((TODAY()-$B$1048570)/40, 1)*40-40</f>
        <v>46287</v>
      </c>
      <c r="E13" s="56">
        <f ca="1">$B$1048570+_xlfn.CEILING.MATH((TODAY()-$B$1048570)/40, 1)*40</f>
        <v>46327</v>
      </c>
    </row>
    <row r="14" spans="2:5" x14ac:dyDescent="0.3">
      <c r="B14" s="55" t="s">
        <v>322</v>
      </c>
      <c r="C14" s="55" t="s">
        <v>190</v>
      </c>
      <c r="D14" s="56">
        <f ca="1">IF(DAY(TODAY())&gt;5,
   DATE(YEAR(TODAY()),MONTH(TODAY()),5),
   DATE(YEAR(TODAY()),MONTH(TODAY())-1,5))</f>
        <v>46300</v>
      </c>
      <c r="E14" s="56">
        <f ca="1">IF(DAY(TODAY())&lt;=5,
   DATE(YEAR(TODAY()),MONTH(TODAY()),5),
   DATE(YEAR(TODAY()),MONTH(TODAY())+1,5))</f>
        <v>46331</v>
      </c>
    </row>
    <row r="15" spans="2:5" x14ac:dyDescent="0.3">
      <c r="B15" s="55" t="s">
        <v>149</v>
      </c>
      <c r="C15" s="55" t="s">
        <v>190</v>
      </c>
      <c r="D15" s="56">
        <f ca="1">IF(DAY(TODAY())&gt;5,
   DATE(YEAR(TODAY()),MONTH(TODAY()),5),
   DATE(YEAR(TODAY()),MONTH(TODAY())-1,5))</f>
        <v>46300</v>
      </c>
      <c r="E15" s="56">
        <f ca="1">IF(DAY(TODAY())&lt;=5,
   DATE(YEAR(TODAY()),MONTH(TODAY()),5),
   DATE(YEAR(TODAY()),MONTH(TODAY())+1,5))</f>
        <v>46331</v>
      </c>
    </row>
    <row r="16" spans="2:5" x14ac:dyDescent="0.3">
      <c r="B16" s="55" t="s">
        <v>235</v>
      </c>
      <c r="C16" s="55" t="s">
        <v>236</v>
      </c>
      <c r="D16" s="56">
        <f ca="1">IF(DAY(TODAY())&gt;10,
   DATE(YEAR(TODAY()),MONTH(TODAY()),10),
   DATE(YEAR(TODAY()),MONTH(TODAY())-1,10))</f>
        <v>46305</v>
      </c>
      <c r="E16" s="56">
        <f ca="1">IF(DAY(TODAY())&lt;=10,
   DATE(YEAR(TODAY()),MONTH(TODAY()),10),
   DATE(YEAR(TODAY()),MONTH(TODAY())+1,10))</f>
        <v>46336</v>
      </c>
    </row>
    <row r="17" spans="2:5" x14ac:dyDescent="0.3">
      <c r="B17" s="55" t="s">
        <v>132</v>
      </c>
      <c r="C17" s="55" t="s">
        <v>151</v>
      </c>
      <c r="D17" s="56">
        <f ca="1">$B$1048568+_xlfn.CEILING.MATH((TODAY()-$B$1048568)/90, 1)*90-90</f>
        <v>46247</v>
      </c>
      <c r="E17" s="56">
        <f ca="1">$B$1048568+_xlfn.CEILING.MATH((TODAY()-$B$1048568)/90, 1)*90</f>
        <v>46337</v>
      </c>
    </row>
    <row r="18" spans="2:5" x14ac:dyDescent="0.3">
      <c r="B18" s="55" t="s">
        <v>238</v>
      </c>
      <c r="C18" s="55" t="s">
        <v>144</v>
      </c>
      <c r="D18" s="56">
        <f ca="1">IF(DAY(TODAY())&gt;15,
   DATE(YEAR(TODAY()),MONTH(TODAY()),15),
   DATE(YEAR(TODAY()),MONTH(TODAY())-1,15))</f>
        <v>46310</v>
      </c>
      <c r="E18" s="56">
        <f ca="1">IF(DAY(TODAY())&lt;=15,
   DATE(YEAR(TODAY()),MONTH(TODAY()),15),
   DATE(YEAR(TODAY()),MONTH(TODAY())+1,15))</f>
        <v>46341</v>
      </c>
    </row>
    <row r="1048562" spans="1:2" x14ac:dyDescent="0.3">
      <c r="A1048562" s="65" t="s">
        <v>126</v>
      </c>
      <c r="B1048562" s="56">
        <v>46064</v>
      </c>
    </row>
    <row r="1048563" spans="1:2" x14ac:dyDescent="0.3">
      <c r="A1048563" s="66" t="s">
        <v>127</v>
      </c>
      <c r="B1048563" s="56">
        <v>46042</v>
      </c>
    </row>
    <row r="1048564" spans="1:2" x14ac:dyDescent="0.3">
      <c r="A1048564" s="65" t="s">
        <v>128</v>
      </c>
      <c r="B1048564" s="56" t="s">
        <v>84</v>
      </c>
    </row>
    <row r="1048565" spans="1:2" x14ac:dyDescent="0.3">
      <c r="A1048565" s="66" t="s">
        <v>130</v>
      </c>
      <c r="B1048565" s="56">
        <v>46067</v>
      </c>
    </row>
    <row r="1048566" spans="1:2" x14ac:dyDescent="0.3">
      <c r="A1048566" s="65" t="s">
        <v>129</v>
      </c>
      <c r="B1048566" s="56" t="s">
        <v>84</v>
      </c>
    </row>
    <row r="1048567" spans="1:2" x14ac:dyDescent="0.3">
      <c r="A1048567" s="66" t="s">
        <v>131</v>
      </c>
      <c r="B1048567" s="56" t="s">
        <v>84</v>
      </c>
    </row>
    <row r="1048568" spans="1:2" x14ac:dyDescent="0.3">
      <c r="A1048568" s="65" t="s">
        <v>132</v>
      </c>
      <c r="B1048568" s="56">
        <v>46067</v>
      </c>
    </row>
    <row r="1048569" spans="1:2" x14ac:dyDescent="0.3">
      <c r="A1048569" s="66" t="s">
        <v>135</v>
      </c>
      <c r="B1048569" s="56">
        <v>46067</v>
      </c>
    </row>
    <row r="1048570" spans="1:2" x14ac:dyDescent="0.3">
      <c r="A1048570" s="65" t="s">
        <v>136</v>
      </c>
      <c r="B1048570" s="56">
        <v>46047</v>
      </c>
    </row>
    <row r="1048571" spans="1:2" x14ac:dyDescent="0.3">
      <c r="A1048571" s="66" t="s">
        <v>139</v>
      </c>
      <c r="B1048571" s="56">
        <v>46069</v>
      </c>
    </row>
    <row r="1048572" spans="1:2" x14ac:dyDescent="0.3">
      <c r="A1048572" s="65" t="s">
        <v>145</v>
      </c>
      <c r="B1048572" s="56" t="s">
        <v>84</v>
      </c>
    </row>
    <row r="1048573" spans="1:2" x14ac:dyDescent="0.3">
      <c r="A1048573" s="66" t="s">
        <v>146</v>
      </c>
      <c r="B1048573" s="56" t="s">
        <v>84</v>
      </c>
    </row>
    <row r="1048574" spans="1:2" x14ac:dyDescent="0.3">
      <c r="A1048574" s="65" t="s">
        <v>134</v>
      </c>
      <c r="B1048574" s="56" t="s">
        <v>84</v>
      </c>
    </row>
    <row r="1048575" spans="1:2" x14ac:dyDescent="0.3">
      <c r="A1048575" s="66" t="s">
        <v>149</v>
      </c>
      <c r="B1048575" s="56" t="s">
        <v>84</v>
      </c>
    </row>
    <row r="1048576" spans="1:2" x14ac:dyDescent="0.3">
      <c r="A1048576" s="65" t="s">
        <v>150</v>
      </c>
      <c r="B1048576" s="56">
        <v>46295</v>
      </c>
    </row>
  </sheetData>
  <conditionalFormatting sqref="E3:E18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4233B-24AE-43E4-A4DC-AFDE66F26521}">
  <sheetPr codeName="Sheet5"/>
  <dimension ref="B1:G27"/>
  <sheetViews>
    <sheetView zoomScale="101" zoomScaleNormal="115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7" sqref="B27"/>
    </sheetView>
  </sheetViews>
  <sheetFormatPr defaultColWidth="11.44140625" defaultRowHeight="14.4" x14ac:dyDescent="0.3"/>
  <cols>
    <col min="2" max="2" width="89.5546875" bestFit="1" customWidth="1"/>
    <col min="3" max="3" width="28.6640625" bestFit="1" customWidth="1"/>
    <col min="4" max="4" width="31.6640625" bestFit="1" customWidth="1"/>
    <col min="5" max="5" width="25.88671875" bestFit="1" customWidth="1"/>
    <col min="6" max="6" width="17.33203125" bestFit="1" customWidth="1"/>
    <col min="7" max="7" width="31.33203125" bestFit="1" customWidth="1"/>
  </cols>
  <sheetData>
    <row r="1" spans="2:7" x14ac:dyDescent="0.3">
      <c r="B1" s="54" t="s">
        <v>87</v>
      </c>
      <c r="C1" s="54" t="s">
        <v>88</v>
      </c>
      <c r="D1" s="54" t="s">
        <v>89</v>
      </c>
      <c r="E1" s="54" t="s">
        <v>90</v>
      </c>
      <c r="F1" s="54" t="s">
        <v>91</v>
      </c>
      <c r="G1" s="54" t="s">
        <v>124</v>
      </c>
    </row>
    <row r="2" spans="2:7" x14ac:dyDescent="0.3">
      <c r="B2" s="55" t="s">
        <v>99</v>
      </c>
      <c r="C2" s="55">
        <v>5</v>
      </c>
      <c r="D2" s="56">
        <v>46229</v>
      </c>
      <c r="E2" s="55">
        <v>1</v>
      </c>
      <c r="F2" s="55">
        <f t="shared" ref="F2:F26" ca="1" si="0">C2 + MAX(0, (30-_xlfn.DAYS(D2, TODAY()))) + (10-E2)</f>
        <v>135</v>
      </c>
      <c r="G2" s="64"/>
    </row>
    <row r="3" spans="2:7" x14ac:dyDescent="0.3">
      <c r="B3" s="55" t="s">
        <v>97</v>
      </c>
      <c r="C3" s="55">
        <v>5</v>
      </c>
      <c r="D3" s="56">
        <v>46229</v>
      </c>
      <c r="E3" s="55">
        <v>1</v>
      </c>
      <c r="F3" s="55">
        <f t="shared" ca="1" si="0"/>
        <v>135</v>
      </c>
      <c r="G3" s="64"/>
    </row>
    <row r="4" spans="2:7" x14ac:dyDescent="0.3">
      <c r="B4" s="55" t="s">
        <v>92</v>
      </c>
      <c r="C4" s="55">
        <v>3</v>
      </c>
      <c r="D4" s="56">
        <v>46229</v>
      </c>
      <c r="E4" s="55">
        <v>0</v>
      </c>
      <c r="F4" s="55">
        <f t="shared" ca="1" si="0"/>
        <v>134</v>
      </c>
      <c r="G4" s="64"/>
    </row>
    <row r="5" spans="2:7" x14ac:dyDescent="0.3">
      <c r="B5" s="55" t="s">
        <v>123</v>
      </c>
      <c r="C5" s="55">
        <v>3</v>
      </c>
      <c r="D5" s="56">
        <v>46229</v>
      </c>
      <c r="E5" s="55">
        <v>3</v>
      </c>
      <c r="F5" s="55">
        <f t="shared" ca="1" si="0"/>
        <v>131</v>
      </c>
      <c r="G5" s="64"/>
    </row>
    <row r="6" spans="2:7" x14ac:dyDescent="0.3">
      <c r="B6" s="55" t="s">
        <v>95</v>
      </c>
      <c r="C6" s="55">
        <v>4</v>
      </c>
      <c r="D6" s="56">
        <v>46236</v>
      </c>
      <c r="E6" s="55">
        <v>0</v>
      </c>
      <c r="F6" s="55">
        <f t="shared" ca="1" si="0"/>
        <v>128</v>
      </c>
      <c r="G6" s="64"/>
    </row>
    <row r="7" spans="2:7" x14ac:dyDescent="0.3">
      <c r="B7" s="55" t="s">
        <v>137</v>
      </c>
      <c r="C7" s="55">
        <v>3</v>
      </c>
      <c r="D7" s="56">
        <v>46236</v>
      </c>
      <c r="E7" s="55">
        <v>0</v>
      </c>
      <c r="F7" s="55">
        <f t="shared" ca="1" si="0"/>
        <v>127</v>
      </c>
      <c r="G7" s="64"/>
    </row>
    <row r="8" spans="2:7" x14ac:dyDescent="0.3">
      <c r="B8" s="55" t="s">
        <v>98</v>
      </c>
      <c r="C8" s="55">
        <v>2</v>
      </c>
      <c r="D8" s="56">
        <v>46236</v>
      </c>
      <c r="E8" s="55">
        <v>0</v>
      </c>
      <c r="F8" s="55">
        <f t="shared" ca="1" si="0"/>
        <v>126</v>
      </c>
      <c r="G8" s="64"/>
    </row>
    <row r="9" spans="2:7" x14ac:dyDescent="0.3">
      <c r="B9" s="55" t="s">
        <v>100</v>
      </c>
      <c r="C9" s="55">
        <v>1</v>
      </c>
      <c r="D9" s="56">
        <v>46236</v>
      </c>
      <c r="E9" s="55">
        <v>0</v>
      </c>
      <c r="F9" s="55">
        <f t="shared" ca="1" si="0"/>
        <v>125</v>
      </c>
      <c r="G9" s="64"/>
    </row>
    <row r="10" spans="2:7" x14ac:dyDescent="0.3">
      <c r="B10" s="55" t="s">
        <v>101</v>
      </c>
      <c r="C10" s="55">
        <v>1</v>
      </c>
      <c r="D10" s="56">
        <v>46236</v>
      </c>
      <c r="E10" s="55">
        <v>0</v>
      </c>
      <c r="F10" s="55">
        <f t="shared" ca="1" si="0"/>
        <v>125</v>
      </c>
      <c r="G10" s="64"/>
    </row>
    <row r="11" spans="2:7" x14ac:dyDescent="0.3">
      <c r="B11" s="55" t="s">
        <v>102</v>
      </c>
      <c r="C11" s="55">
        <v>1</v>
      </c>
      <c r="D11" s="56">
        <v>46236</v>
      </c>
      <c r="E11" s="55">
        <v>0</v>
      </c>
      <c r="F11" s="55">
        <f t="shared" ca="1" si="0"/>
        <v>125</v>
      </c>
      <c r="G11" s="64"/>
    </row>
    <row r="12" spans="2:7" x14ac:dyDescent="0.3">
      <c r="B12" s="55" t="s">
        <v>138</v>
      </c>
      <c r="C12" s="55">
        <v>3</v>
      </c>
      <c r="D12" s="56">
        <v>46243</v>
      </c>
      <c r="E12" s="55">
        <v>0</v>
      </c>
      <c r="F12" s="55">
        <f t="shared" ca="1" si="0"/>
        <v>120</v>
      </c>
      <c r="G12" s="64"/>
    </row>
    <row r="13" spans="2:7" x14ac:dyDescent="0.3">
      <c r="B13" s="55" t="s">
        <v>105</v>
      </c>
      <c r="C13" s="55">
        <v>3</v>
      </c>
      <c r="D13" s="56">
        <v>46243</v>
      </c>
      <c r="E13" s="55">
        <v>0</v>
      </c>
      <c r="F13" s="55">
        <f t="shared" ca="1" si="0"/>
        <v>120</v>
      </c>
      <c r="G13" s="64"/>
    </row>
    <row r="14" spans="2:7" x14ac:dyDescent="0.3">
      <c r="B14" s="55" t="s">
        <v>106</v>
      </c>
      <c r="C14" s="55">
        <v>3</v>
      </c>
      <c r="D14" s="56">
        <v>46243</v>
      </c>
      <c r="E14" s="55">
        <v>0</v>
      </c>
      <c r="F14" s="55">
        <f t="shared" ca="1" si="0"/>
        <v>120</v>
      </c>
      <c r="G14" s="64"/>
    </row>
    <row r="15" spans="2:7" x14ac:dyDescent="0.3">
      <c r="B15" s="55" t="s">
        <v>103</v>
      </c>
      <c r="C15" s="55">
        <v>1</v>
      </c>
      <c r="D15" s="56">
        <v>46243</v>
      </c>
      <c r="E15" s="55">
        <v>0</v>
      </c>
      <c r="F15" s="55">
        <f t="shared" ca="1" si="0"/>
        <v>118</v>
      </c>
      <c r="G15" s="64"/>
    </row>
    <row r="16" spans="2:7" x14ac:dyDescent="0.3">
      <c r="B16" s="55" t="s">
        <v>104</v>
      </c>
      <c r="C16" s="55">
        <v>1</v>
      </c>
      <c r="D16" s="56">
        <v>46243</v>
      </c>
      <c r="E16" s="55">
        <v>0</v>
      </c>
      <c r="F16" s="55">
        <f t="shared" ca="1" si="0"/>
        <v>118</v>
      </c>
      <c r="G16" s="64"/>
    </row>
    <row r="17" spans="2:7" x14ac:dyDescent="0.3">
      <c r="B17" s="55" t="s">
        <v>93</v>
      </c>
      <c r="C17" s="55">
        <v>5</v>
      </c>
      <c r="D17" s="56">
        <v>46243</v>
      </c>
      <c r="E17" s="55">
        <v>4</v>
      </c>
      <c r="F17" s="55">
        <f t="shared" ca="1" si="0"/>
        <v>118</v>
      </c>
      <c r="G17" s="64"/>
    </row>
    <row r="18" spans="2:7" x14ac:dyDescent="0.3">
      <c r="B18" s="55" t="s">
        <v>107</v>
      </c>
      <c r="C18" s="55">
        <v>2</v>
      </c>
      <c r="D18" s="56">
        <v>46250</v>
      </c>
      <c r="E18" s="55">
        <v>0</v>
      </c>
      <c r="F18" s="55">
        <f t="shared" ca="1" si="0"/>
        <v>112</v>
      </c>
      <c r="G18" s="64"/>
    </row>
    <row r="19" spans="2:7" x14ac:dyDescent="0.3">
      <c r="B19" s="55" t="s">
        <v>94</v>
      </c>
      <c r="C19" s="55">
        <v>2</v>
      </c>
      <c r="D19" s="56">
        <v>46250</v>
      </c>
      <c r="E19" s="55">
        <v>0</v>
      </c>
      <c r="F19" s="55">
        <f t="shared" ca="1" si="0"/>
        <v>112</v>
      </c>
      <c r="G19" s="64"/>
    </row>
    <row r="20" spans="2:7" x14ac:dyDescent="0.3">
      <c r="B20" s="55" t="s">
        <v>239</v>
      </c>
      <c r="C20" s="55">
        <v>2</v>
      </c>
      <c r="D20" s="56">
        <v>46257</v>
      </c>
      <c r="E20" s="55">
        <v>0</v>
      </c>
      <c r="F20" s="55">
        <f t="shared" ca="1" si="0"/>
        <v>105</v>
      </c>
      <c r="G20" s="64"/>
    </row>
    <row r="21" spans="2:7" x14ac:dyDescent="0.3">
      <c r="B21" s="55" t="s">
        <v>246</v>
      </c>
      <c r="C21" s="55">
        <v>3</v>
      </c>
      <c r="D21" s="56">
        <v>46257</v>
      </c>
      <c r="E21" s="55">
        <v>2</v>
      </c>
      <c r="F21" s="55">
        <f t="shared" ca="1" si="0"/>
        <v>104</v>
      </c>
      <c r="G21" s="64"/>
    </row>
    <row r="22" spans="2:7" x14ac:dyDescent="0.3">
      <c r="B22" s="55" t="s">
        <v>96</v>
      </c>
      <c r="C22" s="55">
        <v>1</v>
      </c>
      <c r="D22" s="56">
        <v>46257</v>
      </c>
      <c r="E22" s="55">
        <v>0</v>
      </c>
      <c r="F22" s="55">
        <f t="shared" ca="1" si="0"/>
        <v>104</v>
      </c>
      <c r="G22" s="64"/>
    </row>
    <row r="23" spans="2:7" x14ac:dyDescent="0.3">
      <c r="B23" s="55" t="s">
        <v>319</v>
      </c>
      <c r="C23" s="55">
        <v>5</v>
      </c>
      <c r="D23" s="56">
        <v>46300</v>
      </c>
      <c r="E23" s="55">
        <v>0</v>
      </c>
      <c r="F23" s="55">
        <f t="shared" ca="1" si="0"/>
        <v>65</v>
      </c>
      <c r="G23" s="64"/>
    </row>
    <row r="24" spans="2:7" x14ac:dyDescent="0.3">
      <c r="B24" s="180" t="s">
        <v>313</v>
      </c>
      <c r="C24" s="180">
        <v>5</v>
      </c>
      <c r="D24" s="181">
        <v>46300</v>
      </c>
      <c r="E24" s="180">
        <v>5</v>
      </c>
      <c r="F24" s="180">
        <f t="shared" ca="1" si="0"/>
        <v>60</v>
      </c>
      <c r="G24" s="182" t="s">
        <v>312</v>
      </c>
    </row>
    <row r="25" spans="2:7" x14ac:dyDescent="0.3">
      <c r="B25" s="179" t="s">
        <v>295</v>
      </c>
      <c r="C25" s="55">
        <v>5</v>
      </c>
      <c r="D25" s="56">
        <v>46314</v>
      </c>
      <c r="E25" s="55">
        <v>0</v>
      </c>
      <c r="F25" s="55">
        <f t="shared" ca="1" si="0"/>
        <v>51</v>
      </c>
      <c r="G25" s="64" t="s">
        <v>296</v>
      </c>
    </row>
    <row r="26" spans="2:7" x14ac:dyDescent="0.3">
      <c r="B26" s="55" t="s">
        <v>320</v>
      </c>
      <c r="C26" s="55">
        <v>3</v>
      </c>
      <c r="D26" s="56">
        <v>46357</v>
      </c>
      <c r="E26" s="55">
        <v>0</v>
      </c>
      <c r="F26" s="55">
        <f t="shared" ca="1" si="0"/>
        <v>13</v>
      </c>
      <c r="G26" s="64" t="s">
        <v>321</v>
      </c>
    </row>
    <row r="27" spans="2:7" x14ac:dyDescent="0.3">
      <c r="B27" s="55" t="s">
        <v>324</v>
      </c>
      <c r="C27" s="55">
        <v>5</v>
      </c>
      <c r="D27" s="56">
        <v>46405</v>
      </c>
      <c r="E27" s="55">
        <v>0</v>
      </c>
      <c r="F27" s="55">
        <f ca="1">C27 + MAX(0, (30-_xlfn.DAYS(D27, TODAY()))) + (10-E27)</f>
        <v>15</v>
      </c>
      <c r="G27" s="64" t="s">
        <v>325</v>
      </c>
    </row>
  </sheetData>
  <conditionalFormatting sqref="F2:G27">
    <cfRule type="colorScale" priority="56">
      <colorScale>
        <cfvo type="min"/>
        <cfvo type="percentile" val="50"/>
        <cfvo type="max"/>
        <color rgb="FF63BE7B"/>
        <color rgb="FFFFEB84"/>
        <color rgb="FFF8696B"/>
      </colorScale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01F2B-8FE0-4529-B4E1-55EC9C5E81B1}">
  <sheetPr codeName="Sheet7"/>
  <dimension ref="B2:GE372"/>
  <sheetViews>
    <sheetView zoomScale="92" workbookViewId="0">
      <pane xSplit="3" ySplit="5" topLeftCell="D62" activePane="bottomRight" state="frozen"/>
      <selection pane="topRight" activeCell="D1" sqref="D1"/>
      <selection pane="bottomLeft" activeCell="A6" sqref="A6"/>
      <selection pane="bottomRight" activeCell="D76" sqref="D76"/>
    </sheetView>
  </sheetViews>
  <sheetFormatPr defaultRowHeight="14.4" x14ac:dyDescent="0.3"/>
  <cols>
    <col min="2" max="2" width="11" style="125" bestFit="1" customWidth="1"/>
    <col min="3" max="3" width="10.6640625" style="55" bestFit="1" customWidth="1"/>
    <col min="4" max="4" width="18" style="55" bestFit="1" customWidth="1"/>
    <col min="5" max="5" width="21.88671875" style="55" customWidth="1"/>
    <col min="6" max="6" width="24.88671875" style="55" bestFit="1" customWidth="1"/>
    <col min="7" max="7" width="23.33203125" style="55" bestFit="1" customWidth="1"/>
    <col min="8" max="8" width="17.88671875" style="55" bestFit="1" customWidth="1"/>
    <col min="9" max="9" width="18" style="55" bestFit="1" customWidth="1"/>
    <col min="10" max="10" width="21.88671875" style="55" bestFit="1" customWidth="1"/>
    <col min="11" max="11" width="24.88671875" style="55" bestFit="1" customWidth="1"/>
    <col min="12" max="12" width="23.33203125" style="55" bestFit="1" customWidth="1"/>
    <col min="13" max="13" width="17.88671875" style="55" bestFit="1" customWidth="1"/>
    <col min="14" max="14" width="18" style="55" bestFit="1" customWidth="1"/>
    <col min="15" max="15" width="21.88671875" style="55" bestFit="1" customWidth="1"/>
    <col min="16" max="16" width="24.88671875" style="55" bestFit="1" customWidth="1"/>
    <col min="17" max="17" width="23.33203125" style="55" bestFit="1" customWidth="1"/>
    <col min="18" max="18" width="17.88671875" style="55" bestFit="1" customWidth="1"/>
    <col min="19" max="19" width="21.33203125" bestFit="1" customWidth="1"/>
    <col min="20" max="20" width="15.6640625" bestFit="1" customWidth="1"/>
    <col min="22" max="22" width="22.33203125" customWidth="1"/>
    <col min="23" max="23" width="13" customWidth="1"/>
    <col min="24" max="24" width="22.88671875" bestFit="1" customWidth="1"/>
    <col min="25" max="25" width="19.88671875" bestFit="1" customWidth="1"/>
    <col min="26" max="26" width="20.88671875" bestFit="1" customWidth="1"/>
  </cols>
  <sheetData>
    <row r="2" spans="2:187" x14ac:dyDescent="0.3">
      <c r="B2"/>
      <c r="C2"/>
      <c r="D2"/>
      <c r="E2"/>
      <c r="F2"/>
      <c r="G2"/>
      <c r="H2"/>
      <c r="I2"/>
      <c r="J2"/>
      <c r="K2"/>
      <c r="L2"/>
      <c r="M2"/>
      <c r="N2"/>
      <c r="O2"/>
      <c r="P2"/>
      <c r="Q2"/>
      <c r="R2"/>
      <c r="V2" s="195"/>
      <c r="W2" s="195"/>
      <c r="X2" s="195"/>
      <c r="Y2" s="195"/>
      <c r="Z2" s="195"/>
      <c r="AA2" s="195"/>
      <c r="AB2" s="195"/>
      <c r="AC2" s="195"/>
      <c r="AD2" s="195"/>
      <c r="AE2" s="195"/>
      <c r="AF2" s="195"/>
      <c r="AG2" s="195"/>
      <c r="AH2" s="195"/>
      <c r="AI2" s="195"/>
      <c r="AJ2" s="195"/>
      <c r="AK2" s="195"/>
      <c r="AL2" s="195"/>
      <c r="AM2" s="195"/>
      <c r="AN2" s="195"/>
      <c r="AO2" s="195"/>
      <c r="AP2" s="195"/>
      <c r="AQ2" s="195"/>
      <c r="AR2" s="195"/>
      <c r="AS2" s="195"/>
      <c r="AT2" s="195"/>
      <c r="AU2" s="195"/>
      <c r="AV2" s="195"/>
      <c r="AW2" s="195"/>
      <c r="AX2" s="195"/>
      <c r="AY2" s="195"/>
      <c r="AZ2" s="195"/>
      <c r="BA2" s="195"/>
      <c r="BB2" s="195"/>
      <c r="BC2" s="195"/>
      <c r="BD2" s="195"/>
      <c r="BE2" s="195"/>
      <c r="BF2" s="195"/>
      <c r="BG2" s="195"/>
      <c r="BH2" s="195"/>
      <c r="BI2" s="195"/>
      <c r="BJ2" s="195"/>
      <c r="BK2" s="195"/>
      <c r="BL2" s="195"/>
      <c r="BM2" s="195"/>
      <c r="BN2" s="195"/>
      <c r="BO2" s="195"/>
      <c r="BP2" s="195"/>
      <c r="BQ2" s="195"/>
      <c r="BR2" s="195"/>
      <c r="BS2" s="195"/>
      <c r="BT2" s="195"/>
      <c r="BU2" s="195"/>
      <c r="BV2" s="195"/>
      <c r="BW2" s="195"/>
      <c r="BX2" s="195"/>
      <c r="BY2" s="195"/>
      <c r="BZ2" s="195"/>
      <c r="CA2" s="195"/>
      <c r="CB2" s="195"/>
      <c r="CC2" s="195"/>
      <c r="CD2" s="195"/>
      <c r="CE2" s="195"/>
      <c r="CF2" s="195"/>
      <c r="CG2" s="195"/>
      <c r="CH2" s="195"/>
      <c r="CI2" s="195"/>
      <c r="CJ2" s="195"/>
      <c r="CK2" s="195"/>
      <c r="CL2" s="195"/>
      <c r="CM2" s="195"/>
      <c r="CN2" s="195"/>
      <c r="CO2" s="195"/>
      <c r="CP2" s="195"/>
      <c r="CQ2" s="195"/>
      <c r="CR2" s="195"/>
      <c r="CS2" s="195"/>
      <c r="CT2" s="195"/>
      <c r="CU2" s="195"/>
      <c r="CV2" s="195"/>
      <c r="CW2" s="195"/>
      <c r="CX2" s="195"/>
      <c r="CY2" s="195"/>
      <c r="CZ2" s="195"/>
      <c r="DA2" s="195"/>
      <c r="DB2" s="195"/>
      <c r="DC2" s="195"/>
      <c r="DD2" s="195"/>
      <c r="DE2" s="195"/>
      <c r="DF2" s="195"/>
      <c r="DG2" s="195"/>
      <c r="DH2" s="195"/>
      <c r="DI2" s="195"/>
      <c r="DJ2" s="195"/>
      <c r="DK2" s="195"/>
      <c r="DL2" s="195"/>
      <c r="DM2" s="195"/>
      <c r="DN2" s="111"/>
      <c r="DO2" s="111"/>
      <c r="DP2" s="111"/>
      <c r="DQ2" s="111"/>
      <c r="DR2" s="111"/>
      <c r="DS2" s="111"/>
      <c r="DT2" s="111"/>
      <c r="DU2" s="111"/>
      <c r="DV2" s="111"/>
      <c r="DW2" s="111"/>
      <c r="DX2" s="111"/>
      <c r="DY2" s="111"/>
      <c r="DZ2" s="111"/>
      <c r="EA2" s="111"/>
      <c r="EB2" s="111"/>
      <c r="EC2" s="111"/>
      <c r="ED2" s="111"/>
      <c r="EE2" s="111"/>
      <c r="EF2" s="111"/>
      <c r="EG2" s="111"/>
      <c r="EH2" s="111"/>
      <c r="EI2" s="111"/>
      <c r="EJ2" s="111"/>
      <c r="EK2" s="111"/>
      <c r="EL2" s="111"/>
      <c r="EM2" s="111"/>
      <c r="EN2" s="111"/>
      <c r="EO2" s="111"/>
      <c r="EP2" s="111"/>
      <c r="EQ2" s="111"/>
      <c r="ER2" s="111"/>
      <c r="ES2" s="111"/>
      <c r="ET2" s="111"/>
      <c r="EU2" s="111"/>
      <c r="EV2" s="111"/>
      <c r="EW2" s="111"/>
      <c r="EX2" s="111"/>
      <c r="EY2" s="111"/>
      <c r="EZ2" s="111"/>
      <c r="FA2" s="111"/>
      <c r="FB2" s="111"/>
      <c r="FC2" s="111"/>
      <c r="FD2" s="111"/>
      <c r="FE2" s="111"/>
      <c r="FF2" s="111"/>
      <c r="FG2" s="111"/>
      <c r="FH2" s="111"/>
      <c r="FI2" s="111"/>
      <c r="FJ2" s="111"/>
      <c r="FK2" s="111"/>
      <c r="FL2" s="111"/>
      <c r="FM2" s="111"/>
      <c r="FN2" s="111"/>
      <c r="FO2" s="111"/>
      <c r="FP2" s="111"/>
      <c r="FQ2" s="111"/>
      <c r="FR2" s="111"/>
      <c r="FS2" s="111"/>
      <c r="FT2" s="111"/>
      <c r="FU2" s="111"/>
      <c r="FV2" s="111"/>
      <c r="FW2" s="111"/>
      <c r="FX2" s="111"/>
      <c r="FY2" s="111"/>
      <c r="FZ2" s="195"/>
      <c r="GA2" s="195"/>
      <c r="GB2" s="195"/>
      <c r="GC2" s="195"/>
      <c r="GD2" s="195"/>
      <c r="GE2" s="195"/>
    </row>
    <row r="3" spans="2:187" ht="23.25" hidden="1" customHeight="1" x14ac:dyDescent="0.3">
      <c r="B3" s="111"/>
      <c r="C3" s="111"/>
      <c r="D3" s="111"/>
      <c r="E3" s="111"/>
      <c r="F3" s="111"/>
      <c r="G3" s="111"/>
      <c r="H3" s="111"/>
      <c r="I3" s="111"/>
      <c r="J3" s="111"/>
      <c r="K3" s="111"/>
      <c r="L3" s="111"/>
      <c r="M3" s="111"/>
      <c r="N3" s="111"/>
      <c r="O3" s="111"/>
      <c r="P3" s="111"/>
      <c r="Q3" s="111"/>
      <c r="R3" s="111"/>
      <c r="S3" s="111"/>
      <c r="T3" s="111"/>
      <c r="U3" s="111"/>
      <c r="V3" s="111"/>
      <c r="W3" s="111"/>
      <c r="X3" s="111"/>
      <c r="Y3" s="111"/>
      <c r="Z3" s="111"/>
      <c r="AA3" s="111"/>
    </row>
    <row r="4" spans="2:187" x14ac:dyDescent="0.3">
      <c r="B4"/>
      <c r="C4"/>
      <c r="D4" s="197" t="s">
        <v>202</v>
      </c>
      <c r="E4" s="196"/>
      <c r="F4" s="196"/>
      <c r="G4" s="196"/>
      <c r="H4" s="196"/>
      <c r="I4" s="196" t="s">
        <v>203</v>
      </c>
      <c r="J4" s="196"/>
      <c r="K4" s="196"/>
      <c r="L4" s="196"/>
      <c r="M4" s="196"/>
      <c r="N4" s="196" t="s">
        <v>204</v>
      </c>
      <c r="O4" s="196"/>
      <c r="P4" s="196"/>
      <c r="Q4" s="196"/>
      <c r="R4" s="196"/>
    </row>
    <row r="5" spans="2:187" x14ac:dyDescent="0.3">
      <c r="B5" s="126" t="s">
        <v>197</v>
      </c>
      <c r="C5" s="126" t="s">
        <v>198</v>
      </c>
      <c r="D5" s="137" t="s">
        <v>207</v>
      </c>
      <c r="E5" s="126" t="s">
        <v>208</v>
      </c>
      <c r="F5" s="126" t="s">
        <v>211</v>
      </c>
      <c r="G5" s="126" t="s">
        <v>210</v>
      </c>
      <c r="H5" s="126" t="s">
        <v>209</v>
      </c>
      <c r="I5" s="126" t="s">
        <v>212</v>
      </c>
      <c r="J5" s="126" t="s">
        <v>213</v>
      </c>
      <c r="K5" s="126" t="s">
        <v>214</v>
      </c>
      <c r="L5" s="126" t="s">
        <v>215</v>
      </c>
      <c r="M5" s="126" t="s">
        <v>216</v>
      </c>
      <c r="N5" s="126" t="s">
        <v>217</v>
      </c>
      <c r="O5" s="126" t="s">
        <v>218</v>
      </c>
      <c r="P5" s="126" t="s">
        <v>219</v>
      </c>
      <c r="Q5" s="126" t="s">
        <v>220</v>
      </c>
      <c r="R5" s="126" t="s">
        <v>221</v>
      </c>
      <c r="S5" s="127" t="s">
        <v>205</v>
      </c>
      <c r="T5" s="127" t="s">
        <v>206</v>
      </c>
    </row>
    <row r="6" spans="2:187" x14ac:dyDescent="0.3">
      <c r="B6" s="128">
        <v>46196</v>
      </c>
      <c r="C6" s="129" t="str">
        <f t="shared" ref="C6:C69" si="0">CHOOSE(WEEKDAY(B6,2),"Monday","Tuesday","Wednesday","Thursday","Friday","Saturday","Sunday")</f>
        <v>Tuesday</v>
      </c>
      <c r="D6" s="138" t="s">
        <v>199</v>
      </c>
      <c r="E6" s="129">
        <v>6</v>
      </c>
      <c r="F6" s="129">
        <v>3</v>
      </c>
      <c r="G6" s="129">
        <f>E6*25+F6</f>
        <v>153</v>
      </c>
      <c r="H6" s="129" t="str">
        <f t="shared" ref="H6" si="1">ROUNDDOWN(G6/60, 0)&amp;"h"&amp;ROUNDUP((G6/60-ROUNDDOWN(G6/60, 0))*60,0)</f>
        <v>2h33</v>
      </c>
      <c r="I6" s="139" t="s">
        <v>84</v>
      </c>
      <c r="J6" s="129"/>
      <c r="K6" s="129"/>
      <c r="L6" s="129">
        <f>J6*25+K6</f>
        <v>0</v>
      </c>
      <c r="M6" s="129" t="str">
        <f t="shared" ref="M6:M69" si="2">ROUNDDOWN(L6/60, 0)&amp;"h"&amp;ROUNDUP((L6/60-ROUNDDOWN(L6/60, 0))*60,0)</f>
        <v>0h0</v>
      </c>
      <c r="N6" s="139" t="s">
        <v>84</v>
      </c>
      <c r="O6" s="129"/>
      <c r="P6" s="129"/>
      <c r="Q6" s="129">
        <f>O6*25+P6</f>
        <v>0</v>
      </c>
      <c r="R6" s="129" t="str">
        <f t="shared" ref="R6:R69" si="3">ROUNDDOWN(Q6/60, 0)&amp;"h"&amp;ROUNDUP((Q6/60-ROUNDDOWN(Q6/60, 0))*60,0)</f>
        <v>0h0</v>
      </c>
      <c r="S6" s="139">
        <f>G6+L6+Q6</f>
        <v>153</v>
      </c>
      <c r="T6" s="129" t="str">
        <f t="shared" ref="T6:T69" si="4">ROUNDDOWN(S6/60, 0)&amp;"h"&amp;ROUNDUP((S6/60-ROUNDDOWN(S6/60, 0))*60,0)</f>
        <v>2h33</v>
      </c>
    </row>
    <row r="7" spans="2:187" x14ac:dyDescent="0.3">
      <c r="B7" s="128">
        <f>B6+1</f>
        <v>46197</v>
      </c>
      <c r="C7" s="129" t="str">
        <f t="shared" si="0"/>
        <v>Wednesday</v>
      </c>
      <c r="D7" s="138" t="s">
        <v>199</v>
      </c>
      <c r="E7" s="129">
        <v>9</v>
      </c>
      <c r="F7" s="129">
        <v>0</v>
      </c>
      <c r="G7" s="129">
        <f>E7*25+F7</f>
        <v>225</v>
      </c>
      <c r="H7" s="129" t="str">
        <f t="shared" ref="H7:H70" si="5">ROUNDDOWN(G7/60, 0)&amp;"h"&amp;ROUNDUP((G7/60-ROUNDDOWN(G7/60, 0))*60,0)</f>
        <v>3h45</v>
      </c>
      <c r="I7" s="138" t="s">
        <v>222</v>
      </c>
      <c r="J7" s="129">
        <v>0</v>
      </c>
      <c r="K7" s="129">
        <v>20</v>
      </c>
      <c r="L7" s="129">
        <f>J7*25+K7</f>
        <v>20</v>
      </c>
      <c r="M7" s="129" t="str">
        <f t="shared" si="2"/>
        <v>0h20</v>
      </c>
      <c r="N7" s="138" t="s">
        <v>84</v>
      </c>
      <c r="O7" s="129"/>
      <c r="P7" s="129"/>
      <c r="Q7" s="129">
        <f>O7*25+P7</f>
        <v>0</v>
      </c>
      <c r="R7" s="129" t="str">
        <f t="shared" si="3"/>
        <v>0h0</v>
      </c>
      <c r="S7" s="138">
        <f t="shared" ref="S7:S70" si="6">G7+L7+Q7</f>
        <v>245</v>
      </c>
      <c r="T7" s="129" t="str">
        <f t="shared" si="4"/>
        <v>4h5</v>
      </c>
    </row>
    <row r="8" spans="2:187" x14ac:dyDescent="0.3">
      <c r="B8" s="128">
        <f t="shared" ref="B8:B71" si="7">B7+1</f>
        <v>46198</v>
      </c>
      <c r="C8" s="129" t="str">
        <f t="shared" si="0"/>
        <v>Thursday</v>
      </c>
      <c r="D8" s="138" t="s">
        <v>84</v>
      </c>
      <c r="E8" s="129"/>
      <c r="F8" s="129"/>
      <c r="G8" s="129">
        <f t="shared" ref="G8:G71" si="8">E8*25+F8</f>
        <v>0</v>
      </c>
      <c r="H8" s="129" t="str">
        <f t="shared" si="5"/>
        <v>0h0</v>
      </c>
      <c r="I8" s="138" t="s">
        <v>84</v>
      </c>
      <c r="J8" s="129"/>
      <c r="K8" s="129"/>
      <c r="L8" s="129">
        <f t="shared" ref="L8:L71" si="9">J8*25+K8</f>
        <v>0</v>
      </c>
      <c r="M8" s="129" t="str">
        <f t="shared" si="2"/>
        <v>0h0</v>
      </c>
      <c r="N8" s="138" t="s">
        <v>84</v>
      </c>
      <c r="O8" s="129"/>
      <c r="P8" s="129"/>
      <c r="Q8" s="129">
        <f t="shared" ref="Q8:Q71" si="10">O8*25+P8</f>
        <v>0</v>
      </c>
      <c r="R8" s="129" t="str">
        <f t="shared" si="3"/>
        <v>0h0</v>
      </c>
      <c r="S8" s="138">
        <f t="shared" si="6"/>
        <v>0</v>
      </c>
      <c r="T8" s="129" t="str">
        <f t="shared" si="4"/>
        <v>0h0</v>
      </c>
    </row>
    <row r="9" spans="2:187" x14ac:dyDescent="0.3">
      <c r="B9" s="128">
        <f t="shared" si="7"/>
        <v>46199</v>
      </c>
      <c r="C9" s="129" t="str">
        <f t="shared" si="0"/>
        <v>Friday</v>
      </c>
      <c r="D9" s="138" t="s">
        <v>84</v>
      </c>
      <c r="E9" s="129"/>
      <c r="F9" s="129"/>
      <c r="G9" s="129">
        <f t="shared" si="8"/>
        <v>0</v>
      </c>
      <c r="H9" s="129" t="str">
        <f t="shared" si="5"/>
        <v>0h0</v>
      </c>
      <c r="I9" s="138" t="s">
        <v>84</v>
      </c>
      <c r="J9" s="129"/>
      <c r="K9" s="129"/>
      <c r="L9" s="129">
        <f t="shared" si="9"/>
        <v>0</v>
      </c>
      <c r="M9" s="129" t="str">
        <f t="shared" si="2"/>
        <v>0h0</v>
      </c>
      <c r="N9" s="138" t="s">
        <v>84</v>
      </c>
      <c r="O9" s="129"/>
      <c r="P9" s="129"/>
      <c r="Q9" s="129">
        <f t="shared" si="10"/>
        <v>0</v>
      </c>
      <c r="R9" s="129" t="str">
        <f t="shared" si="3"/>
        <v>0h0</v>
      </c>
      <c r="S9" s="138">
        <f t="shared" si="6"/>
        <v>0</v>
      </c>
      <c r="T9" s="129" t="str">
        <f t="shared" si="4"/>
        <v>0h0</v>
      </c>
    </row>
    <row r="10" spans="2:187" x14ac:dyDescent="0.3">
      <c r="B10" s="128">
        <f t="shared" si="7"/>
        <v>46200</v>
      </c>
      <c r="C10" s="129" t="str">
        <f t="shared" si="0"/>
        <v>Saturday</v>
      </c>
      <c r="D10" s="138" t="s">
        <v>84</v>
      </c>
      <c r="E10" s="129"/>
      <c r="F10" s="129"/>
      <c r="G10" s="129">
        <f t="shared" si="8"/>
        <v>0</v>
      </c>
      <c r="H10" s="129" t="str">
        <f t="shared" si="5"/>
        <v>0h0</v>
      </c>
      <c r="I10" s="138" t="s">
        <v>84</v>
      </c>
      <c r="J10" s="129"/>
      <c r="K10" s="129"/>
      <c r="L10" s="129">
        <f t="shared" si="9"/>
        <v>0</v>
      </c>
      <c r="M10" s="129" t="str">
        <f t="shared" si="2"/>
        <v>0h0</v>
      </c>
      <c r="N10" s="138" t="s">
        <v>84</v>
      </c>
      <c r="O10" s="129"/>
      <c r="P10" s="129"/>
      <c r="Q10" s="129">
        <f t="shared" si="10"/>
        <v>0</v>
      </c>
      <c r="R10" s="129" t="str">
        <f t="shared" si="3"/>
        <v>0h0</v>
      </c>
      <c r="S10" s="138">
        <f t="shared" si="6"/>
        <v>0</v>
      </c>
      <c r="T10" s="129" t="str">
        <f t="shared" si="4"/>
        <v>0h0</v>
      </c>
    </row>
    <row r="11" spans="2:187" x14ac:dyDescent="0.3">
      <c r="B11" s="128">
        <f t="shared" si="7"/>
        <v>46201</v>
      </c>
      <c r="C11" s="129" t="str">
        <f t="shared" si="0"/>
        <v>Sunday</v>
      </c>
      <c r="D11" s="138" t="s">
        <v>223</v>
      </c>
      <c r="E11" s="129">
        <v>4</v>
      </c>
      <c r="F11" s="129">
        <v>20</v>
      </c>
      <c r="G11" s="129">
        <f t="shared" si="8"/>
        <v>120</v>
      </c>
      <c r="H11" s="129" t="str">
        <f t="shared" si="5"/>
        <v>2h0</v>
      </c>
      <c r="I11" s="138" t="s">
        <v>84</v>
      </c>
      <c r="J11" s="129"/>
      <c r="K11" s="129"/>
      <c r="L11" s="129">
        <f t="shared" si="9"/>
        <v>0</v>
      </c>
      <c r="M11" s="129" t="str">
        <f t="shared" si="2"/>
        <v>0h0</v>
      </c>
      <c r="N11" s="138" t="s">
        <v>84</v>
      </c>
      <c r="O11" s="129"/>
      <c r="P11" s="129"/>
      <c r="Q11" s="129">
        <f t="shared" si="10"/>
        <v>0</v>
      </c>
      <c r="R11" s="129" t="str">
        <f t="shared" si="3"/>
        <v>0h0</v>
      </c>
      <c r="S11" s="138">
        <f t="shared" si="6"/>
        <v>120</v>
      </c>
      <c r="T11" s="129" t="str">
        <f t="shared" si="4"/>
        <v>2h0</v>
      </c>
    </row>
    <row r="12" spans="2:187" x14ac:dyDescent="0.3">
      <c r="B12" s="128">
        <f t="shared" si="7"/>
        <v>46202</v>
      </c>
      <c r="C12" s="129" t="str">
        <f t="shared" si="0"/>
        <v>Monday</v>
      </c>
      <c r="D12" s="138" t="s">
        <v>84</v>
      </c>
      <c r="E12" s="129"/>
      <c r="F12" s="129"/>
      <c r="G12" s="129">
        <f t="shared" si="8"/>
        <v>0</v>
      </c>
      <c r="H12" s="129" t="str">
        <f t="shared" si="5"/>
        <v>0h0</v>
      </c>
      <c r="I12" s="138" t="s">
        <v>84</v>
      </c>
      <c r="J12" s="129"/>
      <c r="K12" s="129"/>
      <c r="L12" s="129">
        <f t="shared" si="9"/>
        <v>0</v>
      </c>
      <c r="M12" s="129" t="str">
        <f t="shared" si="2"/>
        <v>0h0</v>
      </c>
      <c r="N12" s="138" t="s">
        <v>84</v>
      </c>
      <c r="O12" s="129"/>
      <c r="P12" s="129"/>
      <c r="Q12" s="129">
        <f t="shared" si="10"/>
        <v>0</v>
      </c>
      <c r="R12" s="129" t="str">
        <f t="shared" si="3"/>
        <v>0h0</v>
      </c>
      <c r="S12" s="138">
        <f t="shared" si="6"/>
        <v>0</v>
      </c>
      <c r="T12" s="129" t="str">
        <f t="shared" si="4"/>
        <v>0h0</v>
      </c>
    </row>
    <row r="13" spans="2:187" x14ac:dyDescent="0.3">
      <c r="B13" s="128">
        <f t="shared" si="7"/>
        <v>46203</v>
      </c>
      <c r="C13" s="129" t="str">
        <f t="shared" si="0"/>
        <v>Tuesday</v>
      </c>
      <c r="D13" s="138" t="s">
        <v>84</v>
      </c>
      <c r="E13" s="129"/>
      <c r="F13" s="129"/>
      <c r="G13" s="129">
        <f t="shared" si="8"/>
        <v>0</v>
      </c>
      <c r="H13" s="129" t="str">
        <f t="shared" si="5"/>
        <v>0h0</v>
      </c>
      <c r="I13" s="138" t="s">
        <v>84</v>
      </c>
      <c r="J13" s="129"/>
      <c r="K13" s="129"/>
      <c r="L13" s="129">
        <f t="shared" si="9"/>
        <v>0</v>
      </c>
      <c r="M13" s="129" t="str">
        <f t="shared" si="2"/>
        <v>0h0</v>
      </c>
      <c r="N13" s="138" t="s">
        <v>84</v>
      </c>
      <c r="O13" s="129"/>
      <c r="P13" s="129"/>
      <c r="Q13" s="129">
        <f t="shared" si="10"/>
        <v>0</v>
      </c>
      <c r="R13" s="129" t="str">
        <f t="shared" si="3"/>
        <v>0h0</v>
      </c>
      <c r="S13" s="138">
        <f t="shared" si="6"/>
        <v>0</v>
      </c>
      <c r="T13" s="129" t="str">
        <f t="shared" si="4"/>
        <v>0h0</v>
      </c>
    </row>
    <row r="14" spans="2:187" x14ac:dyDescent="0.3">
      <c r="B14" s="128">
        <f t="shared" si="7"/>
        <v>46204</v>
      </c>
      <c r="C14" s="129" t="str">
        <f t="shared" si="0"/>
        <v>Wednesday</v>
      </c>
      <c r="D14" s="138" t="s">
        <v>223</v>
      </c>
      <c r="E14" s="129">
        <v>6</v>
      </c>
      <c r="F14" s="129">
        <v>17</v>
      </c>
      <c r="G14" s="129">
        <f t="shared" si="8"/>
        <v>167</v>
      </c>
      <c r="H14" s="129" t="str">
        <f t="shared" si="5"/>
        <v>2h47</v>
      </c>
      <c r="I14" s="138" t="s">
        <v>84</v>
      </c>
      <c r="J14" s="129"/>
      <c r="K14" s="129"/>
      <c r="L14" s="129">
        <f t="shared" si="9"/>
        <v>0</v>
      </c>
      <c r="M14" s="129" t="str">
        <f t="shared" si="2"/>
        <v>0h0</v>
      </c>
      <c r="N14" s="138" t="s">
        <v>84</v>
      </c>
      <c r="O14" s="129"/>
      <c r="P14" s="129"/>
      <c r="Q14" s="129">
        <f t="shared" si="10"/>
        <v>0</v>
      </c>
      <c r="R14" s="129" t="str">
        <f t="shared" si="3"/>
        <v>0h0</v>
      </c>
      <c r="S14" s="138">
        <f t="shared" si="6"/>
        <v>167</v>
      </c>
      <c r="T14" s="129" t="str">
        <f t="shared" si="4"/>
        <v>2h47</v>
      </c>
    </row>
    <row r="15" spans="2:187" x14ac:dyDescent="0.3">
      <c r="B15" s="128">
        <f t="shared" si="7"/>
        <v>46205</v>
      </c>
      <c r="C15" s="129" t="str">
        <f t="shared" si="0"/>
        <v>Thursday</v>
      </c>
      <c r="D15" s="138" t="s">
        <v>84</v>
      </c>
      <c r="E15" s="129"/>
      <c r="F15" s="129"/>
      <c r="G15" s="129">
        <f t="shared" si="8"/>
        <v>0</v>
      </c>
      <c r="H15" s="129" t="str">
        <f t="shared" si="5"/>
        <v>0h0</v>
      </c>
      <c r="I15" s="138" t="s">
        <v>84</v>
      </c>
      <c r="J15" s="129"/>
      <c r="K15" s="129"/>
      <c r="L15" s="129">
        <f t="shared" si="9"/>
        <v>0</v>
      </c>
      <c r="M15" s="129" t="str">
        <f t="shared" si="2"/>
        <v>0h0</v>
      </c>
      <c r="N15" s="138" t="s">
        <v>84</v>
      </c>
      <c r="O15" s="129"/>
      <c r="P15" s="129"/>
      <c r="Q15" s="129">
        <f t="shared" si="10"/>
        <v>0</v>
      </c>
      <c r="R15" s="129" t="str">
        <f t="shared" si="3"/>
        <v>0h0</v>
      </c>
      <c r="S15" s="138">
        <f t="shared" si="6"/>
        <v>0</v>
      </c>
      <c r="T15" s="129" t="str">
        <f t="shared" si="4"/>
        <v>0h0</v>
      </c>
    </row>
    <row r="16" spans="2:187" x14ac:dyDescent="0.3">
      <c r="B16" s="128">
        <f t="shared" si="7"/>
        <v>46206</v>
      </c>
      <c r="C16" s="129" t="str">
        <f t="shared" si="0"/>
        <v>Friday</v>
      </c>
      <c r="D16" s="138" t="s">
        <v>84</v>
      </c>
      <c r="E16" s="129"/>
      <c r="F16" s="129"/>
      <c r="G16" s="129">
        <f t="shared" si="8"/>
        <v>0</v>
      </c>
      <c r="H16" s="129" t="str">
        <f t="shared" si="5"/>
        <v>0h0</v>
      </c>
      <c r="I16" s="138" t="s">
        <v>84</v>
      </c>
      <c r="J16" s="129"/>
      <c r="K16" s="129"/>
      <c r="L16" s="129">
        <f t="shared" si="9"/>
        <v>0</v>
      </c>
      <c r="M16" s="129" t="str">
        <f t="shared" si="2"/>
        <v>0h0</v>
      </c>
      <c r="N16" s="138" t="s">
        <v>84</v>
      </c>
      <c r="O16" s="129"/>
      <c r="P16" s="129"/>
      <c r="Q16" s="129">
        <f t="shared" si="10"/>
        <v>0</v>
      </c>
      <c r="R16" s="129" t="str">
        <f t="shared" si="3"/>
        <v>0h0</v>
      </c>
      <c r="S16" s="138">
        <f t="shared" si="6"/>
        <v>0</v>
      </c>
      <c r="T16" s="129" t="str">
        <f t="shared" si="4"/>
        <v>0h0</v>
      </c>
    </row>
    <row r="17" spans="2:20" x14ac:dyDescent="0.3">
      <c r="B17" s="128">
        <f t="shared" si="7"/>
        <v>46207</v>
      </c>
      <c r="C17" s="129" t="str">
        <f t="shared" si="0"/>
        <v>Saturday</v>
      </c>
      <c r="D17" s="138" t="s">
        <v>84</v>
      </c>
      <c r="E17" s="129"/>
      <c r="F17" s="129"/>
      <c r="G17" s="129">
        <f t="shared" si="8"/>
        <v>0</v>
      </c>
      <c r="H17" s="129" t="str">
        <f t="shared" si="5"/>
        <v>0h0</v>
      </c>
      <c r="I17" s="138" t="s">
        <v>84</v>
      </c>
      <c r="J17" s="129"/>
      <c r="K17" s="129"/>
      <c r="L17" s="129">
        <f t="shared" si="9"/>
        <v>0</v>
      </c>
      <c r="M17" s="129" t="str">
        <f t="shared" si="2"/>
        <v>0h0</v>
      </c>
      <c r="N17" s="138" t="s">
        <v>84</v>
      </c>
      <c r="O17" s="129"/>
      <c r="P17" s="129"/>
      <c r="Q17" s="129">
        <f t="shared" si="10"/>
        <v>0</v>
      </c>
      <c r="R17" s="129" t="str">
        <f t="shared" si="3"/>
        <v>0h0</v>
      </c>
      <c r="S17" s="138">
        <f t="shared" si="6"/>
        <v>0</v>
      </c>
      <c r="T17" s="129" t="str">
        <f t="shared" si="4"/>
        <v>0h0</v>
      </c>
    </row>
    <row r="18" spans="2:20" x14ac:dyDescent="0.3">
      <c r="B18" s="128">
        <f t="shared" si="7"/>
        <v>46208</v>
      </c>
      <c r="C18" s="129" t="str">
        <f t="shared" si="0"/>
        <v>Sunday</v>
      </c>
      <c r="D18" s="138" t="s">
        <v>84</v>
      </c>
      <c r="E18" s="129"/>
      <c r="F18" s="129"/>
      <c r="G18" s="129">
        <f t="shared" si="8"/>
        <v>0</v>
      </c>
      <c r="H18" s="129" t="str">
        <f t="shared" si="5"/>
        <v>0h0</v>
      </c>
      <c r="I18" s="138" t="s">
        <v>84</v>
      </c>
      <c r="J18" s="129"/>
      <c r="K18" s="129"/>
      <c r="L18" s="129">
        <f t="shared" si="9"/>
        <v>0</v>
      </c>
      <c r="M18" s="129" t="str">
        <f t="shared" si="2"/>
        <v>0h0</v>
      </c>
      <c r="N18" s="138" t="s">
        <v>84</v>
      </c>
      <c r="O18" s="129"/>
      <c r="P18" s="129"/>
      <c r="Q18" s="129">
        <f t="shared" si="10"/>
        <v>0</v>
      </c>
      <c r="R18" s="129" t="str">
        <f t="shared" si="3"/>
        <v>0h0</v>
      </c>
      <c r="S18" s="138">
        <f t="shared" si="6"/>
        <v>0</v>
      </c>
      <c r="T18" s="129" t="str">
        <f t="shared" si="4"/>
        <v>0h0</v>
      </c>
    </row>
    <row r="19" spans="2:20" x14ac:dyDescent="0.3">
      <c r="B19" s="128">
        <f t="shared" si="7"/>
        <v>46209</v>
      </c>
      <c r="C19" s="129" t="str">
        <f t="shared" si="0"/>
        <v>Monday</v>
      </c>
      <c r="D19" s="138" t="s">
        <v>84</v>
      </c>
      <c r="E19" s="129"/>
      <c r="F19" s="129"/>
      <c r="G19" s="129">
        <f t="shared" si="8"/>
        <v>0</v>
      </c>
      <c r="H19" s="129" t="str">
        <f t="shared" si="5"/>
        <v>0h0</v>
      </c>
      <c r="I19" s="138" t="s">
        <v>84</v>
      </c>
      <c r="J19" s="129"/>
      <c r="K19" s="129"/>
      <c r="L19" s="129">
        <f t="shared" si="9"/>
        <v>0</v>
      </c>
      <c r="M19" s="129" t="str">
        <f t="shared" si="2"/>
        <v>0h0</v>
      </c>
      <c r="N19" s="138" t="s">
        <v>84</v>
      </c>
      <c r="O19" s="129"/>
      <c r="P19" s="129"/>
      <c r="Q19" s="129">
        <f t="shared" si="10"/>
        <v>0</v>
      </c>
      <c r="R19" s="129" t="str">
        <f t="shared" si="3"/>
        <v>0h0</v>
      </c>
      <c r="S19" s="138">
        <f t="shared" si="6"/>
        <v>0</v>
      </c>
      <c r="T19" s="129" t="str">
        <f t="shared" si="4"/>
        <v>0h0</v>
      </c>
    </row>
    <row r="20" spans="2:20" x14ac:dyDescent="0.3">
      <c r="B20" s="128">
        <f t="shared" si="7"/>
        <v>46210</v>
      </c>
      <c r="C20" s="129" t="str">
        <f t="shared" si="0"/>
        <v>Tuesday</v>
      </c>
      <c r="D20" s="138" t="s">
        <v>84</v>
      </c>
      <c r="E20" s="129"/>
      <c r="F20" s="129"/>
      <c r="G20" s="129">
        <f t="shared" si="8"/>
        <v>0</v>
      </c>
      <c r="H20" s="129" t="str">
        <f t="shared" si="5"/>
        <v>0h0</v>
      </c>
      <c r="I20" s="138" t="s">
        <v>84</v>
      </c>
      <c r="J20" s="129"/>
      <c r="K20" s="129"/>
      <c r="L20" s="129">
        <f t="shared" si="9"/>
        <v>0</v>
      </c>
      <c r="M20" s="129" t="str">
        <f t="shared" si="2"/>
        <v>0h0</v>
      </c>
      <c r="N20" s="138" t="s">
        <v>84</v>
      </c>
      <c r="O20" s="129"/>
      <c r="P20" s="129"/>
      <c r="Q20" s="129">
        <f t="shared" si="10"/>
        <v>0</v>
      </c>
      <c r="R20" s="129" t="str">
        <f t="shared" si="3"/>
        <v>0h0</v>
      </c>
      <c r="S20" s="138">
        <f t="shared" si="6"/>
        <v>0</v>
      </c>
      <c r="T20" s="129" t="str">
        <f t="shared" si="4"/>
        <v>0h0</v>
      </c>
    </row>
    <row r="21" spans="2:20" x14ac:dyDescent="0.3">
      <c r="B21" s="128">
        <f t="shared" si="7"/>
        <v>46211</v>
      </c>
      <c r="C21" s="129" t="str">
        <f t="shared" si="0"/>
        <v>Wednesday</v>
      </c>
      <c r="D21" s="138" t="s">
        <v>84</v>
      </c>
      <c r="E21" s="129"/>
      <c r="F21" s="129"/>
      <c r="G21" s="129">
        <f t="shared" si="8"/>
        <v>0</v>
      </c>
      <c r="H21" s="129" t="str">
        <f t="shared" si="5"/>
        <v>0h0</v>
      </c>
      <c r="I21" s="138" t="s">
        <v>84</v>
      </c>
      <c r="J21" s="129"/>
      <c r="K21" s="129"/>
      <c r="L21" s="129">
        <f t="shared" si="9"/>
        <v>0</v>
      </c>
      <c r="M21" s="129" t="str">
        <f t="shared" si="2"/>
        <v>0h0</v>
      </c>
      <c r="N21" s="138" t="s">
        <v>84</v>
      </c>
      <c r="O21" s="129"/>
      <c r="P21" s="129"/>
      <c r="Q21" s="129">
        <f t="shared" si="10"/>
        <v>0</v>
      </c>
      <c r="R21" s="129" t="str">
        <f t="shared" si="3"/>
        <v>0h0</v>
      </c>
      <c r="S21" s="138">
        <f t="shared" si="6"/>
        <v>0</v>
      </c>
      <c r="T21" s="129" t="str">
        <f t="shared" si="4"/>
        <v>0h0</v>
      </c>
    </row>
    <row r="22" spans="2:20" x14ac:dyDescent="0.3">
      <c r="B22" s="128">
        <f t="shared" si="7"/>
        <v>46212</v>
      </c>
      <c r="C22" s="129" t="str">
        <f t="shared" si="0"/>
        <v>Thursday</v>
      </c>
      <c r="D22" s="138" t="s">
        <v>84</v>
      </c>
      <c r="E22" s="129"/>
      <c r="F22" s="129"/>
      <c r="G22" s="129">
        <f t="shared" si="8"/>
        <v>0</v>
      </c>
      <c r="H22" s="129" t="str">
        <f t="shared" si="5"/>
        <v>0h0</v>
      </c>
      <c r="I22" s="138" t="s">
        <v>84</v>
      </c>
      <c r="J22" s="129"/>
      <c r="K22" s="129"/>
      <c r="L22" s="129">
        <f t="shared" si="9"/>
        <v>0</v>
      </c>
      <c r="M22" s="129" t="str">
        <f t="shared" si="2"/>
        <v>0h0</v>
      </c>
      <c r="N22" s="138" t="s">
        <v>84</v>
      </c>
      <c r="O22" s="129"/>
      <c r="P22" s="129"/>
      <c r="Q22" s="129">
        <f t="shared" si="10"/>
        <v>0</v>
      </c>
      <c r="R22" s="129" t="str">
        <f t="shared" si="3"/>
        <v>0h0</v>
      </c>
      <c r="S22" s="138">
        <f t="shared" si="6"/>
        <v>0</v>
      </c>
      <c r="T22" s="129" t="str">
        <f t="shared" si="4"/>
        <v>0h0</v>
      </c>
    </row>
    <row r="23" spans="2:20" x14ac:dyDescent="0.3">
      <c r="B23" s="128">
        <f t="shared" si="7"/>
        <v>46213</v>
      </c>
      <c r="C23" s="129" t="str">
        <f t="shared" si="0"/>
        <v>Friday</v>
      </c>
      <c r="D23" s="138" t="s">
        <v>84</v>
      </c>
      <c r="E23" s="129"/>
      <c r="F23" s="129"/>
      <c r="G23" s="129">
        <f t="shared" si="8"/>
        <v>0</v>
      </c>
      <c r="H23" s="129" t="str">
        <f t="shared" si="5"/>
        <v>0h0</v>
      </c>
      <c r="I23" s="138" t="s">
        <v>84</v>
      </c>
      <c r="J23" s="129"/>
      <c r="K23" s="129"/>
      <c r="L23" s="129">
        <f t="shared" si="9"/>
        <v>0</v>
      </c>
      <c r="M23" s="129" t="str">
        <f t="shared" si="2"/>
        <v>0h0</v>
      </c>
      <c r="N23" s="138" t="s">
        <v>84</v>
      </c>
      <c r="O23" s="129"/>
      <c r="P23" s="129"/>
      <c r="Q23" s="129">
        <f t="shared" si="10"/>
        <v>0</v>
      </c>
      <c r="R23" s="129" t="str">
        <f t="shared" si="3"/>
        <v>0h0</v>
      </c>
      <c r="S23" s="138">
        <f t="shared" si="6"/>
        <v>0</v>
      </c>
      <c r="T23" s="129" t="str">
        <f t="shared" si="4"/>
        <v>0h0</v>
      </c>
    </row>
    <row r="24" spans="2:20" x14ac:dyDescent="0.3">
      <c r="B24" s="128">
        <f t="shared" si="7"/>
        <v>46214</v>
      </c>
      <c r="C24" s="129" t="str">
        <f t="shared" si="0"/>
        <v>Saturday</v>
      </c>
      <c r="D24" s="138" t="s">
        <v>84</v>
      </c>
      <c r="E24" s="129"/>
      <c r="F24" s="129"/>
      <c r="G24" s="129">
        <f t="shared" si="8"/>
        <v>0</v>
      </c>
      <c r="H24" s="129" t="str">
        <f t="shared" si="5"/>
        <v>0h0</v>
      </c>
      <c r="I24" s="138" t="s">
        <v>84</v>
      </c>
      <c r="J24" s="129"/>
      <c r="K24" s="129"/>
      <c r="L24" s="129">
        <f t="shared" si="9"/>
        <v>0</v>
      </c>
      <c r="M24" s="129" t="str">
        <f t="shared" si="2"/>
        <v>0h0</v>
      </c>
      <c r="N24" s="138" t="s">
        <v>84</v>
      </c>
      <c r="O24" s="129"/>
      <c r="P24" s="129"/>
      <c r="Q24" s="129">
        <f t="shared" si="10"/>
        <v>0</v>
      </c>
      <c r="R24" s="129" t="str">
        <f t="shared" si="3"/>
        <v>0h0</v>
      </c>
      <c r="S24" s="138">
        <f t="shared" si="6"/>
        <v>0</v>
      </c>
      <c r="T24" s="129" t="str">
        <f t="shared" si="4"/>
        <v>0h0</v>
      </c>
    </row>
    <row r="25" spans="2:20" x14ac:dyDescent="0.3">
      <c r="B25" s="128">
        <f t="shared" si="7"/>
        <v>46215</v>
      </c>
      <c r="C25" s="129" t="str">
        <f t="shared" si="0"/>
        <v>Sunday</v>
      </c>
      <c r="D25" s="138" t="s">
        <v>84</v>
      </c>
      <c r="E25" s="129"/>
      <c r="F25" s="129"/>
      <c r="G25" s="129">
        <f t="shared" si="8"/>
        <v>0</v>
      </c>
      <c r="H25" s="129" t="str">
        <f t="shared" si="5"/>
        <v>0h0</v>
      </c>
      <c r="I25" s="138" t="s">
        <v>84</v>
      </c>
      <c r="J25" s="129"/>
      <c r="K25" s="129"/>
      <c r="L25" s="129">
        <f t="shared" si="9"/>
        <v>0</v>
      </c>
      <c r="M25" s="129" t="str">
        <f t="shared" si="2"/>
        <v>0h0</v>
      </c>
      <c r="N25" s="138" t="s">
        <v>84</v>
      </c>
      <c r="O25" s="129"/>
      <c r="P25" s="129"/>
      <c r="Q25" s="129">
        <f t="shared" si="10"/>
        <v>0</v>
      </c>
      <c r="R25" s="129" t="str">
        <f t="shared" si="3"/>
        <v>0h0</v>
      </c>
      <c r="S25" s="138">
        <f t="shared" si="6"/>
        <v>0</v>
      </c>
      <c r="T25" s="129" t="str">
        <f t="shared" si="4"/>
        <v>0h0</v>
      </c>
    </row>
    <row r="26" spans="2:20" x14ac:dyDescent="0.3">
      <c r="B26" s="128">
        <f t="shared" si="7"/>
        <v>46216</v>
      </c>
      <c r="C26" s="129" t="str">
        <f t="shared" si="0"/>
        <v>Monday</v>
      </c>
      <c r="D26" s="138" t="s">
        <v>84</v>
      </c>
      <c r="E26" s="129"/>
      <c r="F26" s="129"/>
      <c r="G26" s="129">
        <f t="shared" si="8"/>
        <v>0</v>
      </c>
      <c r="H26" s="129" t="str">
        <f t="shared" si="5"/>
        <v>0h0</v>
      </c>
      <c r="I26" s="138" t="s">
        <v>84</v>
      </c>
      <c r="J26" s="129"/>
      <c r="K26" s="129"/>
      <c r="L26" s="129">
        <f t="shared" si="9"/>
        <v>0</v>
      </c>
      <c r="M26" s="129" t="str">
        <f t="shared" si="2"/>
        <v>0h0</v>
      </c>
      <c r="N26" s="138" t="s">
        <v>84</v>
      </c>
      <c r="O26" s="129"/>
      <c r="P26" s="129"/>
      <c r="Q26" s="129">
        <f t="shared" si="10"/>
        <v>0</v>
      </c>
      <c r="R26" s="129" t="str">
        <f t="shared" si="3"/>
        <v>0h0</v>
      </c>
      <c r="S26" s="138">
        <f t="shared" si="6"/>
        <v>0</v>
      </c>
      <c r="T26" s="129" t="str">
        <f t="shared" si="4"/>
        <v>0h0</v>
      </c>
    </row>
    <row r="27" spans="2:20" x14ac:dyDescent="0.3">
      <c r="B27" s="128">
        <f t="shared" si="7"/>
        <v>46217</v>
      </c>
      <c r="C27" s="129" t="str">
        <f t="shared" si="0"/>
        <v>Tuesday</v>
      </c>
      <c r="D27" s="138" t="s">
        <v>84</v>
      </c>
      <c r="E27" s="129"/>
      <c r="F27" s="129"/>
      <c r="G27" s="129">
        <f t="shared" si="8"/>
        <v>0</v>
      </c>
      <c r="H27" s="129" t="str">
        <f t="shared" si="5"/>
        <v>0h0</v>
      </c>
      <c r="I27" s="138" t="s">
        <v>84</v>
      </c>
      <c r="J27" s="129"/>
      <c r="K27" s="129"/>
      <c r="L27" s="129">
        <f t="shared" si="9"/>
        <v>0</v>
      </c>
      <c r="M27" s="129" t="str">
        <f t="shared" si="2"/>
        <v>0h0</v>
      </c>
      <c r="N27" s="138" t="s">
        <v>84</v>
      </c>
      <c r="O27" s="129"/>
      <c r="P27" s="129"/>
      <c r="Q27" s="129">
        <f t="shared" si="10"/>
        <v>0</v>
      </c>
      <c r="R27" s="129" t="str">
        <f t="shared" si="3"/>
        <v>0h0</v>
      </c>
      <c r="S27" s="138">
        <f t="shared" si="6"/>
        <v>0</v>
      </c>
      <c r="T27" s="129" t="str">
        <f t="shared" si="4"/>
        <v>0h0</v>
      </c>
    </row>
    <row r="28" spans="2:20" x14ac:dyDescent="0.3">
      <c r="B28" s="128">
        <f t="shared" si="7"/>
        <v>46218</v>
      </c>
      <c r="C28" s="129" t="str">
        <f t="shared" si="0"/>
        <v>Wednesday</v>
      </c>
      <c r="D28" s="138" t="s">
        <v>84</v>
      </c>
      <c r="E28" s="129"/>
      <c r="F28" s="129"/>
      <c r="G28" s="129">
        <f t="shared" si="8"/>
        <v>0</v>
      </c>
      <c r="H28" s="129" t="str">
        <f t="shared" si="5"/>
        <v>0h0</v>
      </c>
      <c r="I28" s="138" t="s">
        <v>84</v>
      </c>
      <c r="J28" s="129"/>
      <c r="K28" s="129"/>
      <c r="L28" s="129">
        <f t="shared" si="9"/>
        <v>0</v>
      </c>
      <c r="M28" s="129" t="str">
        <f t="shared" si="2"/>
        <v>0h0</v>
      </c>
      <c r="N28" s="138" t="s">
        <v>84</v>
      </c>
      <c r="O28" s="129"/>
      <c r="P28" s="129"/>
      <c r="Q28" s="129">
        <f t="shared" si="10"/>
        <v>0</v>
      </c>
      <c r="R28" s="129" t="str">
        <f t="shared" si="3"/>
        <v>0h0</v>
      </c>
      <c r="S28" s="138">
        <f t="shared" si="6"/>
        <v>0</v>
      </c>
      <c r="T28" s="129" t="str">
        <f t="shared" si="4"/>
        <v>0h0</v>
      </c>
    </row>
    <row r="29" spans="2:20" x14ac:dyDescent="0.3">
      <c r="B29" s="128">
        <f t="shared" si="7"/>
        <v>46219</v>
      </c>
      <c r="C29" s="129" t="str">
        <f t="shared" si="0"/>
        <v>Thursday</v>
      </c>
      <c r="D29" s="138" t="s">
        <v>84</v>
      </c>
      <c r="E29" s="129"/>
      <c r="F29" s="129"/>
      <c r="G29" s="129">
        <f t="shared" si="8"/>
        <v>0</v>
      </c>
      <c r="H29" s="129" t="str">
        <f t="shared" si="5"/>
        <v>0h0</v>
      </c>
      <c r="I29" s="138" t="s">
        <v>84</v>
      </c>
      <c r="J29" s="129"/>
      <c r="K29" s="129"/>
      <c r="L29" s="129">
        <f t="shared" si="9"/>
        <v>0</v>
      </c>
      <c r="M29" s="129" t="str">
        <f t="shared" si="2"/>
        <v>0h0</v>
      </c>
      <c r="N29" s="138" t="s">
        <v>84</v>
      </c>
      <c r="O29" s="129"/>
      <c r="P29" s="129"/>
      <c r="Q29" s="129">
        <f t="shared" si="10"/>
        <v>0</v>
      </c>
      <c r="R29" s="129" t="str">
        <f t="shared" si="3"/>
        <v>0h0</v>
      </c>
      <c r="S29" s="138">
        <f t="shared" si="6"/>
        <v>0</v>
      </c>
      <c r="T29" s="129" t="str">
        <f t="shared" si="4"/>
        <v>0h0</v>
      </c>
    </row>
    <row r="30" spans="2:20" x14ac:dyDescent="0.3">
      <c r="B30" s="128">
        <f t="shared" si="7"/>
        <v>46220</v>
      </c>
      <c r="C30" s="129" t="str">
        <f t="shared" si="0"/>
        <v>Friday</v>
      </c>
      <c r="D30" s="138" t="s">
        <v>84</v>
      </c>
      <c r="E30" s="129"/>
      <c r="F30" s="129"/>
      <c r="G30" s="129">
        <f t="shared" si="8"/>
        <v>0</v>
      </c>
      <c r="H30" s="129" t="str">
        <f t="shared" si="5"/>
        <v>0h0</v>
      </c>
      <c r="I30" s="138" t="s">
        <v>84</v>
      </c>
      <c r="J30" s="129"/>
      <c r="K30" s="129"/>
      <c r="L30" s="129">
        <f t="shared" si="9"/>
        <v>0</v>
      </c>
      <c r="M30" s="129" t="str">
        <f t="shared" si="2"/>
        <v>0h0</v>
      </c>
      <c r="N30" s="138" t="s">
        <v>84</v>
      </c>
      <c r="O30" s="129"/>
      <c r="P30" s="129"/>
      <c r="Q30" s="129">
        <f t="shared" si="10"/>
        <v>0</v>
      </c>
      <c r="R30" s="129" t="str">
        <f t="shared" si="3"/>
        <v>0h0</v>
      </c>
      <c r="S30" s="138">
        <f t="shared" si="6"/>
        <v>0</v>
      </c>
      <c r="T30" s="129" t="str">
        <f t="shared" si="4"/>
        <v>0h0</v>
      </c>
    </row>
    <row r="31" spans="2:20" x14ac:dyDescent="0.3">
      <c r="B31" s="128">
        <f t="shared" si="7"/>
        <v>46221</v>
      </c>
      <c r="C31" s="129" t="str">
        <f t="shared" si="0"/>
        <v>Saturday</v>
      </c>
      <c r="D31" s="138" t="s">
        <v>84</v>
      </c>
      <c r="E31" s="129"/>
      <c r="F31" s="129"/>
      <c r="G31" s="129">
        <f t="shared" si="8"/>
        <v>0</v>
      </c>
      <c r="H31" s="129" t="str">
        <f t="shared" si="5"/>
        <v>0h0</v>
      </c>
      <c r="I31" s="138" t="s">
        <v>84</v>
      </c>
      <c r="J31" s="129"/>
      <c r="K31" s="129"/>
      <c r="L31" s="129">
        <f t="shared" si="9"/>
        <v>0</v>
      </c>
      <c r="M31" s="129" t="str">
        <f t="shared" si="2"/>
        <v>0h0</v>
      </c>
      <c r="N31" s="138" t="s">
        <v>84</v>
      </c>
      <c r="O31" s="129"/>
      <c r="P31" s="129"/>
      <c r="Q31" s="129">
        <f t="shared" si="10"/>
        <v>0</v>
      </c>
      <c r="R31" s="129" t="str">
        <f t="shared" si="3"/>
        <v>0h0</v>
      </c>
      <c r="S31" s="138">
        <f t="shared" si="6"/>
        <v>0</v>
      </c>
      <c r="T31" s="129" t="str">
        <f t="shared" si="4"/>
        <v>0h0</v>
      </c>
    </row>
    <row r="32" spans="2:20" x14ac:dyDescent="0.3">
      <c r="B32" s="128">
        <f t="shared" si="7"/>
        <v>46222</v>
      </c>
      <c r="C32" s="129" t="str">
        <f t="shared" si="0"/>
        <v>Sunday</v>
      </c>
      <c r="D32" s="138" t="s">
        <v>84</v>
      </c>
      <c r="E32" s="129"/>
      <c r="F32" s="129"/>
      <c r="G32" s="129">
        <f t="shared" si="8"/>
        <v>0</v>
      </c>
      <c r="H32" s="129" t="str">
        <f t="shared" si="5"/>
        <v>0h0</v>
      </c>
      <c r="I32" s="138" t="s">
        <v>84</v>
      </c>
      <c r="J32" s="129"/>
      <c r="K32" s="129"/>
      <c r="L32" s="129">
        <f t="shared" si="9"/>
        <v>0</v>
      </c>
      <c r="M32" s="129" t="str">
        <f t="shared" si="2"/>
        <v>0h0</v>
      </c>
      <c r="N32" s="138" t="s">
        <v>84</v>
      </c>
      <c r="O32" s="129"/>
      <c r="P32" s="129"/>
      <c r="Q32" s="129">
        <f t="shared" si="10"/>
        <v>0</v>
      </c>
      <c r="R32" s="129" t="str">
        <f t="shared" si="3"/>
        <v>0h0</v>
      </c>
      <c r="S32" s="138">
        <f t="shared" si="6"/>
        <v>0</v>
      </c>
      <c r="T32" s="129" t="str">
        <f t="shared" si="4"/>
        <v>0h0</v>
      </c>
    </row>
    <row r="33" spans="2:20" x14ac:dyDescent="0.3">
      <c r="B33" s="128">
        <f t="shared" si="7"/>
        <v>46223</v>
      </c>
      <c r="C33" s="129" t="str">
        <f t="shared" si="0"/>
        <v>Monday</v>
      </c>
      <c r="D33" s="138" t="s">
        <v>84</v>
      </c>
      <c r="E33" s="129"/>
      <c r="F33" s="129"/>
      <c r="G33" s="129">
        <f t="shared" si="8"/>
        <v>0</v>
      </c>
      <c r="H33" s="129" t="str">
        <f t="shared" si="5"/>
        <v>0h0</v>
      </c>
      <c r="I33" s="138" t="s">
        <v>84</v>
      </c>
      <c r="J33" s="129"/>
      <c r="K33" s="129"/>
      <c r="L33" s="129">
        <f t="shared" si="9"/>
        <v>0</v>
      </c>
      <c r="M33" s="129" t="str">
        <f t="shared" si="2"/>
        <v>0h0</v>
      </c>
      <c r="N33" s="138" t="s">
        <v>84</v>
      </c>
      <c r="O33" s="129"/>
      <c r="P33" s="129"/>
      <c r="Q33" s="129">
        <f t="shared" si="10"/>
        <v>0</v>
      </c>
      <c r="R33" s="129" t="str">
        <f t="shared" si="3"/>
        <v>0h0</v>
      </c>
      <c r="S33" s="138">
        <f t="shared" si="6"/>
        <v>0</v>
      </c>
      <c r="T33" s="129" t="str">
        <f t="shared" si="4"/>
        <v>0h0</v>
      </c>
    </row>
    <row r="34" spans="2:20" x14ac:dyDescent="0.3">
      <c r="B34" s="128">
        <f t="shared" si="7"/>
        <v>46224</v>
      </c>
      <c r="C34" s="129" t="str">
        <f t="shared" si="0"/>
        <v>Tuesday</v>
      </c>
      <c r="D34" s="138" t="s">
        <v>222</v>
      </c>
      <c r="E34" s="129">
        <v>0</v>
      </c>
      <c r="F34" s="129">
        <v>20</v>
      </c>
      <c r="G34" s="129">
        <f t="shared" si="8"/>
        <v>20</v>
      </c>
      <c r="H34" s="129" t="str">
        <f t="shared" si="5"/>
        <v>0h20</v>
      </c>
      <c r="I34" s="138" t="s">
        <v>84</v>
      </c>
      <c r="J34" s="129"/>
      <c r="K34" s="129"/>
      <c r="L34" s="129">
        <f t="shared" si="9"/>
        <v>0</v>
      </c>
      <c r="M34" s="129" t="str">
        <f t="shared" si="2"/>
        <v>0h0</v>
      </c>
      <c r="N34" s="138" t="s">
        <v>84</v>
      </c>
      <c r="O34" s="129"/>
      <c r="P34" s="129"/>
      <c r="Q34" s="129">
        <f t="shared" si="10"/>
        <v>0</v>
      </c>
      <c r="R34" s="129" t="str">
        <f t="shared" si="3"/>
        <v>0h0</v>
      </c>
      <c r="S34" s="138">
        <f t="shared" si="6"/>
        <v>20</v>
      </c>
      <c r="T34" s="129" t="str">
        <f t="shared" si="4"/>
        <v>0h20</v>
      </c>
    </row>
    <row r="35" spans="2:20" x14ac:dyDescent="0.3">
      <c r="B35" s="128">
        <f t="shared" si="7"/>
        <v>46225</v>
      </c>
      <c r="C35" s="129" t="str">
        <f t="shared" si="0"/>
        <v>Wednesday</v>
      </c>
      <c r="D35" s="138" t="s">
        <v>222</v>
      </c>
      <c r="E35" s="129">
        <v>0</v>
      </c>
      <c r="F35" s="129">
        <v>20</v>
      </c>
      <c r="G35" s="129">
        <f t="shared" si="8"/>
        <v>20</v>
      </c>
      <c r="H35" s="129" t="str">
        <f t="shared" si="5"/>
        <v>0h20</v>
      </c>
      <c r="I35" s="138" t="s">
        <v>84</v>
      </c>
      <c r="J35" s="129"/>
      <c r="K35" s="129"/>
      <c r="L35" s="129">
        <f t="shared" si="9"/>
        <v>0</v>
      </c>
      <c r="M35" s="129" t="str">
        <f t="shared" si="2"/>
        <v>0h0</v>
      </c>
      <c r="N35" s="138" t="s">
        <v>84</v>
      </c>
      <c r="O35" s="129"/>
      <c r="P35" s="129"/>
      <c r="Q35" s="129">
        <f t="shared" si="10"/>
        <v>0</v>
      </c>
      <c r="R35" s="129" t="str">
        <f t="shared" si="3"/>
        <v>0h0</v>
      </c>
      <c r="S35" s="138">
        <f t="shared" si="6"/>
        <v>20</v>
      </c>
      <c r="T35" s="129" t="str">
        <f t="shared" si="4"/>
        <v>0h20</v>
      </c>
    </row>
    <row r="36" spans="2:20" x14ac:dyDescent="0.3">
      <c r="B36" s="128">
        <f t="shared" si="7"/>
        <v>46226</v>
      </c>
      <c r="C36" s="129" t="str">
        <f t="shared" si="0"/>
        <v>Thursday</v>
      </c>
      <c r="D36" s="138"/>
      <c r="E36" s="129"/>
      <c r="F36" s="129"/>
      <c r="G36" s="129">
        <f t="shared" si="8"/>
        <v>0</v>
      </c>
      <c r="H36" s="129" t="str">
        <f t="shared" si="5"/>
        <v>0h0</v>
      </c>
      <c r="I36" s="138" t="s">
        <v>84</v>
      </c>
      <c r="J36" s="129"/>
      <c r="K36" s="129"/>
      <c r="L36" s="129">
        <f t="shared" si="9"/>
        <v>0</v>
      </c>
      <c r="M36" s="129" t="str">
        <f t="shared" si="2"/>
        <v>0h0</v>
      </c>
      <c r="N36" s="138" t="s">
        <v>84</v>
      </c>
      <c r="O36" s="129"/>
      <c r="P36" s="129"/>
      <c r="Q36" s="129">
        <f t="shared" si="10"/>
        <v>0</v>
      </c>
      <c r="R36" s="129" t="str">
        <f t="shared" si="3"/>
        <v>0h0</v>
      </c>
      <c r="S36" s="138">
        <f t="shared" si="6"/>
        <v>0</v>
      </c>
      <c r="T36" s="129" t="str">
        <f t="shared" si="4"/>
        <v>0h0</v>
      </c>
    </row>
    <row r="37" spans="2:20" x14ac:dyDescent="0.3">
      <c r="B37" s="128">
        <f t="shared" si="7"/>
        <v>46227</v>
      </c>
      <c r="C37" s="129" t="str">
        <f t="shared" si="0"/>
        <v>Friday</v>
      </c>
      <c r="D37" s="138" t="s">
        <v>222</v>
      </c>
      <c r="E37" s="129">
        <v>0</v>
      </c>
      <c r="F37" s="129">
        <v>20</v>
      </c>
      <c r="G37" s="129">
        <f t="shared" si="8"/>
        <v>20</v>
      </c>
      <c r="H37" s="129" t="str">
        <f t="shared" si="5"/>
        <v>0h20</v>
      </c>
      <c r="I37" s="138" t="s">
        <v>84</v>
      </c>
      <c r="J37" s="129"/>
      <c r="K37" s="129"/>
      <c r="L37" s="129">
        <f t="shared" si="9"/>
        <v>0</v>
      </c>
      <c r="M37" s="129" t="str">
        <f t="shared" si="2"/>
        <v>0h0</v>
      </c>
      <c r="N37" s="138" t="s">
        <v>84</v>
      </c>
      <c r="O37" s="129"/>
      <c r="P37" s="129"/>
      <c r="Q37" s="129">
        <f t="shared" si="10"/>
        <v>0</v>
      </c>
      <c r="R37" s="129" t="str">
        <f t="shared" si="3"/>
        <v>0h0</v>
      </c>
      <c r="S37" s="138">
        <f t="shared" si="6"/>
        <v>20</v>
      </c>
      <c r="T37" s="129" t="str">
        <f t="shared" si="4"/>
        <v>0h20</v>
      </c>
    </row>
    <row r="38" spans="2:20" x14ac:dyDescent="0.3">
      <c r="B38" s="128">
        <f t="shared" si="7"/>
        <v>46228</v>
      </c>
      <c r="C38" s="129" t="str">
        <f t="shared" si="0"/>
        <v>Saturday</v>
      </c>
      <c r="D38" s="138" t="s">
        <v>84</v>
      </c>
      <c r="E38" s="129"/>
      <c r="F38" s="129"/>
      <c r="G38" s="129">
        <f t="shared" si="8"/>
        <v>0</v>
      </c>
      <c r="H38" s="129" t="str">
        <f t="shared" si="5"/>
        <v>0h0</v>
      </c>
      <c r="I38" s="138" t="s">
        <v>84</v>
      </c>
      <c r="J38" s="129"/>
      <c r="K38" s="129"/>
      <c r="L38" s="129">
        <f t="shared" si="9"/>
        <v>0</v>
      </c>
      <c r="M38" s="129" t="str">
        <f t="shared" si="2"/>
        <v>0h0</v>
      </c>
      <c r="N38" s="138" t="s">
        <v>84</v>
      </c>
      <c r="O38" s="129"/>
      <c r="P38" s="129"/>
      <c r="Q38" s="129">
        <f t="shared" si="10"/>
        <v>0</v>
      </c>
      <c r="R38" s="129" t="str">
        <f t="shared" si="3"/>
        <v>0h0</v>
      </c>
      <c r="S38" s="138">
        <f t="shared" si="6"/>
        <v>0</v>
      </c>
      <c r="T38" s="129" t="str">
        <f t="shared" si="4"/>
        <v>0h0</v>
      </c>
    </row>
    <row r="39" spans="2:20" x14ac:dyDescent="0.3">
      <c r="B39" s="128">
        <f t="shared" si="7"/>
        <v>46229</v>
      </c>
      <c r="C39" s="129" t="str">
        <f t="shared" si="0"/>
        <v>Sunday</v>
      </c>
      <c r="D39" s="138" t="s">
        <v>84</v>
      </c>
      <c r="E39" s="129"/>
      <c r="F39" s="129"/>
      <c r="G39" s="129">
        <f t="shared" si="8"/>
        <v>0</v>
      </c>
      <c r="H39" s="129" t="str">
        <f t="shared" si="5"/>
        <v>0h0</v>
      </c>
      <c r="I39" s="138" t="s">
        <v>84</v>
      </c>
      <c r="J39" s="129"/>
      <c r="K39" s="129"/>
      <c r="L39" s="129">
        <f t="shared" si="9"/>
        <v>0</v>
      </c>
      <c r="M39" s="129" t="str">
        <f t="shared" si="2"/>
        <v>0h0</v>
      </c>
      <c r="N39" s="138" t="s">
        <v>84</v>
      </c>
      <c r="O39" s="129"/>
      <c r="P39" s="129"/>
      <c r="Q39" s="129">
        <f t="shared" si="10"/>
        <v>0</v>
      </c>
      <c r="R39" s="129" t="str">
        <f t="shared" si="3"/>
        <v>0h0</v>
      </c>
      <c r="S39" s="138">
        <f t="shared" si="6"/>
        <v>0</v>
      </c>
      <c r="T39" s="129" t="str">
        <f t="shared" si="4"/>
        <v>0h0</v>
      </c>
    </row>
    <row r="40" spans="2:20" x14ac:dyDescent="0.3">
      <c r="B40" s="128">
        <f t="shared" si="7"/>
        <v>46230</v>
      </c>
      <c r="C40" s="129" t="str">
        <f t="shared" si="0"/>
        <v>Monday</v>
      </c>
      <c r="D40" s="138" t="s">
        <v>84</v>
      </c>
      <c r="E40" s="129"/>
      <c r="F40" s="129"/>
      <c r="G40" s="129">
        <f t="shared" si="8"/>
        <v>0</v>
      </c>
      <c r="H40" s="129" t="str">
        <f t="shared" si="5"/>
        <v>0h0</v>
      </c>
      <c r="I40" s="138" t="s">
        <v>84</v>
      </c>
      <c r="J40" s="129"/>
      <c r="K40" s="129"/>
      <c r="L40" s="129">
        <f t="shared" si="9"/>
        <v>0</v>
      </c>
      <c r="M40" s="129" t="str">
        <f t="shared" si="2"/>
        <v>0h0</v>
      </c>
      <c r="N40" s="138" t="s">
        <v>84</v>
      </c>
      <c r="O40" s="129"/>
      <c r="P40" s="129"/>
      <c r="Q40" s="129">
        <f t="shared" si="10"/>
        <v>0</v>
      </c>
      <c r="R40" s="129" t="str">
        <f t="shared" si="3"/>
        <v>0h0</v>
      </c>
      <c r="S40" s="138">
        <f t="shared" si="6"/>
        <v>0</v>
      </c>
      <c r="T40" s="129" t="str">
        <f t="shared" si="4"/>
        <v>0h0</v>
      </c>
    </row>
    <row r="41" spans="2:20" x14ac:dyDescent="0.3">
      <c r="B41" s="128">
        <f t="shared" si="7"/>
        <v>46231</v>
      </c>
      <c r="C41" s="129" t="str">
        <f t="shared" si="0"/>
        <v>Tuesday</v>
      </c>
      <c r="D41" s="138" t="s">
        <v>222</v>
      </c>
      <c r="E41" s="129">
        <v>0</v>
      </c>
      <c r="F41" s="129">
        <v>20</v>
      </c>
      <c r="G41" s="129">
        <f t="shared" si="8"/>
        <v>20</v>
      </c>
      <c r="H41" s="129" t="str">
        <f t="shared" si="5"/>
        <v>0h20</v>
      </c>
      <c r="I41" s="138" t="s">
        <v>84</v>
      </c>
      <c r="J41" s="129"/>
      <c r="K41" s="129"/>
      <c r="L41" s="129">
        <f t="shared" si="9"/>
        <v>0</v>
      </c>
      <c r="M41" s="129" t="str">
        <f t="shared" si="2"/>
        <v>0h0</v>
      </c>
      <c r="N41" s="138" t="s">
        <v>84</v>
      </c>
      <c r="O41" s="129"/>
      <c r="P41" s="129"/>
      <c r="Q41" s="129">
        <f t="shared" si="10"/>
        <v>0</v>
      </c>
      <c r="R41" s="129" t="str">
        <f t="shared" si="3"/>
        <v>0h0</v>
      </c>
      <c r="S41" s="138">
        <f t="shared" si="6"/>
        <v>20</v>
      </c>
      <c r="T41" s="129" t="str">
        <f t="shared" si="4"/>
        <v>0h20</v>
      </c>
    </row>
    <row r="42" spans="2:20" x14ac:dyDescent="0.3">
      <c r="B42" s="128">
        <f t="shared" si="7"/>
        <v>46232</v>
      </c>
      <c r="C42" s="129" t="str">
        <f t="shared" si="0"/>
        <v>Wednesday</v>
      </c>
      <c r="D42" s="138" t="s">
        <v>222</v>
      </c>
      <c r="E42" s="129">
        <v>0</v>
      </c>
      <c r="F42" s="129">
        <v>20</v>
      </c>
      <c r="G42" s="129">
        <f t="shared" si="8"/>
        <v>20</v>
      </c>
      <c r="H42" s="129" t="str">
        <f t="shared" si="5"/>
        <v>0h20</v>
      </c>
      <c r="I42" s="138" t="s">
        <v>84</v>
      </c>
      <c r="J42" s="129"/>
      <c r="K42" s="129"/>
      <c r="L42" s="129">
        <f t="shared" si="9"/>
        <v>0</v>
      </c>
      <c r="M42" s="129" t="str">
        <f t="shared" si="2"/>
        <v>0h0</v>
      </c>
      <c r="N42" s="138" t="s">
        <v>84</v>
      </c>
      <c r="O42" s="129"/>
      <c r="P42" s="129"/>
      <c r="Q42" s="129">
        <f t="shared" si="10"/>
        <v>0</v>
      </c>
      <c r="R42" s="129" t="str">
        <f t="shared" si="3"/>
        <v>0h0</v>
      </c>
      <c r="S42" s="138">
        <f t="shared" si="6"/>
        <v>20</v>
      </c>
      <c r="T42" s="129" t="str">
        <f t="shared" si="4"/>
        <v>0h20</v>
      </c>
    </row>
    <row r="43" spans="2:20" x14ac:dyDescent="0.3">
      <c r="B43" s="128">
        <f t="shared" si="7"/>
        <v>46233</v>
      </c>
      <c r="C43" s="129" t="str">
        <f t="shared" si="0"/>
        <v>Thursday</v>
      </c>
      <c r="D43" s="138" t="s">
        <v>84</v>
      </c>
      <c r="E43" s="129"/>
      <c r="F43" s="129"/>
      <c r="G43" s="129">
        <f t="shared" si="8"/>
        <v>0</v>
      </c>
      <c r="H43" s="129" t="str">
        <f t="shared" si="5"/>
        <v>0h0</v>
      </c>
      <c r="I43" s="138" t="s">
        <v>84</v>
      </c>
      <c r="J43" s="129"/>
      <c r="K43" s="129"/>
      <c r="L43" s="129">
        <f t="shared" si="9"/>
        <v>0</v>
      </c>
      <c r="M43" s="129" t="str">
        <f t="shared" si="2"/>
        <v>0h0</v>
      </c>
      <c r="N43" s="138" t="s">
        <v>84</v>
      </c>
      <c r="O43" s="129"/>
      <c r="P43" s="129"/>
      <c r="Q43" s="129">
        <f t="shared" si="10"/>
        <v>0</v>
      </c>
      <c r="R43" s="129" t="str">
        <f t="shared" si="3"/>
        <v>0h0</v>
      </c>
      <c r="S43" s="138">
        <f t="shared" si="6"/>
        <v>0</v>
      </c>
      <c r="T43" s="129" t="str">
        <f t="shared" si="4"/>
        <v>0h0</v>
      </c>
    </row>
    <row r="44" spans="2:20" x14ac:dyDescent="0.3">
      <c r="B44" s="128">
        <f t="shared" si="7"/>
        <v>46234</v>
      </c>
      <c r="C44" s="129" t="str">
        <f t="shared" si="0"/>
        <v>Friday</v>
      </c>
      <c r="D44" s="138" t="s">
        <v>84</v>
      </c>
      <c r="E44" s="129"/>
      <c r="F44" s="129"/>
      <c r="G44" s="129">
        <f t="shared" si="8"/>
        <v>0</v>
      </c>
      <c r="H44" s="129" t="str">
        <f t="shared" si="5"/>
        <v>0h0</v>
      </c>
      <c r="I44" s="138" t="s">
        <v>84</v>
      </c>
      <c r="J44" s="129"/>
      <c r="K44" s="129"/>
      <c r="L44" s="129">
        <f t="shared" si="9"/>
        <v>0</v>
      </c>
      <c r="M44" s="129" t="str">
        <f t="shared" si="2"/>
        <v>0h0</v>
      </c>
      <c r="N44" s="138" t="s">
        <v>84</v>
      </c>
      <c r="O44" s="129"/>
      <c r="P44" s="129"/>
      <c r="Q44" s="129">
        <f t="shared" si="10"/>
        <v>0</v>
      </c>
      <c r="R44" s="129" t="str">
        <f t="shared" si="3"/>
        <v>0h0</v>
      </c>
      <c r="S44" s="138">
        <f t="shared" si="6"/>
        <v>0</v>
      </c>
      <c r="T44" s="129" t="str">
        <f t="shared" si="4"/>
        <v>0h0</v>
      </c>
    </row>
    <row r="45" spans="2:20" x14ac:dyDescent="0.3">
      <c r="B45" s="128">
        <f t="shared" si="7"/>
        <v>46235</v>
      </c>
      <c r="C45" s="129" t="str">
        <f t="shared" si="0"/>
        <v>Saturday</v>
      </c>
      <c r="D45" s="138" t="s">
        <v>84</v>
      </c>
      <c r="E45" s="129"/>
      <c r="F45" s="129"/>
      <c r="G45" s="129">
        <f t="shared" si="8"/>
        <v>0</v>
      </c>
      <c r="H45" s="129" t="str">
        <f t="shared" si="5"/>
        <v>0h0</v>
      </c>
      <c r="I45" s="138" t="s">
        <v>84</v>
      </c>
      <c r="J45" s="129"/>
      <c r="K45" s="129"/>
      <c r="L45" s="129">
        <f t="shared" si="9"/>
        <v>0</v>
      </c>
      <c r="M45" s="129" t="str">
        <f t="shared" si="2"/>
        <v>0h0</v>
      </c>
      <c r="N45" s="138" t="s">
        <v>84</v>
      </c>
      <c r="O45" s="129"/>
      <c r="P45" s="129"/>
      <c r="Q45" s="129">
        <f t="shared" si="10"/>
        <v>0</v>
      </c>
      <c r="R45" s="129" t="str">
        <f t="shared" si="3"/>
        <v>0h0</v>
      </c>
      <c r="S45" s="138">
        <f t="shared" si="6"/>
        <v>0</v>
      </c>
      <c r="T45" s="129" t="str">
        <f t="shared" si="4"/>
        <v>0h0</v>
      </c>
    </row>
    <row r="46" spans="2:20" x14ac:dyDescent="0.3">
      <c r="B46" s="128">
        <f t="shared" si="7"/>
        <v>46236</v>
      </c>
      <c r="C46" s="129" t="str">
        <f t="shared" si="0"/>
        <v>Sunday</v>
      </c>
      <c r="D46" s="138" t="s">
        <v>222</v>
      </c>
      <c r="E46" s="129">
        <v>0</v>
      </c>
      <c r="F46" s="129">
        <v>20</v>
      </c>
      <c r="G46" s="129">
        <f t="shared" si="8"/>
        <v>20</v>
      </c>
      <c r="H46" s="129" t="str">
        <f t="shared" si="5"/>
        <v>0h20</v>
      </c>
      <c r="I46" s="138" t="s">
        <v>84</v>
      </c>
      <c r="J46" s="129"/>
      <c r="K46" s="129"/>
      <c r="L46" s="129">
        <f t="shared" si="9"/>
        <v>0</v>
      </c>
      <c r="M46" s="129" t="str">
        <f t="shared" si="2"/>
        <v>0h0</v>
      </c>
      <c r="N46" s="138" t="s">
        <v>84</v>
      </c>
      <c r="O46" s="129"/>
      <c r="P46" s="129"/>
      <c r="Q46" s="129">
        <f t="shared" si="10"/>
        <v>0</v>
      </c>
      <c r="R46" s="129" t="str">
        <f t="shared" si="3"/>
        <v>0h0</v>
      </c>
      <c r="S46" s="138">
        <f t="shared" si="6"/>
        <v>20</v>
      </c>
      <c r="T46" s="129" t="str">
        <f t="shared" si="4"/>
        <v>0h20</v>
      </c>
    </row>
    <row r="47" spans="2:20" x14ac:dyDescent="0.3">
      <c r="B47" s="128">
        <f t="shared" si="7"/>
        <v>46237</v>
      </c>
      <c r="C47" s="129" t="str">
        <f t="shared" si="0"/>
        <v>Monday</v>
      </c>
      <c r="D47" s="138" t="s">
        <v>84</v>
      </c>
      <c r="E47" s="129"/>
      <c r="F47" s="129"/>
      <c r="G47" s="129">
        <f t="shared" si="8"/>
        <v>0</v>
      </c>
      <c r="H47" s="129" t="str">
        <f t="shared" si="5"/>
        <v>0h0</v>
      </c>
      <c r="I47" s="138" t="s">
        <v>84</v>
      </c>
      <c r="J47" s="129"/>
      <c r="K47" s="129"/>
      <c r="L47" s="129">
        <f t="shared" si="9"/>
        <v>0</v>
      </c>
      <c r="M47" s="129" t="str">
        <f t="shared" si="2"/>
        <v>0h0</v>
      </c>
      <c r="N47" s="138" t="s">
        <v>84</v>
      </c>
      <c r="O47" s="129"/>
      <c r="P47" s="129"/>
      <c r="Q47" s="129">
        <f t="shared" si="10"/>
        <v>0</v>
      </c>
      <c r="R47" s="129" t="str">
        <f t="shared" si="3"/>
        <v>0h0</v>
      </c>
      <c r="S47" s="138">
        <f t="shared" si="6"/>
        <v>0</v>
      </c>
      <c r="T47" s="129" t="str">
        <f t="shared" si="4"/>
        <v>0h0</v>
      </c>
    </row>
    <row r="48" spans="2:20" x14ac:dyDescent="0.3">
      <c r="B48" s="128">
        <f t="shared" si="7"/>
        <v>46238</v>
      </c>
      <c r="C48" s="129" t="str">
        <f t="shared" si="0"/>
        <v>Tuesday</v>
      </c>
      <c r="D48" s="138" t="s">
        <v>222</v>
      </c>
      <c r="E48" s="129">
        <v>0</v>
      </c>
      <c r="F48" s="129">
        <v>20</v>
      </c>
      <c r="G48" s="129">
        <f t="shared" si="8"/>
        <v>20</v>
      </c>
      <c r="H48" s="129" t="str">
        <f t="shared" si="5"/>
        <v>0h20</v>
      </c>
      <c r="I48" s="138" t="s">
        <v>84</v>
      </c>
      <c r="J48" s="129"/>
      <c r="K48" s="129"/>
      <c r="L48" s="129">
        <f t="shared" si="9"/>
        <v>0</v>
      </c>
      <c r="M48" s="129" t="str">
        <f t="shared" si="2"/>
        <v>0h0</v>
      </c>
      <c r="N48" s="138" t="s">
        <v>84</v>
      </c>
      <c r="O48" s="129"/>
      <c r="P48" s="129"/>
      <c r="Q48" s="129">
        <f t="shared" si="10"/>
        <v>0</v>
      </c>
      <c r="R48" s="129" t="str">
        <f t="shared" si="3"/>
        <v>0h0</v>
      </c>
      <c r="S48" s="138">
        <f t="shared" si="6"/>
        <v>20</v>
      </c>
      <c r="T48" s="129" t="str">
        <f t="shared" si="4"/>
        <v>0h20</v>
      </c>
    </row>
    <row r="49" spans="2:20" x14ac:dyDescent="0.3">
      <c r="B49" s="128">
        <f t="shared" si="7"/>
        <v>46239</v>
      </c>
      <c r="C49" s="129" t="str">
        <f t="shared" si="0"/>
        <v>Wednesday</v>
      </c>
      <c r="D49" s="138" t="s">
        <v>222</v>
      </c>
      <c r="E49" s="129">
        <v>0</v>
      </c>
      <c r="F49" s="129">
        <v>20</v>
      </c>
      <c r="G49" s="129">
        <f t="shared" si="8"/>
        <v>20</v>
      </c>
      <c r="H49" s="129" t="str">
        <f t="shared" si="5"/>
        <v>0h20</v>
      </c>
      <c r="I49" s="138" t="s">
        <v>84</v>
      </c>
      <c r="J49" s="129"/>
      <c r="K49" s="129"/>
      <c r="L49" s="129">
        <f t="shared" si="9"/>
        <v>0</v>
      </c>
      <c r="M49" s="129" t="str">
        <f t="shared" si="2"/>
        <v>0h0</v>
      </c>
      <c r="N49" s="138" t="s">
        <v>84</v>
      </c>
      <c r="O49" s="129"/>
      <c r="P49" s="129"/>
      <c r="Q49" s="129">
        <f t="shared" si="10"/>
        <v>0</v>
      </c>
      <c r="R49" s="129" t="str">
        <f t="shared" si="3"/>
        <v>0h0</v>
      </c>
      <c r="S49" s="138">
        <f t="shared" si="6"/>
        <v>20</v>
      </c>
      <c r="T49" s="129" t="str">
        <f t="shared" si="4"/>
        <v>0h20</v>
      </c>
    </row>
    <row r="50" spans="2:20" x14ac:dyDescent="0.3">
      <c r="B50" s="128">
        <f t="shared" si="7"/>
        <v>46240</v>
      </c>
      <c r="C50" s="129" t="str">
        <f t="shared" si="0"/>
        <v>Thursday</v>
      </c>
      <c r="D50" s="138" t="s">
        <v>84</v>
      </c>
      <c r="E50" s="129"/>
      <c r="F50" s="129"/>
      <c r="G50" s="129">
        <f t="shared" si="8"/>
        <v>0</v>
      </c>
      <c r="H50" s="129" t="str">
        <f t="shared" si="5"/>
        <v>0h0</v>
      </c>
      <c r="I50" s="138" t="s">
        <v>84</v>
      </c>
      <c r="J50" s="129"/>
      <c r="K50" s="129"/>
      <c r="L50" s="129">
        <f t="shared" si="9"/>
        <v>0</v>
      </c>
      <c r="M50" s="129" t="str">
        <f t="shared" si="2"/>
        <v>0h0</v>
      </c>
      <c r="N50" s="138" t="s">
        <v>84</v>
      </c>
      <c r="O50" s="129"/>
      <c r="P50" s="129"/>
      <c r="Q50" s="129">
        <f t="shared" si="10"/>
        <v>0</v>
      </c>
      <c r="R50" s="129" t="str">
        <f t="shared" si="3"/>
        <v>0h0</v>
      </c>
      <c r="S50" s="138">
        <f t="shared" si="6"/>
        <v>0</v>
      </c>
      <c r="T50" s="129" t="str">
        <f t="shared" si="4"/>
        <v>0h0</v>
      </c>
    </row>
    <row r="51" spans="2:20" x14ac:dyDescent="0.3">
      <c r="B51" s="128">
        <f t="shared" si="7"/>
        <v>46241</v>
      </c>
      <c r="C51" s="129" t="str">
        <f t="shared" si="0"/>
        <v>Friday</v>
      </c>
      <c r="D51" s="138" t="s">
        <v>84</v>
      </c>
      <c r="E51" s="129"/>
      <c r="F51" s="129"/>
      <c r="G51" s="129">
        <f t="shared" si="8"/>
        <v>0</v>
      </c>
      <c r="H51" s="129" t="str">
        <f t="shared" si="5"/>
        <v>0h0</v>
      </c>
      <c r="I51" s="138" t="s">
        <v>84</v>
      </c>
      <c r="J51" s="129"/>
      <c r="K51" s="129"/>
      <c r="L51" s="129">
        <f t="shared" si="9"/>
        <v>0</v>
      </c>
      <c r="M51" s="129" t="str">
        <f t="shared" si="2"/>
        <v>0h0</v>
      </c>
      <c r="N51" s="138" t="s">
        <v>84</v>
      </c>
      <c r="O51" s="129"/>
      <c r="P51" s="129"/>
      <c r="Q51" s="129">
        <f t="shared" si="10"/>
        <v>0</v>
      </c>
      <c r="R51" s="129" t="str">
        <f t="shared" si="3"/>
        <v>0h0</v>
      </c>
      <c r="S51" s="138">
        <f t="shared" si="6"/>
        <v>0</v>
      </c>
      <c r="T51" s="129" t="str">
        <f t="shared" si="4"/>
        <v>0h0</v>
      </c>
    </row>
    <row r="52" spans="2:20" x14ac:dyDescent="0.3">
      <c r="B52" s="128">
        <f t="shared" si="7"/>
        <v>46242</v>
      </c>
      <c r="C52" s="129" t="str">
        <f t="shared" si="0"/>
        <v>Saturday</v>
      </c>
      <c r="D52" s="138" t="s">
        <v>84</v>
      </c>
      <c r="E52" s="129"/>
      <c r="F52" s="129"/>
      <c r="G52" s="129">
        <f t="shared" si="8"/>
        <v>0</v>
      </c>
      <c r="H52" s="129" t="str">
        <f t="shared" si="5"/>
        <v>0h0</v>
      </c>
      <c r="I52" s="138" t="s">
        <v>84</v>
      </c>
      <c r="J52" s="129"/>
      <c r="K52" s="129"/>
      <c r="L52" s="129">
        <f t="shared" si="9"/>
        <v>0</v>
      </c>
      <c r="M52" s="129" t="str">
        <f t="shared" si="2"/>
        <v>0h0</v>
      </c>
      <c r="N52" s="138" t="s">
        <v>84</v>
      </c>
      <c r="O52" s="129"/>
      <c r="P52" s="129"/>
      <c r="Q52" s="129">
        <f t="shared" si="10"/>
        <v>0</v>
      </c>
      <c r="R52" s="129" t="str">
        <f t="shared" si="3"/>
        <v>0h0</v>
      </c>
      <c r="S52" s="138">
        <f t="shared" si="6"/>
        <v>0</v>
      </c>
      <c r="T52" s="129" t="str">
        <f t="shared" si="4"/>
        <v>0h0</v>
      </c>
    </row>
    <row r="53" spans="2:20" x14ac:dyDescent="0.3">
      <c r="B53" s="128">
        <f t="shared" si="7"/>
        <v>46243</v>
      </c>
      <c r="C53" s="129" t="str">
        <f t="shared" si="0"/>
        <v>Sunday</v>
      </c>
      <c r="D53" s="138" t="s">
        <v>84</v>
      </c>
      <c r="E53" s="129"/>
      <c r="F53" s="129"/>
      <c r="G53" s="129">
        <f t="shared" si="8"/>
        <v>0</v>
      </c>
      <c r="H53" s="129" t="str">
        <f t="shared" si="5"/>
        <v>0h0</v>
      </c>
      <c r="I53" s="138" t="s">
        <v>84</v>
      </c>
      <c r="J53" s="129"/>
      <c r="K53" s="129"/>
      <c r="L53" s="129">
        <f t="shared" si="9"/>
        <v>0</v>
      </c>
      <c r="M53" s="129" t="str">
        <f t="shared" si="2"/>
        <v>0h0</v>
      </c>
      <c r="N53" s="138" t="s">
        <v>84</v>
      </c>
      <c r="O53" s="129"/>
      <c r="P53" s="129"/>
      <c r="Q53" s="129">
        <f t="shared" si="10"/>
        <v>0</v>
      </c>
      <c r="R53" s="129" t="str">
        <f t="shared" si="3"/>
        <v>0h0</v>
      </c>
      <c r="S53" s="138">
        <f t="shared" si="6"/>
        <v>0</v>
      </c>
      <c r="T53" s="129" t="str">
        <f t="shared" si="4"/>
        <v>0h0</v>
      </c>
    </row>
    <row r="54" spans="2:20" x14ac:dyDescent="0.3">
      <c r="B54" s="128">
        <f t="shared" si="7"/>
        <v>46244</v>
      </c>
      <c r="C54" s="129" t="str">
        <f t="shared" si="0"/>
        <v>Monday</v>
      </c>
      <c r="D54" s="138" t="s">
        <v>222</v>
      </c>
      <c r="E54" s="129">
        <v>0</v>
      </c>
      <c r="F54" s="129">
        <v>20</v>
      </c>
      <c r="G54" s="129">
        <f t="shared" si="8"/>
        <v>20</v>
      </c>
      <c r="H54" s="129" t="str">
        <f t="shared" si="5"/>
        <v>0h20</v>
      </c>
      <c r="I54" s="138" t="s">
        <v>84</v>
      </c>
      <c r="J54" s="129"/>
      <c r="K54" s="129"/>
      <c r="L54" s="129">
        <f t="shared" si="9"/>
        <v>0</v>
      </c>
      <c r="M54" s="129" t="str">
        <f t="shared" si="2"/>
        <v>0h0</v>
      </c>
      <c r="N54" s="138" t="s">
        <v>84</v>
      </c>
      <c r="O54" s="129"/>
      <c r="P54" s="129"/>
      <c r="Q54" s="129">
        <f t="shared" si="10"/>
        <v>0</v>
      </c>
      <c r="R54" s="129" t="str">
        <f t="shared" si="3"/>
        <v>0h0</v>
      </c>
      <c r="S54" s="138">
        <f t="shared" si="6"/>
        <v>20</v>
      </c>
      <c r="T54" s="129" t="str">
        <f t="shared" si="4"/>
        <v>0h20</v>
      </c>
    </row>
    <row r="55" spans="2:20" x14ac:dyDescent="0.3">
      <c r="B55" s="128">
        <f t="shared" si="7"/>
        <v>46245</v>
      </c>
      <c r="C55" s="129" t="str">
        <f t="shared" si="0"/>
        <v>Tuesday</v>
      </c>
      <c r="D55" s="138" t="s">
        <v>222</v>
      </c>
      <c r="E55" s="129">
        <v>0</v>
      </c>
      <c r="F55" s="129">
        <v>20</v>
      </c>
      <c r="G55" s="129">
        <f t="shared" si="8"/>
        <v>20</v>
      </c>
      <c r="H55" s="129" t="str">
        <f t="shared" si="5"/>
        <v>0h20</v>
      </c>
      <c r="I55" s="138" t="s">
        <v>84</v>
      </c>
      <c r="J55" s="129"/>
      <c r="K55" s="129"/>
      <c r="L55" s="129">
        <f t="shared" si="9"/>
        <v>0</v>
      </c>
      <c r="M55" s="129" t="str">
        <f t="shared" si="2"/>
        <v>0h0</v>
      </c>
      <c r="N55" s="138" t="s">
        <v>84</v>
      </c>
      <c r="O55" s="129"/>
      <c r="P55" s="129"/>
      <c r="Q55" s="129">
        <f t="shared" si="10"/>
        <v>0</v>
      </c>
      <c r="R55" s="129" t="str">
        <f t="shared" si="3"/>
        <v>0h0</v>
      </c>
      <c r="S55" s="138">
        <f t="shared" si="6"/>
        <v>20</v>
      </c>
      <c r="T55" s="129" t="str">
        <f t="shared" si="4"/>
        <v>0h20</v>
      </c>
    </row>
    <row r="56" spans="2:20" x14ac:dyDescent="0.3">
      <c r="B56" s="128">
        <f t="shared" si="7"/>
        <v>46246</v>
      </c>
      <c r="C56" s="129" t="str">
        <f t="shared" si="0"/>
        <v>Wednesday</v>
      </c>
      <c r="D56" s="138" t="s">
        <v>84</v>
      </c>
      <c r="E56" s="129"/>
      <c r="F56" s="129"/>
      <c r="G56" s="129">
        <f t="shared" si="8"/>
        <v>0</v>
      </c>
      <c r="H56" s="129" t="str">
        <f t="shared" si="5"/>
        <v>0h0</v>
      </c>
      <c r="I56" s="138" t="s">
        <v>84</v>
      </c>
      <c r="J56" s="129"/>
      <c r="K56" s="129"/>
      <c r="L56" s="129">
        <f t="shared" si="9"/>
        <v>0</v>
      </c>
      <c r="M56" s="129" t="str">
        <f t="shared" si="2"/>
        <v>0h0</v>
      </c>
      <c r="N56" s="138" t="s">
        <v>84</v>
      </c>
      <c r="O56" s="129"/>
      <c r="P56" s="129"/>
      <c r="Q56" s="129">
        <f t="shared" si="10"/>
        <v>0</v>
      </c>
      <c r="R56" s="129" t="str">
        <f t="shared" si="3"/>
        <v>0h0</v>
      </c>
      <c r="S56" s="138">
        <f t="shared" si="6"/>
        <v>0</v>
      </c>
      <c r="T56" s="129" t="str">
        <f t="shared" si="4"/>
        <v>0h0</v>
      </c>
    </row>
    <row r="57" spans="2:20" x14ac:dyDescent="0.3">
      <c r="B57" s="128">
        <f t="shared" si="7"/>
        <v>46247</v>
      </c>
      <c r="C57" s="129" t="str">
        <f t="shared" si="0"/>
        <v>Thursday</v>
      </c>
      <c r="D57" s="138" t="s">
        <v>84</v>
      </c>
      <c r="E57" s="129"/>
      <c r="F57" s="129"/>
      <c r="G57" s="129">
        <f t="shared" si="8"/>
        <v>0</v>
      </c>
      <c r="H57" s="129" t="str">
        <f t="shared" si="5"/>
        <v>0h0</v>
      </c>
      <c r="I57" s="138" t="s">
        <v>84</v>
      </c>
      <c r="J57" s="129"/>
      <c r="K57" s="129"/>
      <c r="L57" s="129">
        <f t="shared" si="9"/>
        <v>0</v>
      </c>
      <c r="M57" s="129" t="str">
        <f t="shared" si="2"/>
        <v>0h0</v>
      </c>
      <c r="N57" s="138" t="s">
        <v>84</v>
      </c>
      <c r="O57" s="129"/>
      <c r="P57" s="129"/>
      <c r="Q57" s="129">
        <f t="shared" si="10"/>
        <v>0</v>
      </c>
      <c r="R57" s="129" t="str">
        <f t="shared" si="3"/>
        <v>0h0</v>
      </c>
      <c r="S57" s="138">
        <f t="shared" si="6"/>
        <v>0</v>
      </c>
      <c r="T57" s="129" t="str">
        <f t="shared" si="4"/>
        <v>0h0</v>
      </c>
    </row>
    <row r="58" spans="2:20" x14ac:dyDescent="0.3">
      <c r="B58" s="128">
        <f t="shared" si="7"/>
        <v>46248</v>
      </c>
      <c r="C58" s="129" t="str">
        <f t="shared" si="0"/>
        <v>Friday</v>
      </c>
      <c r="D58" s="138" t="s">
        <v>84</v>
      </c>
      <c r="E58" s="129"/>
      <c r="F58" s="129"/>
      <c r="G58" s="129">
        <f t="shared" si="8"/>
        <v>0</v>
      </c>
      <c r="H58" s="129" t="str">
        <f t="shared" si="5"/>
        <v>0h0</v>
      </c>
      <c r="I58" s="138" t="s">
        <v>84</v>
      </c>
      <c r="J58" s="129"/>
      <c r="K58" s="129"/>
      <c r="L58" s="129">
        <f t="shared" si="9"/>
        <v>0</v>
      </c>
      <c r="M58" s="129" t="str">
        <f t="shared" si="2"/>
        <v>0h0</v>
      </c>
      <c r="N58" s="138" t="s">
        <v>84</v>
      </c>
      <c r="O58" s="129"/>
      <c r="P58" s="129"/>
      <c r="Q58" s="129">
        <f t="shared" si="10"/>
        <v>0</v>
      </c>
      <c r="R58" s="129" t="str">
        <f t="shared" si="3"/>
        <v>0h0</v>
      </c>
      <c r="S58" s="138">
        <f t="shared" si="6"/>
        <v>0</v>
      </c>
      <c r="T58" s="129" t="str">
        <f t="shared" si="4"/>
        <v>0h0</v>
      </c>
    </row>
    <row r="59" spans="2:20" x14ac:dyDescent="0.3">
      <c r="B59" s="128">
        <f t="shared" si="7"/>
        <v>46249</v>
      </c>
      <c r="C59" s="129" t="str">
        <f t="shared" si="0"/>
        <v>Saturday</v>
      </c>
      <c r="D59" s="138" t="s">
        <v>84</v>
      </c>
      <c r="E59" s="129"/>
      <c r="F59" s="129"/>
      <c r="G59" s="129">
        <f t="shared" si="8"/>
        <v>0</v>
      </c>
      <c r="H59" s="129" t="str">
        <f t="shared" si="5"/>
        <v>0h0</v>
      </c>
      <c r="I59" s="138" t="s">
        <v>84</v>
      </c>
      <c r="J59" s="129"/>
      <c r="K59" s="129"/>
      <c r="L59" s="129">
        <f t="shared" si="9"/>
        <v>0</v>
      </c>
      <c r="M59" s="129" t="str">
        <f t="shared" si="2"/>
        <v>0h0</v>
      </c>
      <c r="N59" s="138" t="s">
        <v>84</v>
      </c>
      <c r="O59" s="129"/>
      <c r="P59" s="129"/>
      <c r="Q59" s="129">
        <f t="shared" si="10"/>
        <v>0</v>
      </c>
      <c r="R59" s="129" t="str">
        <f t="shared" si="3"/>
        <v>0h0</v>
      </c>
      <c r="S59" s="138">
        <f t="shared" si="6"/>
        <v>0</v>
      </c>
      <c r="T59" s="129" t="str">
        <f t="shared" si="4"/>
        <v>0h0</v>
      </c>
    </row>
    <row r="60" spans="2:20" x14ac:dyDescent="0.3">
      <c r="B60" s="128">
        <f t="shared" si="7"/>
        <v>46250</v>
      </c>
      <c r="C60" s="129" t="str">
        <f t="shared" si="0"/>
        <v>Sunday</v>
      </c>
      <c r="D60" s="138" t="s">
        <v>84</v>
      </c>
      <c r="E60" s="129"/>
      <c r="F60" s="129"/>
      <c r="G60" s="129">
        <f t="shared" si="8"/>
        <v>0</v>
      </c>
      <c r="H60" s="129" t="str">
        <f t="shared" si="5"/>
        <v>0h0</v>
      </c>
      <c r="I60" s="138" t="s">
        <v>84</v>
      </c>
      <c r="J60" s="129"/>
      <c r="K60" s="129"/>
      <c r="L60" s="129">
        <f t="shared" si="9"/>
        <v>0</v>
      </c>
      <c r="M60" s="129" t="str">
        <f t="shared" si="2"/>
        <v>0h0</v>
      </c>
      <c r="N60" s="138" t="s">
        <v>84</v>
      </c>
      <c r="O60" s="129"/>
      <c r="P60" s="129"/>
      <c r="Q60" s="129">
        <f t="shared" si="10"/>
        <v>0</v>
      </c>
      <c r="R60" s="129" t="str">
        <f t="shared" si="3"/>
        <v>0h0</v>
      </c>
      <c r="S60" s="138">
        <f t="shared" si="6"/>
        <v>0</v>
      </c>
      <c r="T60" s="129" t="str">
        <f t="shared" si="4"/>
        <v>0h0</v>
      </c>
    </row>
    <row r="61" spans="2:20" x14ac:dyDescent="0.3">
      <c r="B61" s="128">
        <f t="shared" si="7"/>
        <v>46251</v>
      </c>
      <c r="C61" s="129" t="str">
        <f t="shared" si="0"/>
        <v>Monday</v>
      </c>
      <c r="D61" s="138" t="s">
        <v>84</v>
      </c>
      <c r="E61" s="129"/>
      <c r="F61" s="129"/>
      <c r="G61" s="129">
        <f t="shared" si="8"/>
        <v>0</v>
      </c>
      <c r="H61" s="129" t="str">
        <f t="shared" si="5"/>
        <v>0h0</v>
      </c>
      <c r="I61" s="138" t="s">
        <v>84</v>
      </c>
      <c r="J61" s="129"/>
      <c r="K61" s="129"/>
      <c r="L61" s="129">
        <f t="shared" si="9"/>
        <v>0</v>
      </c>
      <c r="M61" s="129" t="str">
        <f t="shared" si="2"/>
        <v>0h0</v>
      </c>
      <c r="N61" s="138" t="s">
        <v>84</v>
      </c>
      <c r="O61" s="129"/>
      <c r="P61" s="129"/>
      <c r="Q61" s="129">
        <f t="shared" si="10"/>
        <v>0</v>
      </c>
      <c r="R61" s="129" t="str">
        <f t="shared" si="3"/>
        <v>0h0</v>
      </c>
      <c r="S61" s="138">
        <f t="shared" si="6"/>
        <v>0</v>
      </c>
      <c r="T61" s="129" t="str">
        <f t="shared" si="4"/>
        <v>0h0</v>
      </c>
    </row>
    <row r="62" spans="2:20" x14ac:dyDescent="0.3">
      <c r="B62" s="128">
        <f t="shared" si="7"/>
        <v>46252</v>
      </c>
      <c r="C62" s="129" t="str">
        <f t="shared" si="0"/>
        <v>Tuesday</v>
      </c>
      <c r="D62" s="138" t="s">
        <v>222</v>
      </c>
      <c r="E62" s="129">
        <v>0</v>
      </c>
      <c r="F62" s="129">
        <v>20</v>
      </c>
      <c r="G62" s="129">
        <f t="shared" si="8"/>
        <v>20</v>
      </c>
      <c r="H62" s="129" t="str">
        <f t="shared" si="5"/>
        <v>0h20</v>
      </c>
      <c r="I62" s="138" t="s">
        <v>84</v>
      </c>
      <c r="J62" s="129"/>
      <c r="K62" s="129"/>
      <c r="L62" s="129">
        <f t="shared" si="9"/>
        <v>0</v>
      </c>
      <c r="M62" s="129" t="str">
        <f t="shared" si="2"/>
        <v>0h0</v>
      </c>
      <c r="N62" s="138" t="s">
        <v>84</v>
      </c>
      <c r="O62" s="129"/>
      <c r="P62" s="129"/>
      <c r="Q62" s="129">
        <f t="shared" si="10"/>
        <v>0</v>
      </c>
      <c r="R62" s="129" t="str">
        <f t="shared" si="3"/>
        <v>0h0</v>
      </c>
      <c r="S62" s="138">
        <f t="shared" si="6"/>
        <v>20</v>
      </c>
      <c r="T62" s="129" t="str">
        <f t="shared" si="4"/>
        <v>0h20</v>
      </c>
    </row>
    <row r="63" spans="2:20" x14ac:dyDescent="0.3">
      <c r="B63" s="128">
        <f t="shared" si="7"/>
        <v>46253</v>
      </c>
      <c r="C63" s="129" t="str">
        <f t="shared" si="0"/>
        <v>Wednesday</v>
      </c>
      <c r="D63" s="138" t="s">
        <v>84</v>
      </c>
      <c r="E63" s="129"/>
      <c r="F63" s="129"/>
      <c r="G63" s="129">
        <f t="shared" si="8"/>
        <v>0</v>
      </c>
      <c r="H63" s="129" t="str">
        <f t="shared" si="5"/>
        <v>0h0</v>
      </c>
      <c r="I63" s="138" t="s">
        <v>84</v>
      </c>
      <c r="J63" s="129"/>
      <c r="K63" s="129"/>
      <c r="L63" s="129">
        <f t="shared" si="9"/>
        <v>0</v>
      </c>
      <c r="M63" s="129" t="str">
        <f t="shared" si="2"/>
        <v>0h0</v>
      </c>
      <c r="N63" s="138" t="s">
        <v>84</v>
      </c>
      <c r="O63" s="129"/>
      <c r="P63" s="129"/>
      <c r="Q63" s="129">
        <f t="shared" si="10"/>
        <v>0</v>
      </c>
      <c r="R63" s="129" t="str">
        <f t="shared" si="3"/>
        <v>0h0</v>
      </c>
      <c r="S63" s="138">
        <f t="shared" si="6"/>
        <v>0</v>
      </c>
      <c r="T63" s="129" t="str">
        <f t="shared" si="4"/>
        <v>0h0</v>
      </c>
    </row>
    <row r="64" spans="2:20" x14ac:dyDescent="0.3">
      <c r="B64" s="128">
        <f t="shared" si="7"/>
        <v>46254</v>
      </c>
      <c r="C64" s="129" t="str">
        <f t="shared" si="0"/>
        <v>Thursday</v>
      </c>
      <c r="D64" s="138"/>
      <c r="E64" s="129"/>
      <c r="F64" s="129"/>
      <c r="G64" s="129">
        <f t="shared" si="8"/>
        <v>0</v>
      </c>
      <c r="H64" s="129" t="str">
        <f t="shared" si="5"/>
        <v>0h0</v>
      </c>
      <c r="I64" s="138" t="s">
        <v>84</v>
      </c>
      <c r="J64" s="129"/>
      <c r="K64" s="129"/>
      <c r="L64" s="129">
        <f t="shared" si="9"/>
        <v>0</v>
      </c>
      <c r="M64" s="129" t="str">
        <f t="shared" si="2"/>
        <v>0h0</v>
      </c>
      <c r="N64" s="138" t="s">
        <v>84</v>
      </c>
      <c r="O64" s="129"/>
      <c r="P64" s="129"/>
      <c r="Q64" s="129">
        <f t="shared" si="10"/>
        <v>0</v>
      </c>
      <c r="R64" s="129" t="str">
        <f t="shared" si="3"/>
        <v>0h0</v>
      </c>
      <c r="S64" s="138">
        <f t="shared" si="6"/>
        <v>0</v>
      </c>
      <c r="T64" s="129" t="str">
        <f t="shared" si="4"/>
        <v>0h0</v>
      </c>
    </row>
    <row r="65" spans="2:20" x14ac:dyDescent="0.3">
      <c r="B65" s="128">
        <f t="shared" si="7"/>
        <v>46255</v>
      </c>
      <c r="C65" s="129" t="str">
        <f t="shared" si="0"/>
        <v>Friday</v>
      </c>
      <c r="D65" s="138" t="s">
        <v>84</v>
      </c>
      <c r="E65" s="129"/>
      <c r="F65" s="129"/>
      <c r="G65" s="129">
        <f t="shared" si="8"/>
        <v>0</v>
      </c>
      <c r="H65" s="129" t="str">
        <f t="shared" si="5"/>
        <v>0h0</v>
      </c>
      <c r="I65" s="138" t="s">
        <v>84</v>
      </c>
      <c r="J65" s="129"/>
      <c r="K65" s="129"/>
      <c r="L65" s="129">
        <f t="shared" si="9"/>
        <v>0</v>
      </c>
      <c r="M65" s="129" t="str">
        <f t="shared" si="2"/>
        <v>0h0</v>
      </c>
      <c r="N65" s="138" t="s">
        <v>84</v>
      </c>
      <c r="O65" s="129"/>
      <c r="P65" s="129"/>
      <c r="Q65" s="129">
        <f t="shared" si="10"/>
        <v>0</v>
      </c>
      <c r="R65" s="129" t="str">
        <f t="shared" si="3"/>
        <v>0h0</v>
      </c>
      <c r="S65" s="138">
        <f t="shared" si="6"/>
        <v>0</v>
      </c>
      <c r="T65" s="129" t="str">
        <f t="shared" si="4"/>
        <v>0h0</v>
      </c>
    </row>
    <row r="66" spans="2:20" x14ac:dyDescent="0.3">
      <c r="B66" s="128">
        <f t="shared" si="7"/>
        <v>46256</v>
      </c>
      <c r="C66" s="129" t="str">
        <f t="shared" si="0"/>
        <v>Saturday</v>
      </c>
      <c r="D66" s="138" t="s">
        <v>84</v>
      </c>
      <c r="E66" s="129"/>
      <c r="F66" s="129"/>
      <c r="G66" s="129">
        <f t="shared" si="8"/>
        <v>0</v>
      </c>
      <c r="H66" s="129" t="str">
        <f t="shared" si="5"/>
        <v>0h0</v>
      </c>
      <c r="I66" s="138" t="s">
        <v>84</v>
      </c>
      <c r="J66" s="129"/>
      <c r="K66" s="129"/>
      <c r="L66" s="129">
        <f t="shared" si="9"/>
        <v>0</v>
      </c>
      <c r="M66" s="129" t="str">
        <f t="shared" si="2"/>
        <v>0h0</v>
      </c>
      <c r="N66" s="138" t="s">
        <v>84</v>
      </c>
      <c r="O66" s="129"/>
      <c r="P66" s="129"/>
      <c r="Q66" s="129">
        <f t="shared" si="10"/>
        <v>0</v>
      </c>
      <c r="R66" s="129" t="str">
        <f t="shared" si="3"/>
        <v>0h0</v>
      </c>
      <c r="S66" s="138">
        <f t="shared" si="6"/>
        <v>0</v>
      </c>
      <c r="T66" s="129" t="str">
        <f t="shared" si="4"/>
        <v>0h0</v>
      </c>
    </row>
    <row r="67" spans="2:20" x14ac:dyDescent="0.3">
      <c r="B67" s="128">
        <f t="shared" si="7"/>
        <v>46257</v>
      </c>
      <c r="C67" s="129" t="str">
        <f t="shared" si="0"/>
        <v>Sunday</v>
      </c>
      <c r="D67" s="138" t="s">
        <v>84</v>
      </c>
      <c r="E67" s="129"/>
      <c r="F67" s="129"/>
      <c r="G67" s="129">
        <f t="shared" si="8"/>
        <v>0</v>
      </c>
      <c r="H67" s="129" t="str">
        <f t="shared" si="5"/>
        <v>0h0</v>
      </c>
      <c r="I67" s="138" t="s">
        <v>84</v>
      </c>
      <c r="J67" s="129"/>
      <c r="K67" s="129"/>
      <c r="L67" s="129">
        <f t="shared" si="9"/>
        <v>0</v>
      </c>
      <c r="M67" s="129" t="str">
        <f t="shared" si="2"/>
        <v>0h0</v>
      </c>
      <c r="N67" s="138" t="s">
        <v>84</v>
      </c>
      <c r="O67" s="129"/>
      <c r="P67" s="129"/>
      <c r="Q67" s="129">
        <f t="shared" si="10"/>
        <v>0</v>
      </c>
      <c r="R67" s="129" t="str">
        <f t="shared" si="3"/>
        <v>0h0</v>
      </c>
      <c r="S67" s="138">
        <f t="shared" si="6"/>
        <v>0</v>
      </c>
      <c r="T67" s="129" t="str">
        <f t="shared" si="4"/>
        <v>0h0</v>
      </c>
    </row>
    <row r="68" spans="2:20" x14ac:dyDescent="0.3">
      <c r="B68" s="128">
        <f t="shared" si="7"/>
        <v>46258</v>
      </c>
      <c r="C68" s="129" t="str">
        <f t="shared" si="0"/>
        <v>Monday</v>
      </c>
      <c r="D68" s="138" t="s">
        <v>84</v>
      </c>
      <c r="E68" s="129"/>
      <c r="F68" s="129"/>
      <c r="G68" s="129">
        <f t="shared" si="8"/>
        <v>0</v>
      </c>
      <c r="H68" s="129" t="str">
        <f t="shared" si="5"/>
        <v>0h0</v>
      </c>
      <c r="I68" s="138" t="s">
        <v>84</v>
      </c>
      <c r="J68" s="129"/>
      <c r="K68" s="129"/>
      <c r="L68" s="129">
        <f t="shared" si="9"/>
        <v>0</v>
      </c>
      <c r="M68" s="129" t="str">
        <f t="shared" si="2"/>
        <v>0h0</v>
      </c>
      <c r="N68" s="138" t="s">
        <v>84</v>
      </c>
      <c r="O68" s="129"/>
      <c r="P68" s="129"/>
      <c r="Q68" s="129">
        <f t="shared" si="10"/>
        <v>0</v>
      </c>
      <c r="R68" s="129" t="str">
        <f t="shared" si="3"/>
        <v>0h0</v>
      </c>
      <c r="S68" s="138">
        <f t="shared" si="6"/>
        <v>0</v>
      </c>
      <c r="T68" s="129" t="str">
        <f t="shared" si="4"/>
        <v>0h0</v>
      </c>
    </row>
    <row r="69" spans="2:20" x14ac:dyDescent="0.3">
      <c r="B69" s="128">
        <f t="shared" si="7"/>
        <v>46259</v>
      </c>
      <c r="C69" s="129" t="str">
        <f t="shared" si="0"/>
        <v>Tuesday</v>
      </c>
      <c r="D69" s="138" t="s">
        <v>84</v>
      </c>
      <c r="E69" s="129"/>
      <c r="F69" s="129"/>
      <c r="G69" s="129">
        <f t="shared" si="8"/>
        <v>0</v>
      </c>
      <c r="H69" s="129" t="str">
        <f t="shared" si="5"/>
        <v>0h0</v>
      </c>
      <c r="I69" s="138" t="s">
        <v>84</v>
      </c>
      <c r="J69" s="129"/>
      <c r="K69" s="129"/>
      <c r="L69" s="129">
        <f t="shared" si="9"/>
        <v>0</v>
      </c>
      <c r="M69" s="129" t="str">
        <f t="shared" si="2"/>
        <v>0h0</v>
      </c>
      <c r="N69" s="138" t="s">
        <v>84</v>
      </c>
      <c r="O69" s="129"/>
      <c r="P69" s="129"/>
      <c r="Q69" s="129">
        <f t="shared" si="10"/>
        <v>0</v>
      </c>
      <c r="R69" s="129" t="str">
        <f t="shared" si="3"/>
        <v>0h0</v>
      </c>
      <c r="S69" s="138">
        <f t="shared" si="6"/>
        <v>0</v>
      </c>
      <c r="T69" s="129" t="str">
        <f t="shared" si="4"/>
        <v>0h0</v>
      </c>
    </row>
    <row r="70" spans="2:20" x14ac:dyDescent="0.3">
      <c r="B70" s="128">
        <f t="shared" si="7"/>
        <v>46260</v>
      </c>
      <c r="C70" s="129" t="str">
        <f t="shared" ref="C70:C133" si="11">CHOOSE(WEEKDAY(B70,2),"Monday","Tuesday","Wednesday","Thursday","Friday","Saturday","Sunday")</f>
        <v>Wednesday</v>
      </c>
      <c r="D70" s="138" t="s">
        <v>84</v>
      </c>
      <c r="E70" s="129"/>
      <c r="F70" s="129"/>
      <c r="G70" s="129">
        <f t="shared" si="8"/>
        <v>0</v>
      </c>
      <c r="H70" s="129" t="str">
        <f t="shared" si="5"/>
        <v>0h0</v>
      </c>
      <c r="I70" s="138" t="s">
        <v>84</v>
      </c>
      <c r="J70" s="129"/>
      <c r="K70" s="129"/>
      <c r="L70" s="129">
        <f t="shared" si="9"/>
        <v>0</v>
      </c>
      <c r="M70" s="129" t="str">
        <f t="shared" ref="M70:M133" si="12">ROUNDDOWN(L70/60, 0)&amp;"h"&amp;ROUNDUP((L70/60-ROUNDDOWN(L70/60, 0))*60,0)</f>
        <v>0h0</v>
      </c>
      <c r="N70" s="138" t="s">
        <v>84</v>
      </c>
      <c r="O70" s="129"/>
      <c r="P70" s="129"/>
      <c r="Q70" s="129">
        <f t="shared" si="10"/>
        <v>0</v>
      </c>
      <c r="R70" s="129" t="str">
        <f t="shared" ref="R70:R133" si="13">ROUNDDOWN(Q70/60, 0)&amp;"h"&amp;ROUNDUP((Q70/60-ROUNDDOWN(Q70/60, 0))*60,0)</f>
        <v>0h0</v>
      </c>
      <c r="S70" s="138">
        <f t="shared" si="6"/>
        <v>0</v>
      </c>
      <c r="T70" s="129" t="str">
        <f t="shared" ref="T70:T133" si="14">ROUNDDOWN(S70/60, 0)&amp;"h"&amp;ROUNDUP((S70/60-ROUNDDOWN(S70/60, 0))*60,0)</f>
        <v>0h0</v>
      </c>
    </row>
    <row r="71" spans="2:20" x14ac:dyDescent="0.3">
      <c r="B71" s="128">
        <f t="shared" si="7"/>
        <v>46261</v>
      </c>
      <c r="C71" s="129" t="str">
        <f t="shared" si="11"/>
        <v>Thursday</v>
      </c>
      <c r="D71" s="138" t="s">
        <v>222</v>
      </c>
      <c r="E71" s="129">
        <v>0</v>
      </c>
      <c r="F71" s="129">
        <v>20</v>
      </c>
      <c r="G71" s="129">
        <f t="shared" si="8"/>
        <v>20</v>
      </c>
      <c r="H71" s="129" t="str">
        <f t="shared" ref="H71:H134" si="15">ROUNDDOWN(G71/60, 0)&amp;"h"&amp;ROUNDUP((G71/60-ROUNDDOWN(G71/60, 0))*60,0)</f>
        <v>0h20</v>
      </c>
      <c r="I71" s="138" t="s">
        <v>84</v>
      </c>
      <c r="J71" s="129"/>
      <c r="K71" s="129"/>
      <c r="L71" s="129">
        <f t="shared" si="9"/>
        <v>0</v>
      </c>
      <c r="M71" s="129" t="str">
        <f t="shared" si="12"/>
        <v>0h0</v>
      </c>
      <c r="N71" s="138" t="s">
        <v>84</v>
      </c>
      <c r="O71" s="129"/>
      <c r="P71" s="129"/>
      <c r="Q71" s="129">
        <f t="shared" si="10"/>
        <v>0</v>
      </c>
      <c r="R71" s="129" t="str">
        <f t="shared" si="13"/>
        <v>0h0</v>
      </c>
      <c r="S71" s="138">
        <f t="shared" ref="S71:S134" si="16">G71+L71+Q71</f>
        <v>20</v>
      </c>
      <c r="T71" s="129" t="str">
        <f t="shared" si="14"/>
        <v>0h20</v>
      </c>
    </row>
    <row r="72" spans="2:20" x14ac:dyDescent="0.3">
      <c r="B72" s="128">
        <f t="shared" ref="B72:B135" si="17">B71+1</f>
        <v>46262</v>
      </c>
      <c r="C72" s="129" t="str">
        <f t="shared" si="11"/>
        <v>Friday</v>
      </c>
      <c r="D72" s="138" t="s">
        <v>84</v>
      </c>
      <c r="E72" s="129"/>
      <c r="F72" s="129"/>
      <c r="G72" s="129">
        <f t="shared" ref="G72:G135" si="18">E72*25+F72</f>
        <v>0</v>
      </c>
      <c r="H72" s="129" t="str">
        <f t="shared" si="15"/>
        <v>0h0</v>
      </c>
      <c r="I72" s="138" t="s">
        <v>84</v>
      </c>
      <c r="J72" s="129"/>
      <c r="K72" s="129"/>
      <c r="L72" s="129">
        <f t="shared" ref="L72:L135" si="19">J72*25+K72</f>
        <v>0</v>
      </c>
      <c r="M72" s="129" t="str">
        <f t="shared" si="12"/>
        <v>0h0</v>
      </c>
      <c r="N72" s="138" t="s">
        <v>84</v>
      </c>
      <c r="O72" s="129"/>
      <c r="P72" s="129"/>
      <c r="Q72" s="129">
        <f t="shared" ref="Q72:Q135" si="20">O72*25+P72</f>
        <v>0</v>
      </c>
      <c r="R72" s="129" t="str">
        <f t="shared" si="13"/>
        <v>0h0</v>
      </c>
      <c r="S72" s="138">
        <f t="shared" si="16"/>
        <v>0</v>
      </c>
      <c r="T72" s="129" t="str">
        <f t="shared" si="14"/>
        <v>0h0</v>
      </c>
    </row>
    <row r="73" spans="2:20" x14ac:dyDescent="0.3">
      <c r="B73" s="128">
        <f t="shared" si="17"/>
        <v>46263</v>
      </c>
      <c r="C73" s="129" t="str">
        <f t="shared" si="11"/>
        <v>Saturday</v>
      </c>
      <c r="D73" s="138" t="s">
        <v>84</v>
      </c>
      <c r="E73" s="129"/>
      <c r="F73" s="129"/>
      <c r="G73" s="129">
        <f t="shared" si="18"/>
        <v>0</v>
      </c>
      <c r="H73" s="129" t="str">
        <f t="shared" si="15"/>
        <v>0h0</v>
      </c>
      <c r="I73" s="138" t="s">
        <v>84</v>
      </c>
      <c r="J73" s="129"/>
      <c r="K73" s="129"/>
      <c r="L73" s="129">
        <f t="shared" si="19"/>
        <v>0</v>
      </c>
      <c r="M73" s="129" t="str">
        <f t="shared" si="12"/>
        <v>0h0</v>
      </c>
      <c r="N73" s="138" t="s">
        <v>84</v>
      </c>
      <c r="O73" s="129"/>
      <c r="P73" s="129"/>
      <c r="Q73" s="129">
        <f t="shared" si="20"/>
        <v>0</v>
      </c>
      <c r="R73" s="129" t="str">
        <f t="shared" si="13"/>
        <v>0h0</v>
      </c>
      <c r="S73" s="138">
        <f t="shared" si="16"/>
        <v>0</v>
      </c>
      <c r="T73" s="129" t="str">
        <f t="shared" si="14"/>
        <v>0h0</v>
      </c>
    </row>
    <row r="74" spans="2:20" x14ac:dyDescent="0.3">
      <c r="B74" s="128">
        <f t="shared" si="17"/>
        <v>46264</v>
      </c>
      <c r="C74" s="129" t="str">
        <f t="shared" si="11"/>
        <v>Sunday</v>
      </c>
      <c r="D74" s="138" t="s">
        <v>84</v>
      </c>
      <c r="E74" s="129"/>
      <c r="F74" s="129"/>
      <c r="G74" s="129">
        <f t="shared" si="18"/>
        <v>0</v>
      </c>
      <c r="H74" s="129" t="str">
        <f t="shared" si="15"/>
        <v>0h0</v>
      </c>
      <c r="I74" s="138" t="s">
        <v>84</v>
      </c>
      <c r="J74" s="129"/>
      <c r="K74" s="129"/>
      <c r="L74" s="129">
        <f t="shared" si="19"/>
        <v>0</v>
      </c>
      <c r="M74" s="129" t="str">
        <f t="shared" si="12"/>
        <v>0h0</v>
      </c>
      <c r="N74" s="138" t="s">
        <v>84</v>
      </c>
      <c r="O74" s="129"/>
      <c r="P74" s="129"/>
      <c r="Q74" s="129">
        <f t="shared" si="20"/>
        <v>0</v>
      </c>
      <c r="R74" s="129" t="str">
        <f t="shared" si="13"/>
        <v>0h0</v>
      </c>
      <c r="S74" s="138">
        <f t="shared" si="16"/>
        <v>0</v>
      </c>
      <c r="T74" s="129" t="str">
        <f t="shared" si="14"/>
        <v>0h0</v>
      </c>
    </row>
    <row r="75" spans="2:20" x14ac:dyDescent="0.3">
      <c r="B75" s="128">
        <f t="shared" si="17"/>
        <v>46265</v>
      </c>
      <c r="C75" s="129" t="str">
        <f t="shared" si="11"/>
        <v>Monday</v>
      </c>
      <c r="D75" s="138" t="s">
        <v>84</v>
      </c>
      <c r="E75" s="129"/>
      <c r="F75" s="129"/>
      <c r="G75" s="129">
        <f t="shared" si="18"/>
        <v>0</v>
      </c>
      <c r="H75" s="129" t="str">
        <f t="shared" si="15"/>
        <v>0h0</v>
      </c>
      <c r="I75" s="138" t="s">
        <v>84</v>
      </c>
      <c r="J75" s="129"/>
      <c r="K75" s="129"/>
      <c r="L75" s="129">
        <f t="shared" si="19"/>
        <v>0</v>
      </c>
      <c r="M75" s="129" t="str">
        <f t="shared" si="12"/>
        <v>0h0</v>
      </c>
      <c r="N75" s="138" t="s">
        <v>84</v>
      </c>
      <c r="O75" s="129"/>
      <c r="P75" s="129"/>
      <c r="Q75" s="129">
        <f t="shared" si="20"/>
        <v>0</v>
      </c>
      <c r="R75" s="129" t="str">
        <f t="shared" si="13"/>
        <v>0h0</v>
      </c>
      <c r="S75" s="138">
        <f t="shared" si="16"/>
        <v>0</v>
      </c>
      <c r="T75" s="129" t="str">
        <f t="shared" si="14"/>
        <v>0h0</v>
      </c>
    </row>
    <row r="76" spans="2:20" x14ac:dyDescent="0.3">
      <c r="B76" s="128">
        <f t="shared" si="17"/>
        <v>46266</v>
      </c>
      <c r="C76" s="129" t="str">
        <f t="shared" si="11"/>
        <v>Tuesday</v>
      </c>
      <c r="D76" s="138" t="s">
        <v>222</v>
      </c>
      <c r="E76" s="129">
        <v>0</v>
      </c>
      <c r="F76" s="129">
        <v>20</v>
      </c>
      <c r="G76" s="129">
        <f t="shared" si="18"/>
        <v>20</v>
      </c>
      <c r="H76" s="129" t="str">
        <f t="shared" si="15"/>
        <v>0h20</v>
      </c>
      <c r="I76" s="138" t="s">
        <v>84</v>
      </c>
      <c r="J76" s="129"/>
      <c r="K76" s="129"/>
      <c r="L76" s="129">
        <f t="shared" si="19"/>
        <v>0</v>
      </c>
      <c r="M76" s="129" t="str">
        <f t="shared" si="12"/>
        <v>0h0</v>
      </c>
      <c r="N76" s="138" t="s">
        <v>84</v>
      </c>
      <c r="O76" s="129"/>
      <c r="P76" s="129"/>
      <c r="Q76" s="129">
        <f t="shared" si="20"/>
        <v>0</v>
      </c>
      <c r="R76" s="129" t="str">
        <f t="shared" si="13"/>
        <v>0h0</v>
      </c>
      <c r="S76" s="138">
        <f t="shared" si="16"/>
        <v>20</v>
      </c>
      <c r="T76" s="129" t="str">
        <f t="shared" si="14"/>
        <v>0h20</v>
      </c>
    </row>
    <row r="77" spans="2:20" x14ac:dyDescent="0.3">
      <c r="B77" s="128">
        <f t="shared" si="17"/>
        <v>46267</v>
      </c>
      <c r="C77" s="129" t="str">
        <f t="shared" si="11"/>
        <v>Wednesday</v>
      </c>
      <c r="D77" s="138" t="s">
        <v>222</v>
      </c>
      <c r="E77" s="129">
        <v>0</v>
      </c>
      <c r="F77" s="129">
        <v>20</v>
      </c>
      <c r="G77" s="129">
        <f t="shared" si="18"/>
        <v>20</v>
      </c>
      <c r="H77" s="129" t="str">
        <f t="shared" si="15"/>
        <v>0h20</v>
      </c>
      <c r="I77" s="138" t="s">
        <v>84</v>
      </c>
      <c r="J77" s="129"/>
      <c r="K77" s="129"/>
      <c r="L77" s="129">
        <f t="shared" si="19"/>
        <v>0</v>
      </c>
      <c r="M77" s="129" t="str">
        <f t="shared" si="12"/>
        <v>0h0</v>
      </c>
      <c r="N77" s="138" t="s">
        <v>84</v>
      </c>
      <c r="O77" s="129"/>
      <c r="P77" s="129"/>
      <c r="Q77" s="129">
        <f t="shared" si="20"/>
        <v>0</v>
      </c>
      <c r="R77" s="129" t="str">
        <f t="shared" si="13"/>
        <v>0h0</v>
      </c>
      <c r="S77" s="138">
        <f t="shared" si="16"/>
        <v>20</v>
      </c>
      <c r="T77" s="129" t="str">
        <f t="shared" si="14"/>
        <v>0h20</v>
      </c>
    </row>
    <row r="78" spans="2:20" x14ac:dyDescent="0.3">
      <c r="B78" s="128">
        <f t="shared" si="17"/>
        <v>46268</v>
      </c>
      <c r="C78" s="129" t="str">
        <f t="shared" si="11"/>
        <v>Thursday</v>
      </c>
      <c r="D78" s="138" t="s">
        <v>84</v>
      </c>
      <c r="E78" s="129"/>
      <c r="F78" s="129"/>
      <c r="G78" s="129">
        <f t="shared" si="18"/>
        <v>0</v>
      </c>
      <c r="H78" s="129" t="str">
        <f t="shared" si="15"/>
        <v>0h0</v>
      </c>
      <c r="I78" s="138" t="s">
        <v>84</v>
      </c>
      <c r="J78" s="129"/>
      <c r="K78" s="129"/>
      <c r="L78" s="129">
        <f t="shared" si="19"/>
        <v>0</v>
      </c>
      <c r="M78" s="129" t="str">
        <f t="shared" si="12"/>
        <v>0h0</v>
      </c>
      <c r="N78" s="138" t="s">
        <v>84</v>
      </c>
      <c r="O78" s="129"/>
      <c r="P78" s="129"/>
      <c r="Q78" s="129">
        <f t="shared" si="20"/>
        <v>0</v>
      </c>
      <c r="R78" s="129" t="str">
        <f t="shared" si="13"/>
        <v>0h0</v>
      </c>
      <c r="S78" s="138">
        <f t="shared" si="16"/>
        <v>0</v>
      </c>
      <c r="T78" s="129" t="str">
        <f t="shared" si="14"/>
        <v>0h0</v>
      </c>
    </row>
    <row r="79" spans="2:20" x14ac:dyDescent="0.3">
      <c r="B79" s="128">
        <f t="shared" si="17"/>
        <v>46269</v>
      </c>
      <c r="C79" s="129" t="str">
        <f t="shared" si="11"/>
        <v>Friday</v>
      </c>
      <c r="D79" s="138" t="s">
        <v>84</v>
      </c>
      <c r="E79" s="129"/>
      <c r="F79" s="129"/>
      <c r="G79" s="129">
        <f t="shared" si="18"/>
        <v>0</v>
      </c>
      <c r="H79" s="129" t="str">
        <f t="shared" si="15"/>
        <v>0h0</v>
      </c>
      <c r="I79" s="138" t="s">
        <v>84</v>
      </c>
      <c r="J79" s="129"/>
      <c r="K79" s="129"/>
      <c r="L79" s="129">
        <f t="shared" si="19"/>
        <v>0</v>
      </c>
      <c r="M79" s="129" t="str">
        <f t="shared" si="12"/>
        <v>0h0</v>
      </c>
      <c r="N79" s="138" t="s">
        <v>84</v>
      </c>
      <c r="O79" s="129"/>
      <c r="P79" s="129"/>
      <c r="Q79" s="129">
        <f t="shared" si="20"/>
        <v>0</v>
      </c>
      <c r="R79" s="129" t="str">
        <f t="shared" si="13"/>
        <v>0h0</v>
      </c>
      <c r="S79" s="138">
        <f t="shared" si="16"/>
        <v>0</v>
      </c>
      <c r="T79" s="129" t="str">
        <f t="shared" si="14"/>
        <v>0h0</v>
      </c>
    </row>
    <row r="80" spans="2:20" x14ac:dyDescent="0.3">
      <c r="B80" s="128">
        <f t="shared" si="17"/>
        <v>46270</v>
      </c>
      <c r="C80" s="129" t="str">
        <f t="shared" si="11"/>
        <v>Saturday</v>
      </c>
      <c r="D80" s="138" t="s">
        <v>84</v>
      </c>
      <c r="E80" s="129"/>
      <c r="F80" s="129"/>
      <c r="G80" s="129">
        <f t="shared" si="18"/>
        <v>0</v>
      </c>
      <c r="H80" s="129" t="str">
        <f t="shared" si="15"/>
        <v>0h0</v>
      </c>
      <c r="I80" s="138" t="s">
        <v>84</v>
      </c>
      <c r="J80" s="129"/>
      <c r="K80" s="129"/>
      <c r="L80" s="129">
        <f t="shared" si="19"/>
        <v>0</v>
      </c>
      <c r="M80" s="129" t="str">
        <f t="shared" si="12"/>
        <v>0h0</v>
      </c>
      <c r="N80" s="138" t="s">
        <v>84</v>
      </c>
      <c r="O80" s="129"/>
      <c r="P80" s="129"/>
      <c r="Q80" s="129">
        <f t="shared" si="20"/>
        <v>0</v>
      </c>
      <c r="R80" s="129" t="str">
        <f t="shared" si="13"/>
        <v>0h0</v>
      </c>
      <c r="S80" s="138">
        <f t="shared" si="16"/>
        <v>0</v>
      </c>
      <c r="T80" s="129" t="str">
        <f t="shared" si="14"/>
        <v>0h0</v>
      </c>
    </row>
    <row r="81" spans="2:20" x14ac:dyDescent="0.3">
      <c r="B81" s="128">
        <f t="shared" si="17"/>
        <v>46271</v>
      </c>
      <c r="C81" s="129" t="str">
        <f t="shared" si="11"/>
        <v>Sunday</v>
      </c>
      <c r="D81" s="138" t="s">
        <v>84</v>
      </c>
      <c r="E81" s="129"/>
      <c r="F81" s="129"/>
      <c r="G81" s="129">
        <f t="shared" si="18"/>
        <v>0</v>
      </c>
      <c r="H81" s="129" t="str">
        <f t="shared" si="15"/>
        <v>0h0</v>
      </c>
      <c r="I81" s="138" t="s">
        <v>84</v>
      </c>
      <c r="J81" s="129"/>
      <c r="K81" s="129"/>
      <c r="L81" s="129">
        <f t="shared" si="19"/>
        <v>0</v>
      </c>
      <c r="M81" s="129" t="str">
        <f t="shared" si="12"/>
        <v>0h0</v>
      </c>
      <c r="N81" s="138" t="s">
        <v>84</v>
      </c>
      <c r="O81" s="129"/>
      <c r="P81" s="129"/>
      <c r="Q81" s="129">
        <f t="shared" si="20"/>
        <v>0</v>
      </c>
      <c r="R81" s="129" t="str">
        <f t="shared" si="13"/>
        <v>0h0</v>
      </c>
      <c r="S81" s="138">
        <f t="shared" si="16"/>
        <v>0</v>
      </c>
      <c r="T81" s="129" t="str">
        <f t="shared" si="14"/>
        <v>0h0</v>
      </c>
    </row>
    <row r="82" spans="2:20" x14ac:dyDescent="0.3">
      <c r="B82" s="128">
        <f t="shared" si="17"/>
        <v>46272</v>
      </c>
      <c r="C82" s="129" t="str">
        <f t="shared" si="11"/>
        <v>Monday</v>
      </c>
      <c r="D82" s="138" t="s">
        <v>84</v>
      </c>
      <c r="E82" s="129"/>
      <c r="F82" s="129"/>
      <c r="G82" s="129">
        <f t="shared" si="18"/>
        <v>0</v>
      </c>
      <c r="H82" s="129" t="str">
        <f t="shared" si="15"/>
        <v>0h0</v>
      </c>
      <c r="I82" s="138" t="s">
        <v>84</v>
      </c>
      <c r="J82" s="129"/>
      <c r="K82" s="129"/>
      <c r="L82" s="129">
        <f t="shared" si="19"/>
        <v>0</v>
      </c>
      <c r="M82" s="129" t="str">
        <f t="shared" si="12"/>
        <v>0h0</v>
      </c>
      <c r="N82" s="138" t="s">
        <v>84</v>
      </c>
      <c r="O82" s="129"/>
      <c r="P82" s="129"/>
      <c r="Q82" s="129">
        <f t="shared" si="20"/>
        <v>0</v>
      </c>
      <c r="R82" s="129" t="str">
        <f t="shared" si="13"/>
        <v>0h0</v>
      </c>
      <c r="S82" s="138">
        <f t="shared" si="16"/>
        <v>0</v>
      </c>
      <c r="T82" s="129" t="str">
        <f t="shared" si="14"/>
        <v>0h0</v>
      </c>
    </row>
    <row r="83" spans="2:20" x14ac:dyDescent="0.3">
      <c r="B83" s="128">
        <f t="shared" si="17"/>
        <v>46273</v>
      </c>
      <c r="C83" s="129" t="str">
        <f t="shared" si="11"/>
        <v>Tuesday</v>
      </c>
      <c r="D83" s="138" t="s">
        <v>84</v>
      </c>
      <c r="E83" s="129"/>
      <c r="F83" s="129"/>
      <c r="G83" s="129">
        <f t="shared" si="18"/>
        <v>0</v>
      </c>
      <c r="H83" s="129" t="str">
        <f t="shared" si="15"/>
        <v>0h0</v>
      </c>
      <c r="I83" s="138" t="s">
        <v>84</v>
      </c>
      <c r="J83" s="129"/>
      <c r="K83" s="129"/>
      <c r="L83" s="129">
        <f t="shared" si="19"/>
        <v>0</v>
      </c>
      <c r="M83" s="129" t="str">
        <f t="shared" si="12"/>
        <v>0h0</v>
      </c>
      <c r="N83" s="138" t="s">
        <v>84</v>
      </c>
      <c r="O83" s="129"/>
      <c r="P83" s="129"/>
      <c r="Q83" s="129">
        <f t="shared" si="20"/>
        <v>0</v>
      </c>
      <c r="R83" s="129" t="str">
        <f t="shared" si="13"/>
        <v>0h0</v>
      </c>
      <c r="S83" s="138">
        <f t="shared" si="16"/>
        <v>0</v>
      </c>
      <c r="T83" s="129" t="str">
        <f t="shared" si="14"/>
        <v>0h0</v>
      </c>
    </row>
    <row r="84" spans="2:20" x14ac:dyDescent="0.3">
      <c r="B84" s="128">
        <f t="shared" si="17"/>
        <v>46274</v>
      </c>
      <c r="C84" s="129" t="str">
        <f t="shared" si="11"/>
        <v>Wednesday</v>
      </c>
      <c r="D84" s="138" t="s">
        <v>84</v>
      </c>
      <c r="E84" s="129"/>
      <c r="F84" s="129"/>
      <c r="G84" s="129">
        <f t="shared" si="18"/>
        <v>0</v>
      </c>
      <c r="H84" s="129" t="str">
        <f t="shared" si="15"/>
        <v>0h0</v>
      </c>
      <c r="I84" s="138" t="s">
        <v>84</v>
      </c>
      <c r="J84" s="129"/>
      <c r="K84" s="129"/>
      <c r="L84" s="129">
        <f t="shared" si="19"/>
        <v>0</v>
      </c>
      <c r="M84" s="129" t="str">
        <f t="shared" si="12"/>
        <v>0h0</v>
      </c>
      <c r="N84" s="138" t="s">
        <v>84</v>
      </c>
      <c r="O84" s="129"/>
      <c r="P84" s="129"/>
      <c r="Q84" s="129">
        <f t="shared" si="20"/>
        <v>0</v>
      </c>
      <c r="R84" s="129" t="str">
        <f t="shared" si="13"/>
        <v>0h0</v>
      </c>
      <c r="S84" s="138">
        <f t="shared" si="16"/>
        <v>0</v>
      </c>
      <c r="T84" s="129" t="str">
        <f t="shared" si="14"/>
        <v>0h0</v>
      </c>
    </row>
    <row r="85" spans="2:20" x14ac:dyDescent="0.3">
      <c r="B85" s="128">
        <f t="shared" si="17"/>
        <v>46275</v>
      </c>
      <c r="C85" s="129" t="str">
        <f t="shared" si="11"/>
        <v>Thursday</v>
      </c>
      <c r="D85" s="138" t="s">
        <v>84</v>
      </c>
      <c r="E85" s="129"/>
      <c r="F85" s="129"/>
      <c r="G85" s="129">
        <f t="shared" si="18"/>
        <v>0</v>
      </c>
      <c r="H85" s="129" t="str">
        <f t="shared" si="15"/>
        <v>0h0</v>
      </c>
      <c r="I85" s="138" t="s">
        <v>84</v>
      </c>
      <c r="J85" s="129"/>
      <c r="K85" s="129"/>
      <c r="L85" s="129">
        <f t="shared" si="19"/>
        <v>0</v>
      </c>
      <c r="M85" s="129" t="str">
        <f t="shared" si="12"/>
        <v>0h0</v>
      </c>
      <c r="N85" s="138" t="s">
        <v>84</v>
      </c>
      <c r="O85" s="129"/>
      <c r="P85" s="129"/>
      <c r="Q85" s="129">
        <f t="shared" si="20"/>
        <v>0</v>
      </c>
      <c r="R85" s="129" t="str">
        <f t="shared" si="13"/>
        <v>0h0</v>
      </c>
      <c r="S85" s="138">
        <f t="shared" si="16"/>
        <v>0</v>
      </c>
      <c r="T85" s="129" t="str">
        <f t="shared" si="14"/>
        <v>0h0</v>
      </c>
    </row>
    <row r="86" spans="2:20" x14ac:dyDescent="0.3">
      <c r="B86" s="128">
        <f t="shared" si="17"/>
        <v>46276</v>
      </c>
      <c r="C86" s="129" t="str">
        <f t="shared" si="11"/>
        <v>Friday</v>
      </c>
      <c r="D86" s="138" t="s">
        <v>84</v>
      </c>
      <c r="E86" s="129"/>
      <c r="F86" s="129"/>
      <c r="G86" s="129">
        <f t="shared" si="18"/>
        <v>0</v>
      </c>
      <c r="H86" s="129" t="str">
        <f t="shared" si="15"/>
        <v>0h0</v>
      </c>
      <c r="I86" s="138" t="s">
        <v>84</v>
      </c>
      <c r="J86" s="129"/>
      <c r="K86" s="129"/>
      <c r="L86" s="129">
        <f t="shared" si="19"/>
        <v>0</v>
      </c>
      <c r="M86" s="129" t="str">
        <f t="shared" si="12"/>
        <v>0h0</v>
      </c>
      <c r="N86" s="138" t="s">
        <v>84</v>
      </c>
      <c r="O86" s="129"/>
      <c r="P86" s="129"/>
      <c r="Q86" s="129">
        <f t="shared" si="20"/>
        <v>0</v>
      </c>
      <c r="R86" s="129" t="str">
        <f t="shared" si="13"/>
        <v>0h0</v>
      </c>
      <c r="S86" s="138">
        <f t="shared" si="16"/>
        <v>0</v>
      </c>
      <c r="T86" s="129" t="str">
        <f t="shared" si="14"/>
        <v>0h0</v>
      </c>
    </row>
    <row r="87" spans="2:20" x14ac:dyDescent="0.3">
      <c r="B87" s="128">
        <f t="shared" si="17"/>
        <v>46277</v>
      </c>
      <c r="C87" s="129" t="str">
        <f t="shared" si="11"/>
        <v>Saturday</v>
      </c>
      <c r="D87" s="138" t="s">
        <v>84</v>
      </c>
      <c r="E87" s="129"/>
      <c r="F87" s="129"/>
      <c r="G87" s="129">
        <f t="shared" si="18"/>
        <v>0</v>
      </c>
      <c r="H87" s="129" t="str">
        <f t="shared" si="15"/>
        <v>0h0</v>
      </c>
      <c r="I87" s="138" t="s">
        <v>84</v>
      </c>
      <c r="J87" s="129"/>
      <c r="K87" s="129"/>
      <c r="L87" s="129">
        <f t="shared" si="19"/>
        <v>0</v>
      </c>
      <c r="M87" s="129" t="str">
        <f t="shared" si="12"/>
        <v>0h0</v>
      </c>
      <c r="N87" s="138" t="s">
        <v>84</v>
      </c>
      <c r="O87" s="129"/>
      <c r="P87" s="129"/>
      <c r="Q87" s="129">
        <f t="shared" si="20"/>
        <v>0</v>
      </c>
      <c r="R87" s="129" t="str">
        <f t="shared" si="13"/>
        <v>0h0</v>
      </c>
      <c r="S87" s="138">
        <f t="shared" si="16"/>
        <v>0</v>
      </c>
      <c r="T87" s="129" t="str">
        <f t="shared" si="14"/>
        <v>0h0</v>
      </c>
    </row>
    <row r="88" spans="2:20" x14ac:dyDescent="0.3">
      <c r="B88" s="128">
        <f t="shared" si="17"/>
        <v>46278</v>
      </c>
      <c r="C88" s="129" t="str">
        <f t="shared" si="11"/>
        <v>Sunday</v>
      </c>
      <c r="D88" s="138" t="s">
        <v>84</v>
      </c>
      <c r="E88" s="129"/>
      <c r="F88" s="129"/>
      <c r="G88" s="129">
        <f t="shared" si="18"/>
        <v>0</v>
      </c>
      <c r="H88" s="129" t="str">
        <f t="shared" si="15"/>
        <v>0h0</v>
      </c>
      <c r="I88" s="138" t="s">
        <v>84</v>
      </c>
      <c r="J88" s="129"/>
      <c r="K88" s="129"/>
      <c r="L88" s="129">
        <f t="shared" si="19"/>
        <v>0</v>
      </c>
      <c r="M88" s="129" t="str">
        <f t="shared" si="12"/>
        <v>0h0</v>
      </c>
      <c r="N88" s="138" t="s">
        <v>84</v>
      </c>
      <c r="O88" s="129"/>
      <c r="P88" s="129"/>
      <c r="Q88" s="129">
        <f t="shared" si="20"/>
        <v>0</v>
      </c>
      <c r="R88" s="129" t="str">
        <f t="shared" si="13"/>
        <v>0h0</v>
      </c>
      <c r="S88" s="138">
        <f t="shared" si="16"/>
        <v>0</v>
      </c>
      <c r="T88" s="129" t="str">
        <f t="shared" si="14"/>
        <v>0h0</v>
      </c>
    </row>
    <row r="89" spans="2:20" x14ac:dyDescent="0.3">
      <c r="B89" s="128">
        <f t="shared" si="17"/>
        <v>46279</v>
      </c>
      <c r="C89" s="129" t="str">
        <f t="shared" si="11"/>
        <v>Monday</v>
      </c>
      <c r="D89" s="138" t="s">
        <v>84</v>
      </c>
      <c r="E89" s="129"/>
      <c r="F89" s="129"/>
      <c r="G89" s="129">
        <f t="shared" si="18"/>
        <v>0</v>
      </c>
      <c r="H89" s="129" t="str">
        <f t="shared" si="15"/>
        <v>0h0</v>
      </c>
      <c r="I89" s="138" t="s">
        <v>84</v>
      </c>
      <c r="J89" s="129"/>
      <c r="K89" s="129"/>
      <c r="L89" s="129">
        <f t="shared" si="19"/>
        <v>0</v>
      </c>
      <c r="M89" s="129" t="str">
        <f t="shared" si="12"/>
        <v>0h0</v>
      </c>
      <c r="N89" s="138" t="s">
        <v>84</v>
      </c>
      <c r="O89" s="129"/>
      <c r="P89" s="129"/>
      <c r="Q89" s="129">
        <f t="shared" si="20"/>
        <v>0</v>
      </c>
      <c r="R89" s="129" t="str">
        <f t="shared" si="13"/>
        <v>0h0</v>
      </c>
      <c r="S89" s="138">
        <f t="shared" si="16"/>
        <v>0</v>
      </c>
      <c r="T89" s="129" t="str">
        <f t="shared" si="14"/>
        <v>0h0</v>
      </c>
    </row>
    <row r="90" spans="2:20" x14ac:dyDescent="0.3">
      <c r="B90" s="128">
        <f t="shared" si="17"/>
        <v>46280</v>
      </c>
      <c r="C90" s="129" t="str">
        <f t="shared" si="11"/>
        <v>Tuesday</v>
      </c>
      <c r="D90" s="138" t="s">
        <v>84</v>
      </c>
      <c r="E90" s="129"/>
      <c r="F90" s="129"/>
      <c r="G90" s="129">
        <f t="shared" si="18"/>
        <v>0</v>
      </c>
      <c r="H90" s="129" t="str">
        <f t="shared" si="15"/>
        <v>0h0</v>
      </c>
      <c r="I90" s="138" t="s">
        <v>84</v>
      </c>
      <c r="J90" s="129"/>
      <c r="K90" s="129"/>
      <c r="L90" s="129">
        <f t="shared" si="19"/>
        <v>0</v>
      </c>
      <c r="M90" s="129" t="str">
        <f t="shared" si="12"/>
        <v>0h0</v>
      </c>
      <c r="N90" s="138" t="s">
        <v>84</v>
      </c>
      <c r="O90" s="129"/>
      <c r="P90" s="129"/>
      <c r="Q90" s="129">
        <f t="shared" si="20"/>
        <v>0</v>
      </c>
      <c r="R90" s="129" t="str">
        <f t="shared" si="13"/>
        <v>0h0</v>
      </c>
      <c r="S90" s="138">
        <f t="shared" si="16"/>
        <v>0</v>
      </c>
      <c r="T90" s="129" t="str">
        <f t="shared" si="14"/>
        <v>0h0</v>
      </c>
    </row>
    <row r="91" spans="2:20" x14ac:dyDescent="0.3">
      <c r="B91" s="128">
        <f t="shared" si="17"/>
        <v>46281</v>
      </c>
      <c r="C91" s="129" t="str">
        <f t="shared" si="11"/>
        <v>Wednesday</v>
      </c>
      <c r="D91" s="138" t="s">
        <v>84</v>
      </c>
      <c r="E91" s="129"/>
      <c r="F91" s="129"/>
      <c r="G91" s="129">
        <f t="shared" si="18"/>
        <v>0</v>
      </c>
      <c r="H91" s="129" t="str">
        <f t="shared" si="15"/>
        <v>0h0</v>
      </c>
      <c r="I91" s="138" t="s">
        <v>84</v>
      </c>
      <c r="J91" s="129"/>
      <c r="K91" s="129"/>
      <c r="L91" s="129">
        <f t="shared" si="19"/>
        <v>0</v>
      </c>
      <c r="M91" s="129" t="str">
        <f t="shared" si="12"/>
        <v>0h0</v>
      </c>
      <c r="N91" s="138" t="s">
        <v>84</v>
      </c>
      <c r="O91" s="129"/>
      <c r="P91" s="129"/>
      <c r="Q91" s="129">
        <f t="shared" si="20"/>
        <v>0</v>
      </c>
      <c r="R91" s="129" t="str">
        <f t="shared" si="13"/>
        <v>0h0</v>
      </c>
      <c r="S91" s="138">
        <f t="shared" si="16"/>
        <v>0</v>
      </c>
      <c r="T91" s="129" t="str">
        <f t="shared" si="14"/>
        <v>0h0</v>
      </c>
    </row>
    <row r="92" spans="2:20" x14ac:dyDescent="0.3">
      <c r="B92" s="128">
        <f t="shared" si="17"/>
        <v>46282</v>
      </c>
      <c r="C92" s="129" t="str">
        <f t="shared" si="11"/>
        <v>Thursday</v>
      </c>
      <c r="D92" s="138" t="s">
        <v>84</v>
      </c>
      <c r="E92" s="129"/>
      <c r="F92" s="129"/>
      <c r="G92" s="129">
        <f t="shared" si="18"/>
        <v>0</v>
      </c>
      <c r="H92" s="129" t="str">
        <f t="shared" si="15"/>
        <v>0h0</v>
      </c>
      <c r="I92" s="138" t="s">
        <v>84</v>
      </c>
      <c r="J92" s="129"/>
      <c r="K92" s="129"/>
      <c r="L92" s="129">
        <f t="shared" si="19"/>
        <v>0</v>
      </c>
      <c r="M92" s="129" t="str">
        <f t="shared" si="12"/>
        <v>0h0</v>
      </c>
      <c r="N92" s="138" t="s">
        <v>84</v>
      </c>
      <c r="O92" s="129"/>
      <c r="P92" s="129"/>
      <c r="Q92" s="129">
        <f t="shared" si="20"/>
        <v>0</v>
      </c>
      <c r="R92" s="129" t="str">
        <f t="shared" si="13"/>
        <v>0h0</v>
      </c>
      <c r="S92" s="138">
        <f t="shared" si="16"/>
        <v>0</v>
      </c>
      <c r="T92" s="129" t="str">
        <f t="shared" si="14"/>
        <v>0h0</v>
      </c>
    </row>
    <row r="93" spans="2:20" x14ac:dyDescent="0.3">
      <c r="B93" s="128">
        <f t="shared" si="17"/>
        <v>46283</v>
      </c>
      <c r="C93" s="129" t="str">
        <f t="shared" si="11"/>
        <v>Friday</v>
      </c>
      <c r="D93" s="138" t="s">
        <v>84</v>
      </c>
      <c r="E93" s="129"/>
      <c r="F93" s="129"/>
      <c r="G93" s="129">
        <f t="shared" si="18"/>
        <v>0</v>
      </c>
      <c r="H93" s="129" t="str">
        <f t="shared" si="15"/>
        <v>0h0</v>
      </c>
      <c r="I93" s="138" t="s">
        <v>84</v>
      </c>
      <c r="J93" s="129"/>
      <c r="K93" s="129"/>
      <c r="L93" s="129">
        <f t="shared" si="19"/>
        <v>0</v>
      </c>
      <c r="M93" s="129" t="str">
        <f t="shared" si="12"/>
        <v>0h0</v>
      </c>
      <c r="N93" s="138" t="s">
        <v>84</v>
      </c>
      <c r="O93" s="129"/>
      <c r="P93" s="129"/>
      <c r="Q93" s="129">
        <f t="shared" si="20"/>
        <v>0</v>
      </c>
      <c r="R93" s="129" t="str">
        <f t="shared" si="13"/>
        <v>0h0</v>
      </c>
      <c r="S93" s="138">
        <f t="shared" si="16"/>
        <v>0</v>
      </c>
      <c r="T93" s="129" t="str">
        <f t="shared" si="14"/>
        <v>0h0</v>
      </c>
    </row>
    <row r="94" spans="2:20" x14ac:dyDescent="0.3">
      <c r="B94" s="128">
        <f t="shared" si="17"/>
        <v>46284</v>
      </c>
      <c r="C94" s="129" t="str">
        <f t="shared" si="11"/>
        <v>Saturday</v>
      </c>
      <c r="D94" s="138" t="s">
        <v>84</v>
      </c>
      <c r="E94" s="129"/>
      <c r="F94" s="129"/>
      <c r="G94" s="129">
        <f t="shared" si="18"/>
        <v>0</v>
      </c>
      <c r="H94" s="129" t="str">
        <f t="shared" si="15"/>
        <v>0h0</v>
      </c>
      <c r="I94" s="138" t="s">
        <v>84</v>
      </c>
      <c r="J94" s="129"/>
      <c r="K94" s="129"/>
      <c r="L94" s="129">
        <f t="shared" si="19"/>
        <v>0</v>
      </c>
      <c r="M94" s="129" t="str">
        <f t="shared" si="12"/>
        <v>0h0</v>
      </c>
      <c r="N94" s="138" t="s">
        <v>84</v>
      </c>
      <c r="O94" s="129"/>
      <c r="P94" s="129"/>
      <c r="Q94" s="129">
        <f t="shared" si="20"/>
        <v>0</v>
      </c>
      <c r="R94" s="129" t="str">
        <f t="shared" si="13"/>
        <v>0h0</v>
      </c>
      <c r="S94" s="138">
        <f t="shared" si="16"/>
        <v>0</v>
      </c>
      <c r="T94" s="129" t="str">
        <f t="shared" si="14"/>
        <v>0h0</v>
      </c>
    </row>
    <row r="95" spans="2:20" x14ac:dyDescent="0.3">
      <c r="B95" s="128">
        <f t="shared" si="17"/>
        <v>46285</v>
      </c>
      <c r="C95" s="129" t="str">
        <f t="shared" si="11"/>
        <v>Sunday</v>
      </c>
      <c r="D95" s="138" t="s">
        <v>84</v>
      </c>
      <c r="E95" s="129"/>
      <c r="F95" s="129"/>
      <c r="G95" s="129">
        <f t="shared" si="18"/>
        <v>0</v>
      </c>
      <c r="H95" s="129" t="str">
        <f t="shared" si="15"/>
        <v>0h0</v>
      </c>
      <c r="I95" s="138" t="s">
        <v>84</v>
      </c>
      <c r="J95" s="129"/>
      <c r="K95" s="129"/>
      <c r="L95" s="129">
        <f t="shared" si="19"/>
        <v>0</v>
      </c>
      <c r="M95" s="129" t="str">
        <f t="shared" si="12"/>
        <v>0h0</v>
      </c>
      <c r="N95" s="138" t="s">
        <v>84</v>
      </c>
      <c r="O95" s="129"/>
      <c r="P95" s="129"/>
      <c r="Q95" s="129">
        <f t="shared" si="20"/>
        <v>0</v>
      </c>
      <c r="R95" s="129" t="str">
        <f t="shared" si="13"/>
        <v>0h0</v>
      </c>
      <c r="S95" s="138">
        <f t="shared" si="16"/>
        <v>0</v>
      </c>
      <c r="T95" s="129" t="str">
        <f t="shared" si="14"/>
        <v>0h0</v>
      </c>
    </row>
    <row r="96" spans="2:20" x14ac:dyDescent="0.3">
      <c r="B96" s="128">
        <f t="shared" si="17"/>
        <v>46286</v>
      </c>
      <c r="C96" s="129" t="str">
        <f t="shared" si="11"/>
        <v>Monday</v>
      </c>
      <c r="D96" s="138" t="s">
        <v>84</v>
      </c>
      <c r="E96" s="129"/>
      <c r="F96" s="129"/>
      <c r="G96" s="129">
        <f t="shared" si="18"/>
        <v>0</v>
      </c>
      <c r="H96" s="129" t="str">
        <f t="shared" si="15"/>
        <v>0h0</v>
      </c>
      <c r="I96" s="138" t="s">
        <v>84</v>
      </c>
      <c r="J96" s="129"/>
      <c r="K96" s="129"/>
      <c r="L96" s="129">
        <f t="shared" si="19"/>
        <v>0</v>
      </c>
      <c r="M96" s="129" t="str">
        <f t="shared" si="12"/>
        <v>0h0</v>
      </c>
      <c r="N96" s="138" t="s">
        <v>84</v>
      </c>
      <c r="O96" s="129"/>
      <c r="P96" s="129"/>
      <c r="Q96" s="129">
        <f t="shared" si="20"/>
        <v>0</v>
      </c>
      <c r="R96" s="129" t="str">
        <f t="shared" si="13"/>
        <v>0h0</v>
      </c>
      <c r="S96" s="138">
        <f t="shared" si="16"/>
        <v>0</v>
      </c>
      <c r="T96" s="129" t="str">
        <f t="shared" si="14"/>
        <v>0h0</v>
      </c>
    </row>
    <row r="97" spans="2:20" x14ac:dyDescent="0.3">
      <c r="B97" s="128">
        <f t="shared" si="17"/>
        <v>46287</v>
      </c>
      <c r="C97" s="129" t="str">
        <f t="shared" si="11"/>
        <v>Tuesday</v>
      </c>
      <c r="D97" s="138" t="s">
        <v>84</v>
      </c>
      <c r="E97" s="129"/>
      <c r="F97" s="129"/>
      <c r="G97" s="129">
        <f t="shared" si="18"/>
        <v>0</v>
      </c>
      <c r="H97" s="129" t="str">
        <f t="shared" si="15"/>
        <v>0h0</v>
      </c>
      <c r="I97" s="138" t="s">
        <v>84</v>
      </c>
      <c r="J97" s="129"/>
      <c r="K97" s="129"/>
      <c r="L97" s="129">
        <f t="shared" si="19"/>
        <v>0</v>
      </c>
      <c r="M97" s="129" t="str">
        <f t="shared" si="12"/>
        <v>0h0</v>
      </c>
      <c r="N97" s="138" t="s">
        <v>84</v>
      </c>
      <c r="O97" s="129"/>
      <c r="P97" s="129"/>
      <c r="Q97" s="129">
        <f t="shared" si="20"/>
        <v>0</v>
      </c>
      <c r="R97" s="129" t="str">
        <f t="shared" si="13"/>
        <v>0h0</v>
      </c>
      <c r="S97" s="138">
        <f t="shared" si="16"/>
        <v>0</v>
      </c>
      <c r="T97" s="129" t="str">
        <f t="shared" si="14"/>
        <v>0h0</v>
      </c>
    </row>
    <row r="98" spans="2:20" x14ac:dyDescent="0.3">
      <c r="B98" s="128">
        <f t="shared" si="17"/>
        <v>46288</v>
      </c>
      <c r="C98" s="129" t="str">
        <f t="shared" si="11"/>
        <v>Wednesday</v>
      </c>
      <c r="D98" s="138" t="s">
        <v>84</v>
      </c>
      <c r="E98" s="129"/>
      <c r="F98" s="129"/>
      <c r="G98" s="129">
        <f t="shared" si="18"/>
        <v>0</v>
      </c>
      <c r="H98" s="129" t="str">
        <f t="shared" si="15"/>
        <v>0h0</v>
      </c>
      <c r="I98" s="138" t="s">
        <v>84</v>
      </c>
      <c r="J98" s="129"/>
      <c r="K98" s="129"/>
      <c r="L98" s="129">
        <f t="shared" si="19"/>
        <v>0</v>
      </c>
      <c r="M98" s="129" t="str">
        <f t="shared" si="12"/>
        <v>0h0</v>
      </c>
      <c r="N98" s="138" t="s">
        <v>84</v>
      </c>
      <c r="O98" s="129"/>
      <c r="P98" s="129"/>
      <c r="Q98" s="129">
        <f t="shared" si="20"/>
        <v>0</v>
      </c>
      <c r="R98" s="129" t="str">
        <f t="shared" si="13"/>
        <v>0h0</v>
      </c>
      <c r="S98" s="138">
        <f t="shared" si="16"/>
        <v>0</v>
      </c>
      <c r="T98" s="129" t="str">
        <f t="shared" si="14"/>
        <v>0h0</v>
      </c>
    </row>
    <row r="99" spans="2:20" x14ac:dyDescent="0.3">
      <c r="B99" s="128">
        <f t="shared" si="17"/>
        <v>46289</v>
      </c>
      <c r="C99" s="129" t="str">
        <f t="shared" si="11"/>
        <v>Thursday</v>
      </c>
      <c r="D99" s="138" t="s">
        <v>84</v>
      </c>
      <c r="E99" s="129"/>
      <c r="F99" s="129"/>
      <c r="G99" s="129">
        <f t="shared" si="18"/>
        <v>0</v>
      </c>
      <c r="H99" s="129" t="str">
        <f t="shared" si="15"/>
        <v>0h0</v>
      </c>
      <c r="I99" s="138" t="s">
        <v>84</v>
      </c>
      <c r="J99" s="129"/>
      <c r="K99" s="129"/>
      <c r="L99" s="129">
        <f t="shared" si="19"/>
        <v>0</v>
      </c>
      <c r="M99" s="129" t="str">
        <f t="shared" si="12"/>
        <v>0h0</v>
      </c>
      <c r="N99" s="138" t="s">
        <v>84</v>
      </c>
      <c r="O99" s="129"/>
      <c r="P99" s="129"/>
      <c r="Q99" s="129">
        <f t="shared" si="20"/>
        <v>0</v>
      </c>
      <c r="R99" s="129" t="str">
        <f t="shared" si="13"/>
        <v>0h0</v>
      </c>
      <c r="S99" s="138">
        <f t="shared" si="16"/>
        <v>0</v>
      </c>
      <c r="T99" s="129" t="str">
        <f t="shared" si="14"/>
        <v>0h0</v>
      </c>
    </row>
    <row r="100" spans="2:20" x14ac:dyDescent="0.3">
      <c r="B100" s="128">
        <f t="shared" si="17"/>
        <v>46290</v>
      </c>
      <c r="C100" s="129" t="str">
        <f t="shared" si="11"/>
        <v>Friday</v>
      </c>
      <c r="D100" s="138" t="s">
        <v>84</v>
      </c>
      <c r="E100" s="129"/>
      <c r="F100" s="129"/>
      <c r="G100" s="129">
        <f t="shared" si="18"/>
        <v>0</v>
      </c>
      <c r="H100" s="129" t="str">
        <f t="shared" si="15"/>
        <v>0h0</v>
      </c>
      <c r="I100" s="138" t="s">
        <v>84</v>
      </c>
      <c r="J100" s="129"/>
      <c r="K100" s="129"/>
      <c r="L100" s="129">
        <f t="shared" si="19"/>
        <v>0</v>
      </c>
      <c r="M100" s="129" t="str">
        <f t="shared" si="12"/>
        <v>0h0</v>
      </c>
      <c r="N100" s="138" t="s">
        <v>84</v>
      </c>
      <c r="O100" s="129"/>
      <c r="P100" s="129"/>
      <c r="Q100" s="129">
        <f t="shared" si="20"/>
        <v>0</v>
      </c>
      <c r="R100" s="129" t="str">
        <f t="shared" si="13"/>
        <v>0h0</v>
      </c>
      <c r="S100" s="138">
        <f t="shared" si="16"/>
        <v>0</v>
      </c>
      <c r="T100" s="129" t="str">
        <f t="shared" si="14"/>
        <v>0h0</v>
      </c>
    </row>
    <row r="101" spans="2:20" x14ac:dyDescent="0.3">
      <c r="B101" s="128">
        <f t="shared" si="17"/>
        <v>46291</v>
      </c>
      <c r="C101" s="129" t="str">
        <f t="shared" si="11"/>
        <v>Saturday</v>
      </c>
      <c r="D101" s="138" t="s">
        <v>84</v>
      </c>
      <c r="E101" s="129"/>
      <c r="F101" s="129"/>
      <c r="G101" s="129">
        <f t="shared" si="18"/>
        <v>0</v>
      </c>
      <c r="H101" s="129" t="str">
        <f t="shared" si="15"/>
        <v>0h0</v>
      </c>
      <c r="I101" s="138" t="s">
        <v>84</v>
      </c>
      <c r="J101" s="129"/>
      <c r="K101" s="129"/>
      <c r="L101" s="129">
        <f t="shared" si="19"/>
        <v>0</v>
      </c>
      <c r="M101" s="129" t="str">
        <f t="shared" si="12"/>
        <v>0h0</v>
      </c>
      <c r="N101" s="138" t="s">
        <v>84</v>
      </c>
      <c r="O101" s="129"/>
      <c r="P101" s="129"/>
      <c r="Q101" s="129">
        <f t="shared" si="20"/>
        <v>0</v>
      </c>
      <c r="R101" s="129" t="str">
        <f t="shared" si="13"/>
        <v>0h0</v>
      </c>
      <c r="S101" s="138">
        <f t="shared" si="16"/>
        <v>0</v>
      </c>
      <c r="T101" s="129" t="str">
        <f t="shared" si="14"/>
        <v>0h0</v>
      </c>
    </row>
    <row r="102" spans="2:20" x14ac:dyDescent="0.3">
      <c r="B102" s="128">
        <f t="shared" si="17"/>
        <v>46292</v>
      </c>
      <c r="C102" s="129" t="str">
        <f t="shared" si="11"/>
        <v>Sunday</v>
      </c>
      <c r="D102" s="138" t="s">
        <v>84</v>
      </c>
      <c r="E102" s="129"/>
      <c r="F102" s="129"/>
      <c r="G102" s="129">
        <f t="shared" si="18"/>
        <v>0</v>
      </c>
      <c r="H102" s="129" t="str">
        <f t="shared" si="15"/>
        <v>0h0</v>
      </c>
      <c r="I102" s="138" t="s">
        <v>84</v>
      </c>
      <c r="J102" s="129"/>
      <c r="K102" s="129"/>
      <c r="L102" s="129">
        <f t="shared" si="19"/>
        <v>0</v>
      </c>
      <c r="M102" s="129" t="str">
        <f t="shared" si="12"/>
        <v>0h0</v>
      </c>
      <c r="N102" s="138" t="s">
        <v>84</v>
      </c>
      <c r="O102" s="129"/>
      <c r="P102" s="129"/>
      <c r="Q102" s="129">
        <f t="shared" si="20"/>
        <v>0</v>
      </c>
      <c r="R102" s="129" t="str">
        <f t="shared" si="13"/>
        <v>0h0</v>
      </c>
      <c r="S102" s="138">
        <f t="shared" si="16"/>
        <v>0</v>
      </c>
      <c r="T102" s="129" t="str">
        <f t="shared" si="14"/>
        <v>0h0</v>
      </c>
    </row>
    <row r="103" spans="2:20" x14ac:dyDescent="0.3">
      <c r="B103" s="128">
        <f t="shared" si="17"/>
        <v>46293</v>
      </c>
      <c r="C103" s="129" t="str">
        <f t="shared" si="11"/>
        <v>Monday</v>
      </c>
      <c r="D103" s="138" t="s">
        <v>84</v>
      </c>
      <c r="E103" s="129"/>
      <c r="F103" s="129"/>
      <c r="G103" s="129">
        <f t="shared" si="18"/>
        <v>0</v>
      </c>
      <c r="H103" s="129" t="str">
        <f t="shared" si="15"/>
        <v>0h0</v>
      </c>
      <c r="I103" s="138" t="s">
        <v>84</v>
      </c>
      <c r="J103" s="129"/>
      <c r="K103" s="129"/>
      <c r="L103" s="129">
        <f t="shared" si="19"/>
        <v>0</v>
      </c>
      <c r="M103" s="129" t="str">
        <f t="shared" si="12"/>
        <v>0h0</v>
      </c>
      <c r="N103" s="138" t="s">
        <v>84</v>
      </c>
      <c r="O103" s="129"/>
      <c r="P103" s="129"/>
      <c r="Q103" s="129">
        <f t="shared" si="20"/>
        <v>0</v>
      </c>
      <c r="R103" s="129" t="str">
        <f t="shared" si="13"/>
        <v>0h0</v>
      </c>
      <c r="S103" s="138">
        <f t="shared" si="16"/>
        <v>0</v>
      </c>
      <c r="T103" s="129" t="str">
        <f t="shared" si="14"/>
        <v>0h0</v>
      </c>
    </row>
    <row r="104" spans="2:20" x14ac:dyDescent="0.3">
      <c r="B104" s="128">
        <f t="shared" si="17"/>
        <v>46294</v>
      </c>
      <c r="C104" s="129" t="str">
        <f t="shared" si="11"/>
        <v>Tuesday</v>
      </c>
      <c r="D104" s="138" t="s">
        <v>84</v>
      </c>
      <c r="E104" s="129"/>
      <c r="F104" s="129"/>
      <c r="G104" s="129">
        <f t="shared" si="18"/>
        <v>0</v>
      </c>
      <c r="H104" s="129" t="str">
        <f t="shared" si="15"/>
        <v>0h0</v>
      </c>
      <c r="I104" s="138" t="s">
        <v>84</v>
      </c>
      <c r="J104" s="129"/>
      <c r="K104" s="129"/>
      <c r="L104" s="129">
        <f t="shared" si="19"/>
        <v>0</v>
      </c>
      <c r="M104" s="129" t="str">
        <f t="shared" si="12"/>
        <v>0h0</v>
      </c>
      <c r="N104" s="138" t="s">
        <v>84</v>
      </c>
      <c r="O104" s="129"/>
      <c r="P104" s="129"/>
      <c r="Q104" s="129">
        <f t="shared" si="20"/>
        <v>0</v>
      </c>
      <c r="R104" s="129" t="str">
        <f t="shared" si="13"/>
        <v>0h0</v>
      </c>
      <c r="S104" s="138">
        <f t="shared" si="16"/>
        <v>0</v>
      </c>
      <c r="T104" s="129" t="str">
        <f t="shared" si="14"/>
        <v>0h0</v>
      </c>
    </row>
    <row r="105" spans="2:20" x14ac:dyDescent="0.3">
      <c r="B105" s="128">
        <f t="shared" si="17"/>
        <v>46295</v>
      </c>
      <c r="C105" s="129" t="str">
        <f t="shared" si="11"/>
        <v>Wednesday</v>
      </c>
      <c r="D105" s="138" t="s">
        <v>84</v>
      </c>
      <c r="E105" s="129"/>
      <c r="F105" s="129"/>
      <c r="G105" s="129">
        <f t="shared" si="18"/>
        <v>0</v>
      </c>
      <c r="H105" s="129" t="str">
        <f t="shared" si="15"/>
        <v>0h0</v>
      </c>
      <c r="I105" s="138" t="s">
        <v>84</v>
      </c>
      <c r="J105" s="129"/>
      <c r="K105" s="129"/>
      <c r="L105" s="129">
        <f t="shared" si="19"/>
        <v>0</v>
      </c>
      <c r="M105" s="129" t="str">
        <f t="shared" si="12"/>
        <v>0h0</v>
      </c>
      <c r="N105" s="138" t="s">
        <v>84</v>
      </c>
      <c r="O105" s="129"/>
      <c r="P105" s="129"/>
      <c r="Q105" s="129">
        <f t="shared" si="20"/>
        <v>0</v>
      </c>
      <c r="R105" s="129" t="str">
        <f t="shared" si="13"/>
        <v>0h0</v>
      </c>
      <c r="S105" s="138">
        <f t="shared" si="16"/>
        <v>0</v>
      </c>
      <c r="T105" s="129" t="str">
        <f t="shared" si="14"/>
        <v>0h0</v>
      </c>
    </row>
    <row r="106" spans="2:20" x14ac:dyDescent="0.3">
      <c r="B106" s="128">
        <f t="shared" si="17"/>
        <v>46296</v>
      </c>
      <c r="C106" s="129" t="str">
        <f t="shared" si="11"/>
        <v>Thursday</v>
      </c>
      <c r="D106" s="138" t="s">
        <v>84</v>
      </c>
      <c r="E106" s="129"/>
      <c r="F106" s="129"/>
      <c r="G106" s="129">
        <f t="shared" si="18"/>
        <v>0</v>
      </c>
      <c r="H106" s="129" t="str">
        <f t="shared" si="15"/>
        <v>0h0</v>
      </c>
      <c r="I106" s="138" t="s">
        <v>84</v>
      </c>
      <c r="J106" s="129"/>
      <c r="K106" s="129"/>
      <c r="L106" s="129">
        <f t="shared" si="19"/>
        <v>0</v>
      </c>
      <c r="M106" s="129" t="str">
        <f t="shared" si="12"/>
        <v>0h0</v>
      </c>
      <c r="N106" s="138" t="s">
        <v>84</v>
      </c>
      <c r="O106" s="129"/>
      <c r="P106" s="129"/>
      <c r="Q106" s="129">
        <f t="shared" si="20"/>
        <v>0</v>
      </c>
      <c r="R106" s="129" t="str">
        <f t="shared" si="13"/>
        <v>0h0</v>
      </c>
      <c r="S106" s="138">
        <f t="shared" si="16"/>
        <v>0</v>
      </c>
      <c r="T106" s="129" t="str">
        <f t="shared" si="14"/>
        <v>0h0</v>
      </c>
    </row>
    <row r="107" spans="2:20" x14ac:dyDescent="0.3">
      <c r="B107" s="128">
        <f t="shared" si="17"/>
        <v>46297</v>
      </c>
      <c r="C107" s="129" t="str">
        <f t="shared" si="11"/>
        <v>Friday</v>
      </c>
      <c r="D107" s="138" t="s">
        <v>84</v>
      </c>
      <c r="E107" s="129"/>
      <c r="F107" s="129"/>
      <c r="G107" s="129">
        <f t="shared" si="18"/>
        <v>0</v>
      </c>
      <c r="H107" s="129" t="str">
        <f t="shared" si="15"/>
        <v>0h0</v>
      </c>
      <c r="I107" s="138" t="s">
        <v>84</v>
      </c>
      <c r="J107" s="129"/>
      <c r="K107" s="129"/>
      <c r="L107" s="129">
        <f t="shared" si="19"/>
        <v>0</v>
      </c>
      <c r="M107" s="129" t="str">
        <f t="shared" si="12"/>
        <v>0h0</v>
      </c>
      <c r="N107" s="138" t="s">
        <v>84</v>
      </c>
      <c r="O107" s="129"/>
      <c r="P107" s="129"/>
      <c r="Q107" s="129">
        <f t="shared" si="20"/>
        <v>0</v>
      </c>
      <c r="R107" s="129" t="str">
        <f t="shared" si="13"/>
        <v>0h0</v>
      </c>
      <c r="S107" s="138">
        <f t="shared" si="16"/>
        <v>0</v>
      </c>
      <c r="T107" s="129" t="str">
        <f t="shared" si="14"/>
        <v>0h0</v>
      </c>
    </row>
    <row r="108" spans="2:20" x14ac:dyDescent="0.3">
      <c r="B108" s="128">
        <f t="shared" si="17"/>
        <v>46298</v>
      </c>
      <c r="C108" s="129" t="str">
        <f t="shared" si="11"/>
        <v>Saturday</v>
      </c>
      <c r="D108" s="138" t="s">
        <v>84</v>
      </c>
      <c r="E108" s="129"/>
      <c r="F108" s="129"/>
      <c r="G108" s="129">
        <f t="shared" si="18"/>
        <v>0</v>
      </c>
      <c r="H108" s="129" t="str">
        <f t="shared" si="15"/>
        <v>0h0</v>
      </c>
      <c r="I108" s="138" t="s">
        <v>84</v>
      </c>
      <c r="J108" s="129"/>
      <c r="K108" s="129"/>
      <c r="L108" s="129">
        <f t="shared" si="19"/>
        <v>0</v>
      </c>
      <c r="M108" s="129" t="str">
        <f t="shared" si="12"/>
        <v>0h0</v>
      </c>
      <c r="N108" s="138" t="s">
        <v>84</v>
      </c>
      <c r="O108" s="129"/>
      <c r="P108" s="129"/>
      <c r="Q108" s="129">
        <f t="shared" si="20"/>
        <v>0</v>
      </c>
      <c r="R108" s="129" t="str">
        <f t="shared" si="13"/>
        <v>0h0</v>
      </c>
      <c r="S108" s="138">
        <f t="shared" si="16"/>
        <v>0</v>
      </c>
      <c r="T108" s="129" t="str">
        <f t="shared" si="14"/>
        <v>0h0</v>
      </c>
    </row>
    <row r="109" spans="2:20" x14ac:dyDescent="0.3">
      <c r="B109" s="128">
        <f t="shared" si="17"/>
        <v>46299</v>
      </c>
      <c r="C109" s="129" t="str">
        <f t="shared" si="11"/>
        <v>Sunday</v>
      </c>
      <c r="D109" s="138" t="s">
        <v>84</v>
      </c>
      <c r="E109" s="129"/>
      <c r="F109" s="129"/>
      <c r="G109" s="129">
        <f t="shared" si="18"/>
        <v>0</v>
      </c>
      <c r="H109" s="129" t="str">
        <f t="shared" si="15"/>
        <v>0h0</v>
      </c>
      <c r="I109" s="138" t="s">
        <v>84</v>
      </c>
      <c r="J109" s="129"/>
      <c r="K109" s="129"/>
      <c r="L109" s="129">
        <f t="shared" si="19"/>
        <v>0</v>
      </c>
      <c r="M109" s="129" t="str">
        <f t="shared" si="12"/>
        <v>0h0</v>
      </c>
      <c r="N109" s="138" t="s">
        <v>84</v>
      </c>
      <c r="O109" s="129"/>
      <c r="P109" s="129"/>
      <c r="Q109" s="129">
        <f t="shared" si="20"/>
        <v>0</v>
      </c>
      <c r="R109" s="129" t="str">
        <f t="shared" si="13"/>
        <v>0h0</v>
      </c>
      <c r="S109" s="138">
        <f t="shared" si="16"/>
        <v>0</v>
      </c>
      <c r="T109" s="129" t="str">
        <f t="shared" si="14"/>
        <v>0h0</v>
      </c>
    </row>
    <row r="110" spans="2:20" x14ac:dyDescent="0.3">
      <c r="B110" s="128">
        <f t="shared" si="17"/>
        <v>46300</v>
      </c>
      <c r="C110" s="129" t="str">
        <f t="shared" si="11"/>
        <v>Monday</v>
      </c>
      <c r="D110" s="138" t="s">
        <v>84</v>
      </c>
      <c r="E110" s="129"/>
      <c r="F110" s="129"/>
      <c r="G110" s="129">
        <f t="shared" si="18"/>
        <v>0</v>
      </c>
      <c r="H110" s="129" t="str">
        <f t="shared" si="15"/>
        <v>0h0</v>
      </c>
      <c r="I110" s="138" t="s">
        <v>84</v>
      </c>
      <c r="J110" s="129"/>
      <c r="K110" s="129"/>
      <c r="L110" s="129">
        <f t="shared" si="19"/>
        <v>0</v>
      </c>
      <c r="M110" s="129" t="str">
        <f t="shared" si="12"/>
        <v>0h0</v>
      </c>
      <c r="N110" s="138" t="s">
        <v>84</v>
      </c>
      <c r="O110" s="129"/>
      <c r="P110" s="129"/>
      <c r="Q110" s="129">
        <f t="shared" si="20"/>
        <v>0</v>
      </c>
      <c r="R110" s="129" t="str">
        <f t="shared" si="13"/>
        <v>0h0</v>
      </c>
      <c r="S110" s="138">
        <f t="shared" si="16"/>
        <v>0</v>
      </c>
      <c r="T110" s="129" t="str">
        <f t="shared" si="14"/>
        <v>0h0</v>
      </c>
    </row>
    <row r="111" spans="2:20" x14ac:dyDescent="0.3">
      <c r="B111" s="128">
        <f t="shared" si="17"/>
        <v>46301</v>
      </c>
      <c r="C111" s="129" t="str">
        <f t="shared" si="11"/>
        <v>Tuesday</v>
      </c>
      <c r="D111" s="138" t="s">
        <v>84</v>
      </c>
      <c r="E111" s="129"/>
      <c r="F111" s="129"/>
      <c r="G111" s="129">
        <f t="shared" si="18"/>
        <v>0</v>
      </c>
      <c r="H111" s="129" t="str">
        <f t="shared" si="15"/>
        <v>0h0</v>
      </c>
      <c r="I111" s="138" t="s">
        <v>84</v>
      </c>
      <c r="J111" s="129"/>
      <c r="K111" s="129"/>
      <c r="L111" s="129">
        <f t="shared" si="19"/>
        <v>0</v>
      </c>
      <c r="M111" s="129" t="str">
        <f t="shared" si="12"/>
        <v>0h0</v>
      </c>
      <c r="N111" s="138" t="s">
        <v>84</v>
      </c>
      <c r="O111" s="129"/>
      <c r="P111" s="129"/>
      <c r="Q111" s="129">
        <f t="shared" si="20"/>
        <v>0</v>
      </c>
      <c r="R111" s="129" t="str">
        <f t="shared" si="13"/>
        <v>0h0</v>
      </c>
      <c r="S111" s="138">
        <f t="shared" si="16"/>
        <v>0</v>
      </c>
      <c r="T111" s="129" t="str">
        <f t="shared" si="14"/>
        <v>0h0</v>
      </c>
    </row>
    <row r="112" spans="2:20" x14ac:dyDescent="0.3">
      <c r="B112" s="128">
        <f t="shared" si="17"/>
        <v>46302</v>
      </c>
      <c r="C112" s="129" t="str">
        <f t="shared" si="11"/>
        <v>Wednesday</v>
      </c>
      <c r="D112" s="138" t="s">
        <v>84</v>
      </c>
      <c r="E112" s="129"/>
      <c r="F112" s="129"/>
      <c r="G112" s="129">
        <f t="shared" si="18"/>
        <v>0</v>
      </c>
      <c r="H112" s="129" t="str">
        <f t="shared" si="15"/>
        <v>0h0</v>
      </c>
      <c r="I112" s="138" t="s">
        <v>84</v>
      </c>
      <c r="J112" s="129"/>
      <c r="K112" s="129"/>
      <c r="L112" s="129">
        <f t="shared" si="19"/>
        <v>0</v>
      </c>
      <c r="M112" s="129" t="str">
        <f t="shared" si="12"/>
        <v>0h0</v>
      </c>
      <c r="N112" s="138" t="s">
        <v>84</v>
      </c>
      <c r="O112" s="129"/>
      <c r="P112" s="129"/>
      <c r="Q112" s="129">
        <f t="shared" si="20"/>
        <v>0</v>
      </c>
      <c r="R112" s="129" t="str">
        <f t="shared" si="13"/>
        <v>0h0</v>
      </c>
      <c r="S112" s="138">
        <f t="shared" si="16"/>
        <v>0</v>
      </c>
      <c r="T112" s="129" t="str">
        <f t="shared" si="14"/>
        <v>0h0</v>
      </c>
    </row>
    <row r="113" spans="2:20" x14ac:dyDescent="0.3">
      <c r="B113" s="128">
        <f t="shared" si="17"/>
        <v>46303</v>
      </c>
      <c r="C113" s="129" t="str">
        <f t="shared" si="11"/>
        <v>Thursday</v>
      </c>
      <c r="D113" s="138" t="s">
        <v>84</v>
      </c>
      <c r="E113" s="129"/>
      <c r="F113" s="129"/>
      <c r="G113" s="129">
        <f t="shared" si="18"/>
        <v>0</v>
      </c>
      <c r="H113" s="129" t="str">
        <f t="shared" si="15"/>
        <v>0h0</v>
      </c>
      <c r="I113" s="138" t="s">
        <v>84</v>
      </c>
      <c r="J113" s="129"/>
      <c r="K113" s="129"/>
      <c r="L113" s="129">
        <f t="shared" si="19"/>
        <v>0</v>
      </c>
      <c r="M113" s="129" t="str">
        <f t="shared" si="12"/>
        <v>0h0</v>
      </c>
      <c r="N113" s="138" t="s">
        <v>84</v>
      </c>
      <c r="O113" s="129"/>
      <c r="P113" s="129"/>
      <c r="Q113" s="129">
        <f t="shared" si="20"/>
        <v>0</v>
      </c>
      <c r="R113" s="129" t="str">
        <f t="shared" si="13"/>
        <v>0h0</v>
      </c>
      <c r="S113" s="138">
        <f t="shared" si="16"/>
        <v>0</v>
      </c>
      <c r="T113" s="129" t="str">
        <f t="shared" si="14"/>
        <v>0h0</v>
      </c>
    </row>
    <row r="114" spans="2:20" x14ac:dyDescent="0.3">
      <c r="B114" s="128">
        <f t="shared" si="17"/>
        <v>46304</v>
      </c>
      <c r="C114" s="129" t="str">
        <f t="shared" si="11"/>
        <v>Friday</v>
      </c>
      <c r="D114" s="138" t="s">
        <v>84</v>
      </c>
      <c r="E114" s="129"/>
      <c r="F114" s="129"/>
      <c r="G114" s="129">
        <f t="shared" si="18"/>
        <v>0</v>
      </c>
      <c r="H114" s="129" t="str">
        <f t="shared" si="15"/>
        <v>0h0</v>
      </c>
      <c r="I114" s="138" t="s">
        <v>84</v>
      </c>
      <c r="J114" s="129"/>
      <c r="K114" s="129"/>
      <c r="L114" s="129">
        <f t="shared" si="19"/>
        <v>0</v>
      </c>
      <c r="M114" s="129" t="str">
        <f t="shared" si="12"/>
        <v>0h0</v>
      </c>
      <c r="N114" s="138" t="s">
        <v>84</v>
      </c>
      <c r="O114" s="129"/>
      <c r="P114" s="129"/>
      <c r="Q114" s="129">
        <f t="shared" si="20"/>
        <v>0</v>
      </c>
      <c r="R114" s="129" t="str">
        <f t="shared" si="13"/>
        <v>0h0</v>
      </c>
      <c r="S114" s="138">
        <f t="shared" si="16"/>
        <v>0</v>
      </c>
      <c r="T114" s="129" t="str">
        <f t="shared" si="14"/>
        <v>0h0</v>
      </c>
    </row>
    <row r="115" spans="2:20" x14ac:dyDescent="0.3">
      <c r="B115" s="128">
        <f t="shared" si="17"/>
        <v>46305</v>
      </c>
      <c r="C115" s="129" t="str">
        <f t="shared" si="11"/>
        <v>Saturday</v>
      </c>
      <c r="D115" s="138" t="s">
        <v>84</v>
      </c>
      <c r="E115" s="129"/>
      <c r="F115" s="129"/>
      <c r="G115" s="129">
        <f t="shared" si="18"/>
        <v>0</v>
      </c>
      <c r="H115" s="129" t="str">
        <f t="shared" si="15"/>
        <v>0h0</v>
      </c>
      <c r="I115" s="138" t="s">
        <v>84</v>
      </c>
      <c r="J115" s="129"/>
      <c r="K115" s="129"/>
      <c r="L115" s="129">
        <f t="shared" si="19"/>
        <v>0</v>
      </c>
      <c r="M115" s="129" t="str">
        <f t="shared" si="12"/>
        <v>0h0</v>
      </c>
      <c r="N115" s="138" t="s">
        <v>84</v>
      </c>
      <c r="O115" s="129"/>
      <c r="P115" s="129"/>
      <c r="Q115" s="129">
        <f t="shared" si="20"/>
        <v>0</v>
      </c>
      <c r="R115" s="129" t="str">
        <f t="shared" si="13"/>
        <v>0h0</v>
      </c>
      <c r="S115" s="138">
        <f t="shared" si="16"/>
        <v>0</v>
      </c>
      <c r="T115" s="129" t="str">
        <f t="shared" si="14"/>
        <v>0h0</v>
      </c>
    </row>
    <row r="116" spans="2:20" x14ac:dyDescent="0.3">
      <c r="B116" s="128">
        <f t="shared" si="17"/>
        <v>46306</v>
      </c>
      <c r="C116" s="129" t="str">
        <f t="shared" si="11"/>
        <v>Sunday</v>
      </c>
      <c r="D116" s="138" t="s">
        <v>84</v>
      </c>
      <c r="E116" s="129"/>
      <c r="F116" s="129"/>
      <c r="G116" s="129">
        <f t="shared" si="18"/>
        <v>0</v>
      </c>
      <c r="H116" s="129" t="str">
        <f t="shared" si="15"/>
        <v>0h0</v>
      </c>
      <c r="I116" s="138" t="s">
        <v>84</v>
      </c>
      <c r="J116" s="129"/>
      <c r="K116" s="129"/>
      <c r="L116" s="129">
        <f t="shared" si="19"/>
        <v>0</v>
      </c>
      <c r="M116" s="129" t="str">
        <f t="shared" si="12"/>
        <v>0h0</v>
      </c>
      <c r="N116" s="138" t="s">
        <v>84</v>
      </c>
      <c r="O116" s="129"/>
      <c r="P116" s="129"/>
      <c r="Q116" s="129">
        <f t="shared" si="20"/>
        <v>0</v>
      </c>
      <c r="R116" s="129" t="str">
        <f t="shared" si="13"/>
        <v>0h0</v>
      </c>
      <c r="S116" s="138">
        <f t="shared" si="16"/>
        <v>0</v>
      </c>
      <c r="T116" s="129" t="str">
        <f t="shared" si="14"/>
        <v>0h0</v>
      </c>
    </row>
    <row r="117" spans="2:20" x14ac:dyDescent="0.3">
      <c r="B117" s="128">
        <f t="shared" si="17"/>
        <v>46307</v>
      </c>
      <c r="C117" s="129" t="str">
        <f t="shared" si="11"/>
        <v>Monday</v>
      </c>
      <c r="D117" s="138" t="s">
        <v>84</v>
      </c>
      <c r="E117" s="129"/>
      <c r="F117" s="129"/>
      <c r="G117" s="129">
        <f t="shared" si="18"/>
        <v>0</v>
      </c>
      <c r="H117" s="129" t="str">
        <f t="shared" si="15"/>
        <v>0h0</v>
      </c>
      <c r="I117" s="138" t="s">
        <v>84</v>
      </c>
      <c r="J117" s="129"/>
      <c r="K117" s="129"/>
      <c r="L117" s="129">
        <f t="shared" si="19"/>
        <v>0</v>
      </c>
      <c r="M117" s="129" t="str">
        <f t="shared" si="12"/>
        <v>0h0</v>
      </c>
      <c r="N117" s="138" t="s">
        <v>84</v>
      </c>
      <c r="O117" s="129"/>
      <c r="P117" s="129"/>
      <c r="Q117" s="129">
        <f t="shared" si="20"/>
        <v>0</v>
      </c>
      <c r="R117" s="129" t="str">
        <f t="shared" si="13"/>
        <v>0h0</v>
      </c>
      <c r="S117" s="138">
        <f t="shared" si="16"/>
        <v>0</v>
      </c>
      <c r="T117" s="129" t="str">
        <f t="shared" si="14"/>
        <v>0h0</v>
      </c>
    </row>
    <row r="118" spans="2:20" x14ac:dyDescent="0.3">
      <c r="B118" s="128">
        <f t="shared" si="17"/>
        <v>46308</v>
      </c>
      <c r="C118" s="129" t="str">
        <f t="shared" si="11"/>
        <v>Tuesday</v>
      </c>
      <c r="D118" s="138" t="s">
        <v>84</v>
      </c>
      <c r="E118" s="129"/>
      <c r="F118" s="129"/>
      <c r="G118" s="129">
        <f t="shared" si="18"/>
        <v>0</v>
      </c>
      <c r="H118" s="129" t="str">
        <f t="shared" si="15"/>
        <v>0h0</v>
      </c>
      <c r="I118" s="138" t="s">
        <v>84</v>
      </c>
      <c r="J118" s="129"/>
      <c r="K118" s="129"/>
      <c r="L118" s="129">
        <f t="shared" si="19"/>
        <v>0</v>
      </c>
      <c r="M118" s="129" t="str">
        <f t="shared" si="12"/>
        <v>0h0</v>
      </c>
      <c r="N118" s="138" t="s">
        <v>84</v>
      </c>
      <c r="O118" s="129"/>
      <c r="P118" s="129"/>
      <c r="Q118" s="129">
        <f t="shared" si="20"/>
        <v>0</v>
      </c>
      <c r="R118" s="129" t="str">
        <f t="shared" si="13"/>
        <v>0h0</v>
      </c>
      <c r="S118" s="138">
        <f t="shared" si="16"/>
        <v>0</v>
      </c>
      <c r="T118" s="129" t="str">
        <f t="shared" si="14"/>
        <v>0h0</v>
      </c>
    </row>
    <row r="119" spans="2:20" x14ac:dyDescent="0.3">
      <c r="B119" s="128">
        <f t="shared" si="17"/>
        <v>46309</v>
      </c>
      <c r="C119" s="129" t="str">
        <f t="shared" si="11"/>
        <v>Wednesday</v>
      </c>
      <c r="D119" s="138" t="s">
        <v>84</v>
      </c>
      <c r="E119" s="129"/>
      <c r="F119" s="129"/>
      <c r="G119" s="129">
        <f t="shared" si="18"/>
        <v>0</v>
      </c>
      <c r="H119" s="129" t="str">
        <f t="shared" si="15"/>
        <v>0h0</v>
      </c>
      <c r="I119" s="138" t="s">
        <v>84</v>
      </c>
      <c r="J119" s="129"/>
      <c r="K119" s="129"/>
      <c r="L119" s="129">
        <f t="shared" si="19"/>
        <v>0</v>
      </c>
      <c r="M119" s="129" t="str">
        <f t="shared" si="12"/>
        <v>0h0</v>
      </c>
      <c r="N119" s="138" t="s">
        <v>84</v>
      </c>
      <c r="O119" s="129"/>
      <c r="P119" s="129"/>
      <c r="Q119" s="129">
        <f t="shared" si="20"/>
        <v>0</v>
      </c>
      <c r="R119" s="129" t="str">
        <f t="shared" si="13"/>
        <v>0h0</v>
      </c>
      <c r="S119" s="138">
        <f t="shared" si="16"/>
        <v>0</v>
      </c>
      <c r="T119" s="129" t="str">
        <f t="shared" si="14"/>
        <v>0h0</v>
      </c>
    </row>
    <row r="120" spans="2:20" x14ac:dyDescent="0.3">
      <c r="B120" s="128">
        <f t="shared" si="17"/>
        <v>46310</v>
      </c>
      <c r="C120" s="129" t="str">
        <f t="shared" si="11"/>
        <v>Thursday</v>
      </c>
      <c r="D120" s="138" t="s">
        <v>84</v>
      </c>
      <c r="E120" s="129"/>
      <c r="F120" s="129"/>
      <c r="G120" s="129">
        <f t="shared" si="18"/>
        <v>0</v>
      </c>
      <c r="H120" s="129" t="str">
        <f t="shared" si="15"/>
        <v>0h0</v>
      </c>
      <c r="I120" s="138" t="s">
        <v>84</v>
      </c>
      <c r="J120" s="129"/>
      <c r="K120" s="129"/>
      <c r="L120" s="129">
        <f t="shared" si="19"/>
        <v>0</v>
      </c>
      <c r="M120" s="129" t="str">
        <f t="shared" si="12"/>
        <v>0h0</v>
      </c>
      <c r="N120" s="138" t="s">
        <v>84</v>
      </c>
      <c r="O120" s="129"/>
      <c r="P120" s="129"/>
      <c r="Q120" s="129">
        <f t="shared" si="20"/>
        <v>0</v>
      </c>
      <c r="R120" s="129" t="str">
        <f t="shared" si="13"/>
        <v>0h0</v>
      </c>
      <c r="S120" s="138">
        <f t="shared" si="16"/>
        <v>0</v>
      </c>
      <c r="T120" s="129" t="str">
        <f t="shared" si="14"/>
        <v>0h0</v>
      </c>
    </row>
    <row r="121" spans="2:20" x14ac:dyDescent="0.3">
      <c r="B121" s="128">
        <f t="shared" si="17"/>
        <v>46311</v>
      </c>
      <c r="C121" s="129" t="str">
        <f t="shared" si="11"/>
        <v>Friday</v>
      </c>
      <c r="D121" s="138" t="s">
        <v>84</v>
      </c>
      <c r="E121" s="129"/>
      <c r="F121" s="129"/>
      <c r="G121" s="129">
        <f t="shared" si="18"/>
        <v>0</v>
      </c>
      <c r="H121" s="129" t="str">
        <f t="shared" si="15"/>
        <v>0h0</v>
      </c>
      <c r="I121" s="138" t="s">
        <v>84</v>
      </c>
      <c r="J121" s="129"/>
      <c r="K121" s="129"/>
      <c r="L121" s="129">
        <f t="shared" si="19"/>
        <v>0</v>
      </c>
      <c r="M121" s="129" t="str">
        <f t="shared" si="12"/>
        <v>0h0</v>
      </c>
      <c r="N121" s="138" t="s">
        <v>84</v>
      </c>
      <c r="O121" s="129"/>
      <c r="P121" s="129"/>
      <c r="Q121" s="129">
        <f t="shared" si="20"/>
        <v>0</v>
      </c>
      <c r="R121" s="129" t="str">
        <f t="shared" si="13"/>
        <v>0h0</v>
      </c>
      <c r="S121" s="138">
        <f t="shared" si="16"/>
        <v>0</v>
      </c>
      <c r="T121" s="129" t="str">
        <f t="shared" si="14"/>
        <v>0h0</v>
      </c>
    </row>
    <row r="122" spans="2:20" x14ac:dyDescent="0.3">
      <c r="B122" s="128">
        <f t="shared" si="17"/>
        <v>46312</v>
      </c>
      <c r="C122" s="129" t="str">
        <f t="shared" si="11"/>
        <v>Saturday</v>
      </c>
      <c r="D122" s="138" t="s">
        <v>84</v>
      </c>
      <c r="E122" s="129"/>
      <c r="F122" s="129"/>
      <c r="G122" s="129">
        <f t="shared" si="18"/>
        <v>0</v>
      </c>
      <c r="H122" s="129" t="str">
        <f t="shared" si="15"/>
        <v>0h0</v>
      </c>
      <c r="I122" s="138" t="s">
        <v>84</v>
      </c>
      <c r="J122" s="129"/>
      <c r="K122" s="129"/>
      <c r="L122" s="129">
        <f t="shared" si="19"/>
        <v>0</v>
      </c>
      <c r="M122" s="129" t="str">
        <f t="shared" si="12"/>
        <v>0h0</v>
      </c>
      <c r="N122" s="138" t="s">
        <v>84</v>
      </c>
      <c r="O122" s="129"/>
      <c r="P122" s="129"/>
      <c r="Q122" s="129">
        <f t="shared" si="20"/>
        <v>0</v>
      </c>
      <c r="R122" s="129" t="str">
        <f t="shared" si="13"/>
        <v>0h0</v>
      </c>
      <c r="S122" s="138">
        <f t="shared" si="16"/>
        <v>0</v>
      </c>
      <c r="T122" s="129" t="str">
        <f t="shared" si="14"/>
        <v>0h0</v>
      </c>
    </row>
    <row r="123" spans="2:20" x14ac:dyDescent="0.3">
      <c r="B123" s="128">
        <f t="shared" si="17"/>
        <v>46313</v>
      </c>
      <c r="C123" s="129" t="str">
        <f t="shared" si="11"/>
        <v>Sunday</v>
      </c>
      <c r="D123" s="138" t="s">
        <v>84</v>
      </c>
      <c r="E123" s="129"/>
      <c r="F123" s="129"/>
      <c r="G123" s="129">
        <f t="shared" si="18"/>
        <v>0</v>
      </c>
      <c r="H123" s="129" t="str">
        <f t="shared" si="15"/>
        <v>0h0</v>
      </c>
      <c r="I123" s="138" t="s">
        <v>84</v>
      </c>
      <c r="J123" s="129"/>
      <c r="K123" s="129"/>
      <c r="L123" s="129">
        <f t="shared" si="19"/>
        <v>0</v>
      </c>
      <c r="M123" s="129" t="str">
        <f t="shared" si="12"/>
        <v>0h0</v>
      </c>
      <c r="N123" s="138" t="s">
        <v>84</v>
      </c>
      <c r="O123" s="129"/>
      <c r="P123" s="129"/>
      <c r="Q123" s="129">
        <f t="shared" si="20"/>
        <v>0</v>
      </c>
      <c r="R123" s="129" t="str">
        <f t="shared" si="13"/>
        <v>0h0</v>
      </c>
      <c r="S123" s="138">
        <f t="shared" si="16"/>
        <v>0</v>
      </c>
      <c r="T123" s="129" t="str">
        <f t="shared" si="14"/>
        <v>0h0</v>
      </c>
    </row>
    <row r="124" spans="2:20" x14ac:dyDescent="0.3">
      <c r="B124" s="128">
        <f t="shared" si="17"/>
        <v>46314</v>
      </c>
      <c r="C124" s="129" t="str">
        <f t="shared" si="11"/>
        <v>Monday</v>
      </c>
      <c r="D124" s="138" t="s">
        <v>84</v>
      </c>
      <c r="E124" s="129"/>
      <c r="F124" s="129"/>
      <c r="G124" s="129">
        <f t="shared" si="18"/>
        <v>0</v>
      </c>
      <c r="H124" s="129" t="str">
        <f t="shared" si="15"/>
        <v>0h0</v>
      </c>
      <c r="I124" s="138" t="s">
        <v>84</v>
      </c>
      <c r="J124" s="129"/>
      <c r="K124" s="129"/>
      <c r="L124" s="129">
        <f t="shared" si="19"/>
        <v>0</v>
      </c>
      <c r="M124" s="129" t="str">
        <f t="shared" si="12"/>
        <v>0h0</v>
      </c>
      <c r="N124" s="138" t="s">
        <v>84</v>
      </c>
      <c r="O124" s="129"/>
      <c r="P124" s="129"/>
      <c r="Q124" s="129">
        <f t="shared" si="20"/>
        <v>0</v>
      </c>
      <c r="R124" s="129" t="str">
        <f t="shared" si="13"/>
        <v>0h0</v>
      </c>
      <c r="S124" s="138">
        <f t="shared" si="16"/>
        <v>0</v>
      </c>
      <c r="T124" s="129" t="str">
        <f t="shared" si="14"/>
        <v>0h0</v>
      </c>
    </row>
    <row r="125" spans="2:20" x14ac:dyDescent="0.3">
      <c r="B125" s="128">
        <f t="shared" si="17"/>
        <v>46315</v>
      </c>
      <c r="C125" s="129" t="str">
        <f t="shared" si="11"/>
        <v>Tuesday</v>
      </c>
      <c r="D125" s="138" t="s">
        <v>84</v>
      </c>
      <c r="E125" s="129"/>
      <c r="F125" s="129"/>
      <c r="G125" s="129">
        <f t="shared" si="18"/>
        <v>0</v>
      </c>
      <c r="H125" s="129" t="str">
        <f t="shared" si="15"/>
        <v>0h0</v>
      </c>
      <c r="I125" s="138" t="s">
        <v>84</v>
      </c>
      <c r="J125" s="129"/>
      <c r="K125" s="129"/>
      <c r="L125" s="129">
        <f t="shared" si="19"/>
        <v>0</v>
      </c>
      <c r="M125" s="129" t="str">
        <f t="shared" si="12"/>
        <v>0h0</v>
      </c>
      <c r="N125" s="138" t="s">
        <v>84</v>
      </c>
      <c r="O125" s="129"/>
      <c r="P125" s="129"/>
      <c r="Q125" s="129">
        <f t="shared" si="20"/>
        <v>0</v>
      </c>
      <c r="R125" s="129" t="str">
        <f t="shared" si="13"/>
        <v>0h0</v>
      </c>
      <c r="S125" s="138">
        <f t="shared" si="16"/>
        <v>0</v>
      </c>
      <c r="T125" s="129" t="str">
        <f t="shared" si="14"/>
        <v>0h0</v>
      </c>
    </row>
    <row r="126" spans="2:20" x14ac:dyDescent="0.3">
      <c r="B126" s="128">
        <f t="shared" si="17"/>
        <v>46316</v>
      </c>
      <c r="C126" s="129" t="str">
        <f t="shared" si="11"/>
        <v>Wednesday</v>
      </c>
      <c r="D126" s="138" t="s">
        <v>84</v>
      </c>
      <c r="E126" s="129"/>
      <c r="F126" s="129"/>
      <c r="G126" s="129">
        <f t="shared" si="18"/>
        <v>0</v>
      </c>
      <c r="H126" s="129" t="str">
        <f t="shared" si="15"/>
        <v>0h0</v>
      </c>
      <c r="I126" s="138" t="s">
        <v>84</v>
      </c>
      <c r="J126" s="129"/>
      <c r="K126" s="129"/>
      <c r="L126" s="129">
        <f t="shared" si="19"/>
        <v>0</v>
      </c>
      <c r="M126" s="129" t="str">
        <f t="shared" si="12"/>
        <v>0h0</v>
      </c>
      <c r="N126" s="138" t="s">
        <v>84</v>
      </c>
      <c r="O126" s="129"/>
      <c r="P126" s="129"/>
      <c r="Q126" s="129">
        <f t="shared" si="20"/>
        <v>0</v>
      </c>
      <c r="R126" s="129" t="str">
        <f t="shared" si="13"/>
        <v>0h0</v>
      </c>
      <c r="S126" s="138">
        <f t="shared" si="16"/>
        <v>0</v>
      </c>
      <c r="T126" s="129" t="str">
        <f t="shared" si="14"/>
        <v>0h0</v>
      </c>
    </row>
    <row r="127" spans="2:20" x14ac:dyDescent="0.3">
      <c r="B127" s="128">
        <f t="shared" si="17"/>
        <v>46317</v>
      </c>
      <c r="C127" s="129" t="str">
        <f t="shared" si="11"/>
        <v>Thursday</v>
      </c>
      <c r="D127" s="138" t="s">
        <v>84</v>
      </c>
      <c r="E127" s="129"/>
      <c r="F127" s="129"/>
      <c r="G127" s="129">
        <f t="shared" si="18"/>
        <v>0</v>
      </c>
      <c r="H127" s="129" t="str">
        <f t="shared" si="15"/>
        <v>0h0</v>
      </c>
      <c r="I127" s="138" t="s">
        <v>84</v>
      </c>
      <c r="J127" s="129"/>
      <c r="K127" s="129"/>
      <c r="L127" s="129">
        <f t="shared" si="19"/>
        <v>0</v>
      </c>
      <c r="M127" s="129" t="str">
        <f t="shared" si="12"/>
        <v>0h0</v>
      </c>
      <c r="N127" s="138" t="s">
        <v>84</v>
      </c>
      <c r="O127" s="129"/>
      <c r="P127" s="129"/>
      <c r="Q127" s="129">
        <f t="shared" si="20"/>
        <v>0</v>
      </c>
      <c r="R127" s="129" t="str">
        <f t="shared" si="13"/>
        <v>0h0</v>
      </c>
      <c r="S127" s="138">
        <f t="shared" si="16"/>
        <v>0</v>
      </c>
      <c r="T127" s="129" t="str">
        <f t="shared" si="14"/>
        <v>0h0</v>
      </c>
    </row>
    <row r="128" spans="2:20" x14ac:dyDescent="0.3">
      <c r="B128" s="128">
        <f t="shared" si="17"/>
        <v>46318</v>
      </c>
      <c r="C128" s="129" t="str">
        <f t="shared" si="11"/>
        <v>Friday</v>
      </c>
      <c r="D128" s="138" t="s">
        <v>84</v>
      </c>
      <c r="E128" s="129"/>
      <c r="F128" s="129"/>
      <c r="G128" s="129">
        <f t="shared" si="18"/>
        <v>0</v>
      </c>
      <c r="H128" s="129" t="str">
        <f t="shared" si="15"/>
        <v>0h0</v>
      </c>
      <c r="I128" s="138" t="s">
        <v>84</v>
      </c>
      <c r="J128" s="129"/>
      <c r="K128" s="129"/>
      <c r="L128" s="129">
        <f t="shared" si="19"/>
        <v>0</v>
      </c>
      <c r="M128" s="129" t="str">
        <f t="shared" si="12"/>
        <v>0h0</v>
      </c>
      <c r="N128" s="138" t="s">
        <v>84</v>
      </c>
      <c r="O128" s="129"/>
      <c r="P128" s="129"/>
      <c r="Q128" s="129">
        <f t="shared" si="20"/>
        <v>0</v>
      </c>
      <c r="R128" s="129" t="str">
        <f t="shared" si="13"/>
        <v>0h0</v>
      </c>
      <c r="S128" s="138">
        <f t="shared" si="16"/>
        <v>0</v>
      </c>
      <c r="T128" s="129" t="str">
        <f t="shared" si="14"/>
        <v>0h0</v>
      </c>
    </row>
    <row r="129" spans="2:20" x14ac:dyDescent="0.3">
      <c r="B129" s="128">
        <f t="shared" si="17"/>
        <v>46319</v>
      </c>
      <c r="C129" s="129" t="str">
        <f t="shared" si="11"/>
        <v>Saturday</v>
      </c>
      <c r="D129" s="138" t="s">
        <v>84</v>
      </c>
      <c r="E129" s="129"/>
      <c r="F129" s="129"/>
      <c r="G129" s="129">
        <f t="shared" si="18"/>
        <v>0</v>
      </c>
      <c r="H129" s="129" t="str">
        <f t="shared" si="15"/>
        <v>0h0</v>
      </c>
      <c r="I129" s="138" t="s">
        <v>84</v>
      </c>
      <c r="J129" s="129"/>
      <c r="K129" s="129"/>
      <c r="L129" s="129">
        <f t="shared" si="19"/>
        <v>0</v>
      </c>
      <c r="M129" s="129" t="str">
        <f t="shared" si="12"/>
        <v>0h0</v>
      </c>
      <c r="N129" s="138" t="s">
        <v>84</v>
      </c>
      <c r="O129" s="129"/>
      <c r="P129" s="129"/>
      <c r="Q129" s="129">
        <f t="shared" si="20"/>
        <v>0</v>
      </c>
      <c r="R129" s="129" t="str">
        <f t="shared" si="13"/>
        <v>0h0</v>
      </c>
      <c r="S129" s="138">
        <f t="shared" si="16"/>
        <v>0</v>
      </c>
      <c r="T129" s="129" t="str">
        <f t="shared" si="14"/>
        <v>0h0</v>
      </c>
    </row>
    <row r="130" spans="2:20" x14ac:dyDescent="0.3">
      <c r="B130" s="128">
        <f t="shared" si="17"/>
        <v>46320</v>
      </c>
      <c r="C130" s="129" t="str">
        <f t="shared" si="11"/>
        <v>Sunday</v>
      </c>
      <c r="D130" s="138" t="s">
        <v>84</v>
      </c>
      <c r="E130" s="129"/>
      <c r="F130" s="129"/>
      <c r="G130" s="129">
        <f t="shared" si="18"/>
        <v>0</v>
      </c>
      <c r="H130" s="129" t="str">
        <f t="shared" si="15"/>
        <v>0h0</v>
      </c>
      <c r="I130" s="138" t="s">
        <v>84</v>
      </c>
      <c r="J130" s="129"/>
      <c r="K130" s="129"/>
      <c r="L130" s="129">
        <f t="shared" si="19"/>
        <v>0</v>
      </c>
      <c r="M130" s="129" t="str">
        <f t="shared" si="12"/>
        <v>0h0</v>
      </c>
      <c r="N130" s="138" t="s">
        <v>84</v>
      </c>
      <c r="O130" s="129"/>
      <c r="P130" s="129"/>
      <c r="Q130" s="129">
        <f t="shared" si="20"/>
        <v>0</v>
      </c>
      <c r="R130" s="129" t="str">
        <f t="shared" si="13"/>
        <v>0h0</v>
      </c>
      <c r="S130" s="138">
        <f t="shared" si="16"/>
        <v>0</v>
      </c>
      <c r="T130" s="129" t="str">
        <f t="shared" si="14"/>
        <v>0h0</v>
      </c>
    </row>
    <row r="131" spans="2:20" x14ac:dyDescent="0.3">
      <c r="B131" s="128">
        <f t="shared" si="17"/>
        <v>46321</v>
      </c>
      <c r="C131" s="129" t="str">
        <f t="shared" si="11"/>
        <v>Monday</v>
      </c>
      <c r="D131" s="138" t="s">
        <v>84</v>
      </c>
      <c r="E131" s="129"/>
      <c r="F131" s="129"/>
      <c r="G131" s="129">
        <f t="shared" si="18"/>
        <v>0</v>
      </c>
      <c r="H131" s="129" t="str">
        <f t="shared" si="15"/>
        <v>0h0</v>
      </c>
      <c r="I131" s="138" t="s">
        <v>84</v>
      </c>
      <c r="J131" s="129"/>
      <c r="K131" s="129"/>
      <c r="L131" s="129">
        <f t="shared" si="19"/>
        <v>0</v>
      </c>
      <c r="M131" s="129" t="str">
        <f t="shared" si="12"/>
        <v>0h0</v>
      </c>
      <c r="N131" s="138" t="s">
        <v>84</v>
      </c>
      <c r="O131" s="129"/>
      <c r="P131" s="129"/>
      <c r="Q131" s="129">
        <f t="shared" si="20"/>
        <v>0</v>
      </c>
      <c r="R131" s="129" t="str">
        <f t="shared" si="13"/>
        <v>0h0</v>
      </c>
      <c r="S131" s="138">
        <f t="shared" si="16"/>
        <v>0</v>
      </c>
      <c r="T131" s="129" t="str">
        <f t="shared" si="14"/>
        <v>0h0</v>
      </c>
    </row>
    <row r="132" spans="2:20" x14ac:dyDescent="0.3">
      <c r="B132" s="128">
        <f t="shared" si="17"/>
        <v>46322</v>
      </c>
      <c r="C132" s="129" t="str">
        <f t="shared" si="11"/>
        <v>Tuesday</v>
      </c>
      <c r="D132" s="138" t="s">
        <v>84</v>
      </c>
      <c r="E132" s="129"/>
      <c r="F132" s="129"/>
      <c r="G132" s="129">
        <f t="shared" si="18"/>
        <v>0</v>
      </c>
      <c r="H132" s="129" t="str">
        <f t="shared" si="15"/>
        <v>0h0</v>
      </c>
      <c r="I132" s="138" t="s">
        <v>84</v>
      </c>
      <c r="J132" s="129"/>
      <c r="K132" s="129"/>
      <c r="L132" s="129">
        <f t="shared" si="19"/>
        <v>0</v>
      </c>
      <c r="M132" s="129" t="str">
        <f t="shared" si="12"/>
        <v>0h0</v>
      </c>
      <c r="N132" s="138" t="s">
        <v>84</v>
      </c>
      <c r="O132" s="129"/>
      <c r="P132" s="129"/>
      <c r="Q132" s="129">
        <f t="shared" si="20"/>
        <v>0</v>
      </c>
      <c r="R132" s="129" t="str">
        <f t="shared" si="13"/>
        <v>0h0</v>
      </c>
      <c r="S132" s="138">
        <f t="shared" si="16"/>
        <v>0</v>
      </c>
      <c r="T132" s="129" t="str">
        <f t="shared" si="14"/>
        <v>0h0</v>
      </c>
    </row>
    <row r="133" spans="2:20" x14ac:dyDescent="0.3">
      <c r="B133" s="128">
        <f t="shared" si="17"/>
        <v>46323</v>
      </c>
      <c r="C133" s="129" t="str">
        <f t="shared" si="11"/>
        <v>Wednesday</v>
      </c>
      <c r="D133" s="138" t="s">
        <v>84</v>
      </c>
      <c r="E133" s="129"/>
      <c r="F133" s="129"/>
      <c r="G133" s="129">
        <f t="shared" si="18"/>
        <v>0</v>
      </c>
      <c r="H133" s="129" t="str">
        <f t="shared" si="15"/>
        <v>0h0</v>
      </c>
      <c r="I133" s="138" t="s">
        <v>84</v>
      </c>
      <c r="J133" s="129"/>
      <c r="K133" s="129"/>
      <c r="L133" s="129">
        <f t="shared" si="19"/>
        <v>0</v>
      </c>
      <c r="M133" s="129" t="str">
        <f t="shared" si="12"/>
        <v>0h0</v>
      </c>
      <c r="N133" s="138" t="s">
        <v>84</v>
      </c>
      <c r="O133" s="129"/>
      <c r="P133" s="129"/>
      <c r="Q133" s="129">
        <f t="shared" si="20"/>
        <v>0</v>
      </c>
      <c r="R133" s="129" t="str">
        <f t="shared" si="13"/>
        <v>0h0</v>
      </c>
      <c r="S133" s="138">
        <f t="shared" si="16"/>
        <v>0</v>
      </c>
      <c r="T133" s="129" t="str">
        <f t="shared" si="14"/>
        <v>0h0</v>
      </c>
    </row>
    <row r="134" spans="2:20" x14ac:dyDescent="0.3">
      <c r="B134" s="128">
        <f t="shared" si="17"/>
        <v>46324</v>
      </c>
      <c r="C134" s="129" t="str">
        <f t="shared" ref="C134:C197" si="21">CHOOSE(WEEKDAY(B134,2),"Monday","Tuesday","Wednesday","Thursday","Friday","Saturday","Sunday")</f>
        <v>Thursday</v>
      </c>
      <c r="D134" s="138" t="s">
        <v>84</v>
      </c>
      <c r="E134" s="129"/>
      <c r="F134" s="129"/>
      <c r="G134" s="129">
        <f t="shared" si="18"/>
        <v>0</v>
      </c>
      <c r="H134" s="129" t="str">
        <f t="shared" si="15"/>
        <v>0h0</v>
      </c>
      <c r="I134" s="138" t="s">
        <v>84</v>
      </c>
      <c r="J134" s="129"/>
      <c r="K134" s="129"/>
      <c r="L134" s="129">
        <f t="shared" si="19"/>
        <v>0</v>
      </c>
      <c r="M134" s="129" t="str">
        <f t="shared" ref="M134:M197" si="22">ROUNDDOWN(L134/60, 0)&amp;"h"&amp;ROUNDUP((L134/60-ROUNDDOWN(L134/60, 0))*60,0)</f>
        <v>0h0</v>
      </c>
      <c r="N134" s="138" t="s">
        <v>84</v>
      </c>
      <c r="O134" s="129"/>
      <c r="P134" s="129"/>
      <c r="Q134" s="129">
        <f t="shared" si="20"/>
        <v>0</v>
      </c>
      <c r="R134" s="129" t="str">
        <f t="shared" ref="R134:R197" si="23">ROUNDDOWN(Q134/60, 0)&amp;"h"&amp;ROUNDUP((Q134/60-ROUNDDOWN(Q134/60, 0))*60,0)</f>
        <v>0h0</v>
      </c>
      <c r="S134" s="138">
        <f t="shared" si="16"/>
        <v>0</v>
      </c>
      <c r="T134" s="129" t="str">
        <f t="shared" ref="T134:T197" si="24">ROUNDDOWN(S134/60, 0)&amp;"h"&amp;ROUNDUP((S134/60-ROUNDDOWN(S134/60, 0))*60,0)</f>
        <v>0h0</v>
      </c>
    </row>
    <row r="135" spans="2:20" x14ac:dyDescent="0.3">
      <c r="B135" s="128">
        <f t="shared" si="17"/>
        <v>46325</v>
      </c>
      <c r="C135" s="129" t="str">
        <f t="shared" si="21"/>
        <v>Friday</v>
      </c>
      <c r="D135" s="138" t="s">
        <v>84</v>
      </c>
      <c r="E135" s="129"/>
      <c r="F135" s="129"/>
      <c r="G135" s="129">
        <f t="shared" si="18"/>
        <v>0</v>
      </c>
      <c r="H135" s="129" t="str">
        <f t="shared" ref="H135:H198" si="25">ROUNDDOWN(G135/60, 0)&amp;"h"&amp;ROUNDUP((G135/60-ROUNDDOWN(G135/60, 0))*60,0)</f>
        <v>0h0</v>
      </c>
      <c r="I135" s="138" t="s">
        <v>84</v>
      </c>
      <c r="J135" s="129"/>
      <c r="K135" s="129"/>
      <c r="L135" s="129">
        <f t="shared" si="19"/>
        <v>0</v>
      </c>
      <c r="M135" s="129" t="str">
        <f t="shared" si="22"/>
        <v>0h0</v>
      </c>
      <c r="N135" s="138" t="s">
        <v>84</v>
      </c>
      <c r="O135" s="129"/>
      <c r="P135" s="129"/>
      <c r="Q135" s="129">
        <f t="shared" si="20"/>
        <v>0</v>
      </c>
      <c r="R135" s="129" t="str">
        <f t="shared" si="23"/>
        <v>0h0</v>
      </c>
      <c r="S135" s="138">
        <f t="shared" ref="S135:S198" si="26">G135+L135+Q135</f>
        <v>0</v>
      </c>
      <c r="T135" s="129" t="str">
        <f t="shared" si="24"/>
        <v>0h0</v>
      </c>
    </row>
    <row r="136" spans="2:20" x14ac:dyDescent="0.3">
      <c r="B136" s="128">
        <f t="shared" ref="B136:B199" si="27">B135+1</f>
        <v>46326</v>
      </c>
      <c r="C136" s="129" t="str">
        <f t="shared" si="21"/>
        <v>Saturday</v>
      </c>
      <c r="D136" s="138" t="s">
        <v>84</v>
      </c>
      <c r="E136" s="129"/>
      <c r="F136" s="129"/>
      <c r="G136" s="129">
        <f t="shared" ref="G136:G199" si="28">E136*25+F136</f>
        <v>0</v>
      </c>
      <c r="H136" s="129" t="str">
        <f t="shared" si="25"/>
        <v>0h0</v>
      </c>
      <c r="I136" s="138" t="s">
        <v>84</v>
      </c>
      <c r="J136" s="129"/>
      <c r="K136" s="129"/>
      <c r="L136" s="129">
        <f t="shared" ref="L136:L199" si="29">J136*25+K136</f>
        <v>0</v>
      </c>
      <c r="M136" s="129" t="str">
        <f t="shared" si="22"/>
        <v>0h0</v>
      </c>
      <c r="N136" s="138" t="s">
        <v>84</v>
      </c>
      <c r="O136" s="129"/>
      <c r="P136" s="129"/>
      <c r="Q136" s="129">
        <f t="shared" ref="Q136:Q199" si="30">O136*25+P136</f>
        <v>0</v>
      </c>
      <c r="R136" s="129" t="str">
        <f t="shared" si="23"/>
        <v>0h0</v>
      </c>
      <c r="S136" s="138">
        <f t="shared" si="26"/>
        <v>0</v>
      </c>
      <c r="T136" s="129" t="str">
        <f t="shared" si="24"/>
        <v>0h0</v>
      </c>
    </row>
    <row r="137" spans="2:20" x14ac:dyDescent="0.3">
      <c r="B137" s="128">
        <f t="shared" si="27"/>
        <v>46327</v>
      </c>
      <c r="C137" s="129" t="str">
        <f t="shared" si="21"/>
        <v>Sunday</v>
      </c>
      <c r="D137" s="138" t="s">
        <v>84</v>
      </c>
      <c r="E137" s="129"/>
      <c r="F137" s="129"/>
      <c r="G137" s="129">
        <f t="shared" si="28"/>
        <v>0</v>
      </c>
      <c r="H137" s="129" t="str">
        <f t="shared" si="25"/>
        <v>0h0</v>
      </c>
      <c r="I137" s="138" t="s">
        <v>84</v>
      </c>
      <c r="J137" s="129"/>
      <c r="K137" s="129"/>
      <c r="L137" s="129">
        <f t="shared" si="29"/>
        <v>0</v>
      </c>
      <c r="M137" s="129" t="str">
        <f t="shared" si="22"/>
        <v>0h0</v>
      </c>
      <c r="N137" s="138" t="s">
        <v>84</v>
      </c>
      <c r="O137" s="129"/>
      <c r="P137" s="129"/>
      <c r="Q137" s="129">
        <f t="shared" si="30"/>
        <v>0</v>
      </c>
      <c r="R137" s="129" t="str">
        <f t="shared" si="23"/>
        <v>0h0</v>
      </c>
      <c r="S137" s="138">
        <f t="shared" si="26"/>
        <v>0</v>
      </c>
      <c r="T137" s="129" t="str">
        <f t="shared" si="24"/>
        <v>0h0</v>
      </c>
    </row>
    <row r="138" spans="2:20" x14ac:dyDescent="0.3">
      <c r="B138" s="128">
        <f t="shared" si="27"/>
        <v>46328</v>
      </c>
      <c r="C138" s="129" t="str">
        <f t="shared" si="21"/>
        <v>Monday</v>
      </c>
      <c r="D138" s="138" t="s">
        <v>84</v>
      </c>
      <c r="E138" s="129"/>
      <c r="F138" s="129"/>
      <c r="G138" s="129">
        <f t="shared" si="28"/>
        <v>0</v>
      </c>
      <c r="H138" s="129" t="str">
        <f t="shared" si="25"/>
        <v>0h0</v>
      </c>
      <c r="I138" s="138" t="s">
        <v>84</v>
      </c>
      <c r="J138" s="129"/>
      <c r="K138" s="129"/>
      <c r="L138" s="129">
        <f t="shared" si="29"/>
        <v>0</v>
      </c>
      <c r="M138" s="129" t="str">
        <f t="shared" si="22"/>
        <v>0h0</v>
      </c>
      <c r="N138" s="138" t="s">
        <v>84</v>
      </c>
      <c r="O138" s="129"/>
      <c r="P138" s="129"/>
      <c r="Q138" s="129">
        <f t="shared" si="30"/>
        <v>0</v>
      </c>
      <c r="R138" s="129" t="str">
        <f t="shared" si="23"/>
        <v>0h0</v>
      </c>
      <c r="S138" s="138">
        <f t="shared" si="26"/>
        <v>0</v>
      </c>
      <c r="T138" s="129" t="str">
        <f t="shared" si="24"/>
        <v>0h0</v>
      </c>
    </row>
    <row r="139" spans="2:20" x14ac:dyDescent="0.3">
      <c r="B139" s="128">
        <f t="shared" si="27"/>
        <v>46329</v>
      </c>
      <c r="C139" s="129" t="str">
        <f t="shared" si="21"/>
        <v>Tuesday</v>
      </c>
      <c r="D139" s="138" t="s">
        <v>84</v>
      </c>
      <c r="E139" s="129"/>
      <c r="F139" s="129"/>
      <c r="G139" s="129">
        <f t="shared" si="28"/>
        <v>0</v>
      </c>
      <c r="H139" s="129" t="str">
        <f t="shared" si="25"/>
        <v>0h0</v>
      </c>
      <c r="I139" s="138" t="s">
        <v>84</v>
      </c>
      <c r="J139" s="129"/>
      <c r="K139" s="129"/>
      <c r="L139" s="129">
        <f t="shared" si="29"/>
        <v>0</v>
      </c>
      <c r="M139" s="129" t="str">
        <f t="shared" si="22"/>
        <v>0h0</v>
      </c>
      <c r="N139" s="138" t="s">
        <v>84</v>
      </c>
      <c r="O139" s="129"/>
      <c r="P139" s="129"/>
      <c r="Q139" s="129">
        <f t="shared" si="30"/>
        <v>0</v>
      </c>
      <c r="R139" s="129" t="str">
        <f t="shared" si="23"/>
        <v>0h0</v>
      </c>
      <c r="S139" s="138">
        <f t="shared" si="26"/>
        <v>0</v>
      </c>
      <c r="T139" s="129" t="str">
        <f t="shared" si="24"/>
        <v>0h0</v>
      </c>
    </row>
    <row r="140" spans="2:20" x14ac:dyDescent="0.3">
      <c r="B140" s="128">
        <f t="shared" si="27"/>
        <v>46330</v>
      </c>
      <c r="C140" s="129" t="str">
        <f t="shared" si="21"/>
        <v>Wednesday</v>
      </c>
      <c r="D140" s="138" t="s">
        <v>84</v>
      </c>
      <c r="E140" s="129"/>
      <c r="F140" s="129"/>
      <c r="G140" s="129">
        <f t="shared" si="28"/>
        <v>0</v>
      </c>
      <c r="H140" s="129" t="str">
        <f t="shared" si="25"/>
        <v>0h0</v>
      </c>
      <c r="I140" s="138" t="s">
        <v>84</v>
      </c>
      <c r="J140" s="129"/>
      <c r="K140" s="129"/>
      <c r="L140" s="129">
        <f t="shared" si="29"/>
        <v>0</v>
      </c>
      <c r="M140" s="129" t="str">
        <f t="shared" si="22"/>
        <v>0h0</v>
      </c>
      <c r="N140" s="138" t="s">
        <v>84</v>
      </c>
      <c r="O140" s="129"/>
      <c r="P140" s="129"/>
      <c r="Q140" s="129">
        <f t="shared" si="30"/>
        <v>0</v>
      </c>
      <c r="R140" s="129" t="str">
        <f t="shared" si="23"/>
        <v>0h0</v>
      </c>
      <c r="S140" s="138">
        <f t="shared" si="26"/>
        <v>0</v>
      </c>
      <c r="T140" s="129" t="str">
        <f t="shared" si="24"/>
        <v>0h0</v>
      </c>
    </row>
    <row r="141" spans="2:20" x14ac:dyDescent="0.3">
      <c r="B141" s="128">
        <f t="shared" si="27"/>
        <v>46331</v>
      </c>
      <c r="C141" s="129" t="str">
        <f t="shared" si="21"/>
        <v>Thursday</v>
      </c>
      <c r="D141" s="138" t="s">
        <v>84</v>
      </c>
      <c r="E141" s="129"/>
      <c r="F141" s="129"/>
      <c r="G141" s="129">
        <f t="shared" si="28"/>
        <v>0</v>
      </c>
      <c r="H141" s="129" t="str">
        <f t="shared" si="25"/>
        <v>0h0</v>
      </c>
      <c r="I141" s="138" t="s">
        <v>84</v>
      </c>
      <c r="J141" s="129"/>
      <c r="K141" s="129"/>
      <c r="L141" s="129">
        <f t="shared" si="29"/>
        <v>0</v>
      </c>
      <c r="M141" s="129" t="str">
        <f t="shared" si="22"/>
        <v>0h0</v>
      </c>
      <c r="N141" s="138" t="s">
        <v>84</v>
      </c>
      <c r="O141" s="129"/>
      <c r="P141" s="129"/>
      <c r="Q141" s="129">
        <f t="shared" si="30"/>
        <v>0</v>
      </c>
      <c r="R141" s="129" t="str">
        <f t="shared" si="23"/>
        <v>0h0</v>
      </c>
      <c r="S141" s="138">
        <f t="shared" si="26"/>
        <v>0</v>
      </c>
      <c r="T141" s="129" t="str">
        <f t="shared" si="24"/>
        <v>0h0</v>
      </c>
    </row>
    <row r="142" spans="2:20" x14ac:dyDescent="0.3">
      <c r="B142" s="128">
        <f t="shared" si="27"/>
        <v>46332</v>
      </c>
      <c r="C142" s="129" t="str">
        <f t="shared" si="21"/>
        <v>Friday</v>
      </c>
      <c r="D142" s="138" t="s">
        <v>84</v>
      </c>
      <c r="E142" s="129"/>
      <c r="F142" s="129"/>
      <c r="G142" s="129">
        <f t="shared" si="28"/>
        <v>0</v>
      </c>
      <c r="H142" s="129" t="str">
        <f t="shared" si="25"/>
        <v>0h0</v>
      </c>
      <c r="I142" s="138" t="s">
        <v>84</v>
      </c>
      <c r="J142" s="129"/>
      <c r="K142" s="129"/>
      <c r="L142" s="129">
        <f t="shared" si="29"/>
        <v>0</v>
      </c>
      <c r="M142" s="129" t="str">
        <f t="shared" si="22"/>
        <v>0h0</v>
      </c>
      <c r="N142" s="138" t="s">
        <v>84</v>
      </c>
      <c r="O142" s="129"/>
      <c r="P142" s="129"/>
      <c r="Q142" s="129">
        <f t="shared" si="30"/>
        <v>0</v>
      </c>
      <c r="R142" s="129" t="str">
        <f t="shared" si="23"/>
        <v>0h0</v>
      </c>
      <c r="S142" s="138">
        <f t="shared" si="26"/>
        <v>0</v>
      </c>
      <c r="T142" s="129" t="str">
        <f t="shared" si="24"/>
        <v>0h0</v>
      </c>
    </row>
    <row r="143" spans="2:20" x14ac:dyDescent="0.3">
      <c r="B143" s="128">
        <f t="shared" si="27"/>
        <v>46333</v>
      </c>
      <c r="C143" s="129" t="str">
        <f t="shared" si="21"/>
        <v>Saturday</v>
      </c>
      <c r="D143" s="138" t="s">
        <v>84</v>
      </c>
      <c r="E143" s="129"/>
      <c r="F143" s="129"/>
      <c r="G143" s="129">
        <f t="shared" si="28"/>
        <v>0</v>
      </c>
      <c r="H143" s="129" t="str">
        <f t="shared" si="25"/>
        <v>0h0</v>
      </c>
      <c r="I143" s="138" t="s">
        <v>84</v>
      </c>
      <c r="J143" s="129"/>
      <c r="K143" s="129"/>
      <c r="L143" s="129">
        <f t="shared" si="29"/>
        <v>0</v>
      </c>
      <c r="M143" s="129" t="str">
        <f t="shared" si="22"/>
        <v>0h0</v>
      </c>
      <c r="N143" s="138" t="s">
        <v>84</v>
      </c>
      <c r="O143" s="129"/>
      <c r="P143" s="129"/>
      <c r="Q143" s="129">
        <f t="shared" si="30"/>
        <v>0</v>
      </c>
      <c r="R143" s="129" t="str">
        <f t="shared" si="23"/>
        <v>0h0</v>
      </c>
      <c r="S143" s="138">
        <f t="shared" si="26"/>
        <v>0</v>
      </c>
      <c r="T143" s="129" t="str">
        <f t="shared" si="24"/>
        <v>0h0</v>
      </c>
    </row>
    <row r="144" spans="2:20" x14ac:dyDescent="0.3">
      <c r="B144" s="128">
        <f t="shared" si="27"/>
        <v>46334</v>
      </c>
      <c r="C144" s="129" t="str">
        <f t="shared" si="21"/>
        <v>Sunday</v>
      </c>
      <c r="D144" s="138" t="s">
        <v>84</v>
      </c>
      <c r="E144" s="129"/>
      <c r="F144" s="129"/>
      <c r="G144" s="129">
        <f t="shared" si="28"/>
        <v>0</v>
      </c>
      <c r="H144" s="129" t="str">
        <f t="shared" si="25"/>
        <v>0h0</v>
      </c>
      <c r="I144" s="138" t="s">
        <v>84</v>
      </c>
      <c r="J144" s="129"/>
      <c r="K144" s="129"/>
      <c r="L144" s="129">
        <f t="shared" si="29"/>
        <v>0</v>
      </c>
      <c r="M144" s="129" t="str">
        <f t="shared" si="22"/>
        <v>0h0</v>
      </c>
      <c r="N144" s="138" t="s">
        <v>84</v>
      </c>
      <c r="O144" s="129"/>
      <c r="P144" s="129"/>
      <c r="Q144" s="129">
        <f t="shared" si="30"/>
        <v>0</v>
      </c>
      <c r="R144" s="129" t="str">
        <f t="shared" si="23"/>
        <v>0h0</v>
      </c>
      <c r="S144" s="138">
        <f t="shared" si="26"/>
        <v>0</v>
      </c>
      <c r="T144" s="129" t="str">
        <f t="shared" si="24"/>
        <v>0h0</v>
      </c>
    </row>
    <row r="145" spans="2:20" x14ac:dyDescent="0.3">
      <c r="B145" s="128">
        <f t="shared" si="27"/>
        <v>46335</v>
      </c>
      <c r="C145" s="129" t="str">
        <f t="shared" si="21"/>
        <v>Monday</v>
      </c>
      <c r="D145" s="138" t="s">
        <v>84</v>
      </c>
      <c r="E145" s="129"/>
      <c r="F145" s="129"/>
      <c r="G145" s="129">
        <f t="shared" si="28"/>
        <v>0</v>
      </c>
      <c r="H145" s="129" t="str">
        <f t="shared" si="25"/>
        <v>0h0</v>
      </c>
      <c r="I145" s="138" t="s">
        <v>84</v>
      </c>
      <c r="J145" s="129"/>
      <c r="K145" s="129"/>
      <c r="L145" s="129">
        <f t="shared" si="29"/>
        <v>0</v>
      </c>
      <c r="M145" s="129" t="str">
        <f t="shared" si="22"/>
        <v>0h0</v>
      </c>
      <c r="N145" s="138" t="s">
        <v>84</v>
      </c>
      <c r="O145" s="129"/>
      <c r="P145" s="129"/>
      <c r="Q145" s="129">
        <f t="shared" si="30"/>
        <v>0</v>
      </c>
      <c r="R145" s="129" t="str">
        <f t="shared" si="23"/>
        <v>0h0</v>
      </c>
      <c r="S145" s="138">
        <f t="shared" si="26"/>
        <v>0</v>
      </c>
      <c r="T145" s="129" t="str">
        <f t="shared" si="24"/>
        <v>0h0</v>
      </c>
    </row>
    <row r="146" spans="2:20" x14ac:dyDescent="0.3">
      <c r="B146" s="128">
        <f t="shared" si="27"/>
        <v>46336</v>
      </c>
      <c r="C146" s="129" t="str">
        <f t="shared" si="21"/>
        <v>Tuesday</v>
      </c>
      <c r="D146" s="138" t="s">
        <v>84</v>
      </c>
      <c r="E146" s="129"/>
      <c r="F146" s="129"/>
      <c r="G146" s="129">
        <f t="shared" si="28"/>
        <v>0</v>
      </c>
      <c r="H146" s="129" t="str">
        <f t="shared" si="25"/>
        <v>0h0</v>
      </c>
      <c r="I146" s="138" t="s">
        <v>84</v>
      </c>
      <c r="J146" s="129"/>
      <c r="K146" s="129"/>
      <c r="L146" s="129">
        <f t="shared" si="29"/>
        <v>0</v>
      </c>
      <c r="M146" s="129" t="str">
        <f t="shared" si="22"/>
        <v>0h0</v>
      </c>
      <c r="N146" s="138" t="s">
        <v>84</v>
      </c>
      <c r="O146" s="129"/>
      <c r="P146" s="129"/>
      <c r="Q146" s="129">
        <f t="shared" si="30"/>
        <v>0</v>
      </c>
      <c r="R146" s="129" t="str">
        <f t="shared" si="23"/>
        <v>0h0</v>
      </c>
      <c r="S146" s="138">
        <f t="shared" si="26"/>
        <v>0</v>
      </c>
      <c r="T146" s="129" t="str">
        <f t="shared" si="24"/>
        <v>0h0</v>
      </c>
    </row>
    <row r="147" spans="2:20" x14ac:dyDescent="0.3">
      <c r="B147" s="128">
        <f t="shared" si="27"/>
        <v>46337</v>
      </c>
      <c r="C147" s="129" t="str">
        <f t="shared" si="21"/>
        <v>Wednesday</v>
      </c>
      <c r="D147" s="138" t="s">
        <v>84</v>
      </c>
      <c r="E147" s="129"/>
      <c r="F147" s="129"/>
      <c r="G147" s="129">
        <f t="shared" si="28"/>
        <v>0</v>
      </c>
      <c r="H147" s="129" t="str">
        <f t="shared" si="25"/>
        <v>0h0</v>
      </c>
      <c r="I147" s="138" t="s">
        <v>84</v>
      </c>
      <c r="J147" s="129"/>
      <c r="K147" s="129"/>
      <c r="L147" s="129">
        <f t="shared" si="29"/>
        <v>0</v>
      </c>
      <c r="M147" s="129" t="str">
        <f t="shared" si="22"/>
        <v>0h0</v>
      </c>
      <c r="N147" s="138" t="s">
        <v>84</v>
      </c>
      <c r="O147" s="129"/>
      <c r="P147" s="129"/>
      <c r="Q147" s="129">
        <f t="shared" si="30"/>
        <v>0</v>
      </c>
      <c r="R147" s="129" t="str">
        <f t="shared" si="23"/>
        <v>0h0</v>
      </c>
      <c r="S147" s="138">
        <f t="shared" si="26"/>
        <v>0</v>
      </c>
      <c r="T147" s="129" t="str">
        <f t="shared" si="24"/>
        <v>0h0</v>
      </c>
    </row>
    <row r="148" spans="2:20" x14ac:dyDescent="0.3">
      <c r="B148" s="128">
        <f t="shared" si="27"/>
        <v>46338</v>
      </c>
      <c r="C148" s="129" t="str">
        <f t="shared" si="21"/>
        <v>Thursday</v>
      </c>
      <c r="D148" s="138" t="s">
        <v>84</v>
      </c>
      <c r="E148" s="129"/>
      <c r="F148" s="129"/>
      <c r="G148" s="129">
        <f t="shared" si="28"/>
        <v>0</v>
      </c>
      <c r="H148" s="129" t="str">
        <f t="shared" si="25"/>
        <v>0h0</v>
      </c>
      <c r="I148" s="138" t="s">
        <v>84</v>
      </c>
      <c r="J148" s="129"/>
      <c r="K148" s="129"/>
      <c r="L148" s="129">
        <f t="shared" si="29"/>
        <v>0</v>
      </c>
      <c r="M148" s="129" t="str">
        <f t="shared" si="22"/>
        <v>0h0</v>
      </c>
      <c r="N148" s="138" t="s">
        <v>84</v>
      </c>
      <c r="O148" s="129"/>
      <c r="P148" s="129"/>
      <c r="Q148" s="129">
        <f t="shared" si="30"/>
        <v>0</v>
      </c>
      <c r="R148" s="129" t="str">
        <f t="shared" si="23"/>
        <v>0h0</v>
      </c>
      <c r="S148" s="138">
        <f t="shared" si="26"/>
        <v>0</v>
      </c>
      <c r="T148" s="129" t="str">
        <f t="shared" si="24"/>
        <v>0h0</v>
      </c>
    </row>
    <row r="149" spans="2:20" x14ac:dyDescent="0.3">
      <c r="B149" s="128">
        <f t="shared" si="27"/>
        <v>46339</v>
      </c>
      <c r="C149" s="129" t="str">
        <f t="shared" si="21"/>
        <v>Friday</v>
      </c>
      <c r="D149" s="138" t="s">
        <v>84</v>
      </c>
      <c r="E149" s="129"/>
      <c r="F149" s="129"/>
      <c r="G149" s="129">
        <f t="shared" si="28"/>
        <v>0</v>
      </c>
      <c r="H149" s="129" t="str">
        <f t="shared" si="25"/>
        <v>0h0</v>
      </c>
      <c r="I149" s="138" t="s">
        <v>84</v>
      </c>
      <c r="J149" s="129"/>
      <c r="K149" s="129"/>
      <c r="L149" s="129">
        <f t="shared" si="29"/>
        <v>0</v>
      </c>
      <c r="M149" s="129" t="str">
        <f t="shared" si="22"/>
        <v>0h0</v>
      </c>
      <c r="N149" s="138" t="s">
        <v>84</v>
      </c>
      <c r="O149" s="129"/>
      <c r="P149" s="129"/>
      <c r="Q149" s="129">
        <f t="shared" si="30"/>
        <v>0</v>
      </c>
      <c r="R149" s="129" t="str">
        <f t="shared" si="23"/>
        <v>0h0</v>
      </c>
      <c r="S149" s="138">
        <f t="shared" si="26"/>
        <v>0</v>
      </c>
      <c r="T149" s="129" t="str">
        <f t="shared" si="24"/>
        <v>0h0</v>
      </c>
    </row>
    <row r="150" spans="2:20" x14ac:dyDescent="0.3">
      <c r="B150" s="128">
        <f t="shared" si="27"/>
        <v>46340</v>
      </c>
      <c r="C150" s="129" t="str">
        <f t="shared" si="21"/>
        <v>Saturday</v>
      </c>
      <c r="D150" s="138" t="s">
        <v>84</v>
      </c>
      <c r="E150" s="129"/>
      <c r="F150" s="129"/>
      <c r="G150" s="129">
        <f t="shared" si="28"/>
        <v>0</v>
      </c>
      <c r="H150" s="129" t="str">
        <f t="shared" si="25"/>
        <v>0h0</v>
      </c>
      <c r="I150" s="138" t="s">
        <v>84</v>
      </c>
      <c r="J150" s="129"/>
      <c r="K150" s="129"/>
      <c r="L150" s="129">
        <f t="shared" si="29"/>
        <v>0</v>
      </c>
      <c r="M150" s="129" t="str">
        <f t="shared" si="22"/>
        <v>0h0</v>
      </c>
      <c r="N150" s="138" t="s">
        <v>84</v>
      </c>
      <c r="O150" s="129"/>
      <c r="P150" s="129"/>
      <c r="Q150" s="129">
        <f t="shared" si="30"/>
        <v>0</v>
      </c>
      <c r="R150" s="129" t="str">
        <f t="shared" si="23"/>
        <v>0h0</v>
      </c>
      <c r="S150" s="138">
        <f t="shared" si="26"/>
        <v>0</v>
      </c>
      <c r="T150" s="129" t="str">
        <f t="shared" si="24"/>
        <v>0h0</v>
      </c>
    </row>
    <row r="151" spans="2:20" x14ac:dyDescent="0.3">
      <c r="B151" s="128">
        <f t="shared" si="27"/>
        <v>46341</v>
      </c>
      <c r="C151" s="129" t="str">
        <f t="shared" si="21"/>
        <v>Sunday</v>
      </c>
      <c r="D151" s="138" t="s">
        <v>84</v>
      </c>
      <c r="E151" s="129"/>
      <c r="F151" s="129"/>
      <c r="G151" s="129">
        <f t="shared" si="28"/>
        <v>0</v>
      </c>
      <c r="H151" s="129" t="str">
        <f t="shared" si="25"/>
        <v>0h0</v>
      </c>
      <c r="I151" s="138" t="s">
        <v>84</v>
      </c>
      <c r="J151" s="129"/>
      <c r="K151" s="129"/>
      <c r="L151" s="129">
        <f t="shared" si="29"/>
        <v>0</v>
      </c>
      <c r="M151" s="129" t="str">
        <f t="shared" si="22"/>
        <v>0h0</v>
      </c>
      <c r="N151" s="138" t="s">
        <v>84</v>
      </c>
      <c r="O151" s="129"/>
      <c r="P151" s="129"/>
      <c r="Q151" s="129">
        <f t="shared" si="30"/>
        <v>0</v>
      </c>
      <c r="R151" s="129" t="str">
        <f t="shared" si="23"/>
        <v>0h0</v>
      </c>
      <c r="S151" s="138">
        <f t="shared" si="26"/>
        <v>0</v>
      </c>
      <c r="T151" s="129" t="str">
        <f t="shared" si="24"/>
        <v>0h0</v>
      </c>
    </row>
    <row r="152" spans="2:20" x14ac:dyDescent="0.3">
      <c r="B152" s="128">
        <f t="shared" si="27"/>
        <v>46342</v>
      </c>
      <c r="C152" s="129" t="str">
        <f t="shared" si="21"/>
        <v>Monday</v>
      </c>
      <c r="D152" s="138" t="s">
        <v>84</v>
      </c>
      <c r="E152" s="129"/>
      <c r="F152" s="129"/>
      <c r="G152" s="129">
        <f t="shared" si="28"/>
        <v>0</v>
      </c>
      <c r="H152" s="129" t="str">
        <f t="shared" si="25"/>
        <v>0h0</v>
      </c>
      <c r="I152" s="138" t="s">
        <v>84</v>
      </c>
      <c r="J152" s="129"/>
      <c r="K152" s="129"/>
      <c r="L152" s="129">
        <f t="shared" si="29"/>
        <v>0</v>
      </c>
      <c r="M152" s="129" t="str">
        <f t="shared" si="22"/>
        <v>0h0</v>
      </c>
      <c r="N152" s="138" t="s">
        <v>84</v>
      </c>
      <c r="O152" s="129"/>
      <c r="P152" s="129"/>
      <c r="Q152" s="129">
        <f t="shared" si="30"/>
        <v>0</v>
      </c>
      <c r="R152" s="129" t="str">
        <f t="shared" si="23"/>
        <v>0h0</v>
      </c>
      <c r="S152" s="138">
        <f t="shared" si="26"/>
        <v>0</v>
      </c>
      <c r="T152" s="129" t="str">
        <f t="shared" si="24"/>
        <v>0h0</v>
      </c>
    </row>
    <row r="153" spans="2:20" x14ac:dyDescent="0.3">
      <c r="B153" s="128">
        <f t="shared" si="27"/>
        <v>46343</v>
      </c>
      <c r="C153" s="129" t="str">
        <f t="shared" si="21"/>
        <v>Tuesday</v>
      </c>
      <c r="D153" s="138" t="s">
        <v>84</v>
      </c>
      <c r="E153" s="129"/>
      <c r="F153" s="129"/>
      <c r="G153" s="129">
        <f t="shared" si="28"/>
        <v>0</v>
      </c>
      <c r="H153" s="129" t="str">
        <f t="shared" si="25"/>
        <v>0h0</v>
      </c>
      <c r="I153" s="138" t="s">
        <v>84</v>
      </c>
      <c r="J153" s="129"/>
      <c r="K153" s="129"/>
      <c r="L153" s="129">
        <f t="shared" si="29"/>
        <v>0</v>
      </c>
      <c r="M153" s="129" t="str">
        <f t="shared" si="22"/>
        <v>0h0</v>
      </c>
      <c r="N153" s="138" t="s">
        <v>84</v>
      </c>
      <c r="O153" s="129"/>
      <c r="P153" s="129"/>
      <c r="Q153" s="129">
        <f t="shared" si="30"/>
        <v>0</v>
      </c>
      <c r="R153" s="129" t="str">
        <f t="shared" si="23"/>
        <v>0h0</v>
      </c>
      <c r="S153" s="138">
        <f t="shared" si="26"/>
        <v>0</v>
      </c>
      <c r="T153" s="129" t="str">
        <f t="shared" si="24"/>
        <v>0h0</v>
      </c>
    </row>
    <row r="154" spans="2:20" x14ac:dyDescent="0.3">
      <c r="B154" s="128">
        <f t="shared" si="27"/>
        <v>46344</v>
      </c>
      <c r="C154" s="129" t="str">
        <f t="shared" si="21"/>
        <v>Wednesday</v>
      </c>
      <c r="D154" s="138" t="s">
        <v>84</v>
      </c>
      <c r="E154" s="129"/>
      <c r="F154" s="129"/>
      <c r="G154" s="129">
        <f t="shared" si="28"/>
        <v>0</v>
      </c>
      <c r="H154" s="129" t="str">
        <f t="shared" si="25"/>
        <v>0h0</v>
      </c>
      <c r="I154" s="138" t="s">
        <v>84</v>
      </c>
      <c r="J154" s="129"/>
      <c r="K154" s="129"/>
      <c r="L154" s="129">
        <f t="shared" si="29"/>
        <v>0</v>
      </c>
      <c r="M154" s="129" t="str">
        <f t="shared" si="22"/>
        <v>0h0</v>
      </c>
      <c r="N154" s="138" t="s">
        <v>84</v>
      </c>
      <c r="O154" s="129"/>
      <c r="P154" s="129"/>
      <c r="Q154" s="129">
        <f t="shared" si="30"/>
        <v>0</v>
      </c>
      <c r="R154" s="129" t="str">
        <f t="shared" si="23"/>
        <v>0h0</v>
      </c>
      <c r="S154" s="138">
        <f t="shared" si="26"/>
        <v>0</v>
      </c>
      <c r="T154" s="129" t="str">
        <f t="shared" si="24"/>
        <v>0h0</v>
      </c>
    </row>
    <row r="155" spans="2:20" x14ac:dyDescent="0.3">
      <c r="B155" s="128">
        <f t="shared" si="27"/>
        <v>46345</v>
      </c>
      <c r="C155" s="129" t="str">
        <f t="shared" si="21"/>
        <v>Thursday</v>
      </c>
      <c r="D155" s="138" t="s">
        <v>84</v>
      </c>
      <c r="E155" s="129"/>
      <c r="F155" s="129"/>
      <c r="G155" s="129">
        <f t="shared" si="28"/>
        <v>0</v>
      </c>
      <c r="H155" s="129" t="str">
        <f t="shared" si="25"/>
        <v>0h0</v>
      </c>
      <c r="I155" s="138" t="s">
        <v>84</v>
      </c>
      <c r="J155" s="129"/>
      <c r="K155" s="129"/>
      <c r="L155" s="129">
        <f t="shared" si="29"/>
        <v>0</v>
      </c>
      <c r="M155" s="129" t="str">
        <f t="shared" si="22"/>
        <v>0h0</v>
      </c>
      <c r="N155" s="138" t="s">
        <v>84</v>
      </c>
      <c r="O155" s="129"/>
      <c r="P155" s="129"/>
      <c r="Q155" s="129">
        <f t="shared" si="30"/>
        <v>0</v>
      </c>
      <c r="R155" s="129" t="str">
        <f t="shared" si="23"/>
        <v>0h0</v>
      </c>
      <c r="S155" s="138">
        <f t="shared" si="26"/>
        <v>0</v>
      </c>
      <c r="T155" s="129" t="str">
        <f t="shared" si="24"/>
        <v>0h0</v>
      </c>
    </row>
    <row r="156" spans="2:20" x14ac:dyDescent="0.3">
      <c r="B156" s="128">
        <f t="shared" si="27"/>
        <v>46346</v>
      </c>
      <c r="C156" s="129" t="str">
        <f t="shared" si="21"/>
        <v>Friday</v>
      </c>
      <c r="D156" s="138" t="s">
        <v>84</v>
      </c>
      <c r="E156" s="129"/>
      <c r="F156" s="129"/>
      <c r="G156" s="129">
        <f t="shared" si="28"/>
        <v>0</v>
      </c>
      <c r="H156" s="129" t="str">
        <f t="shared" si="25"/>
        <v>0h0</v>
      </c>
      <c r="I156" s="138" t="s">
        <v>84</v>
      </c>
      <c r="J156" s="129"/>
      <c r="K156" s="129"/>
      <c r="L156" s="129">
        <f t="shared" si="29"/>
        <v>0</v>
      </c>
      <c r="M156" s="129" t="str">
        <f t="shared" si="22"/>
        <v>0h0</v>
      </c>
      <c r="N156" s="138" t="s">
        <v>84</v>
      </c>
      <c r="O156" s="129"/>
      <c r="P156" s="129"/>
      <c r="Q156" s="129">
        <f t="shared" si="30"/>
        <v>0</v>
      </c>
      <c r="R156" s="129" t="str">
        <f t="shared" si="23"/>
        <v>0h0</v>
      </c>
      <c r="S156" s="138">
        <f t="shared" si="26"/>
        <v>0</v>
      </c>
      <c r="T156" s="129" t="str">
        <f t="shared" si="24"/>
        <v>0h0</v>
      </c>
    </row>
    <row r="157" spans="2:20" x14ac:dyDescent="0.3">
      <c r="B157" s="128">
        <f t="shared" si="27"/>
        <v>46347</v>
      </c>
      <c r="C157" s="129" t="str">
        <f t="shared" si="21"/>
        <v>Saturday</v>
      </c>
      <c r="D157" s="138" t="s">
        <v>84</v>
      </c>
      <c r="E157" s="129"/>
      <c r="F157" s="129"/>
      <c r="G157" s="129">
        <f t="shared" si="28"/>
        <v>0</v>
      </c>
      <c r="H157" s="129" t="str">
        <f t="shared" si="25"/>
        <v>0h0</v>
      </c>
      <c r="I157" s="138" t="s">
        <v>84</v>
      </c>
      <c r="J157" s="129"/>
      <c r="K157" s="129"/>
      <c r="L157" s="129">
        <f t="shared" si="29"/>
        <v>0</v>
      </c>
      <c r="M157" s="129" t="str">
        <f t="shared" si="22"/>
        <v>0h0</v>
      </c>
      <c r="N157" s="138" t="s">
        <v>84</v>
      </c>
      <c r="O157" s="129"/>
      <c r="P157" s="129"/>
      <c r="Q157" s="129">
        <f t="shared" si="30"/>
        <v>0</v>
      </c>
      <c r="R157" s="129" t="str">
        <f t="shared" si="23"/>
        <v>0h0</v>
      </c>
      <c r="S157" s="138">
        <f t="shared" si="26"/>
        <v>0</v>
      </c>
      <c r="T157" s="129" t="str">
        <f t="shared" si="24"/>
        <v>0h0</v>
      </c>
    </row>
    <row r="158" spans="2:20" x14ac:dyDescent="0.3">
      <c r="B158" s="128">
        <f t="shared" si="27"/>
        <v>46348</v>
      </c>
      <c r="C158" s="129" t="str">
        <f t="shared" si="21"/>
        <v>Sunday</v>
      </c>
      <c r="D158" s="138" t="s">
        <v>84</v>
      </c>
      <c r="E158" s="129"/>
      <c r="F158" s="129"/>
      <c r="G158" s="129">
        <f t="shared" si="28"/>
        <v>0</v>
      </c>
      <c r="H158" s="129" t="str">
        <f t="shared" si="25"/>
        <v>0h0</v>
      </c>
      <c r="I158" s="138" t="s">
        <v>84</v>
      </c>
      <c r="J158" s="129"/>
      <c r="K158" s="129"/>
      <c r="L158" s="129">
        <f t="shared" si="29"/>
        <v>0</v>
      </c>
      <c r="M158" s="129" t="str">
        <f t="shared" si="22"/>
        <v>0h0</v>
      </c>
      <c r="N158" s="138" t="s">
        <v>84</v>
      </c>
      <c r="O158" s="129"/>
      <c r="P158" s="129"/>
      <c r="Q158" s="129">
        <f t="shared" si="30"/>
        <v>0</v>
      </c>
      <c r="R158" s="129" t="str">
        <f t="shared" si="23"/>
        <v>0h0</v>
      </c>
      <c r="S158" s="138">
        <f t="shared" si="26"/>
        <v>0</v>
      </c>
      <c r="T158" s="129" t="str">
        <f t="shared" si="24"/>
        <v>0h0</v>
      </c>
    </row>
    <row r="159" spans="2:20" x14ac:dyDescent="0.3">
      <c r="B159" s="128">
        <f t="shared" si="27"/>
        <v>46349</v>
      </c>
      <c r="C159" s="129" t="str">
        <f t="shared" si="21"/>
        <v>Monday</v>
      </c>
      <c r="D159" s="138" t="s">
        <v>84</v>
      </c>
      <c r="E159" s="129"/>
      <c r="F159" s="129"/>
      <c r="G159" s="129">
        <f t="shared" si="28"/>
        <v>0</v>
      </c>
      <c r="H159" s="129" t="str">
        <f t="shared" si="25"/>
        <v>0h0</v>
      </c>
      <c r="I159" s="138" t="s">
        <v>84</v>
      </c>
      <c r="J159" s="129"/>
      <c r="K159" s="129"/>
      <c r="L159" s="129">
        <f t="shared" si="29"/>
        <v>0</v>
      </c>
      <c r="M159" s="129" t="str">
        <f t="shared" si="22"/>
        <v>0h0</v>
      </c>
      <c r="N159" s="138" t="s">
        <v>84</v>
      </c>
      <c r="O159" s="129"/>
      <c r="P159" s="129"/>
      <c r="Q159" s="129">
        <f t="shared" si="30"/>
        <v>0</v>
      </c>
      <c r="R159" s="129" t="str">
        <f t="shared" si="23"/>
        <v>0h0</v>
      </c>
      <c r="S159" s="138">
        <f t="shared" si="26"/>
        <v>0</v>
      </c>
      <c r="T159" s="129" t="str">
        <f t="shared" si="24"/>
        <v>0h0</v>
      </c>
    </row>
    <row r="160" spans="2:20" x14ac:dyDescent="0.3">
      <c r="B160" s="128">
        <f t="shared" si="27"/>
        <v>46350</v>
      </c>
      <c r="C160" s="129" t="str">
        <f t="shared" si="21"/>
        <v>Tuesday</v>
      </c>
      <c r="D160" s="138" t="s">
        <v>84</v>
      </c>
      <c r="E160" s="129"/>
      <c r="F160" s="129"/>
      <c r="G160" s="129">
        <f t="shared" si="28"/>
        <v>0</v>
      </c>
      <c r="H160" s="129" t="str">
        <f t="shared" si="25"/>
        <v>0h0</v>
      </c>
      <c r="I160" s="138" t="s">
        <v>84</v>
      </c>
      <c r="J160" s="129"/>
      <c r="K160" s="129"/>
      <c r="L160" s="129">
        <f t="shared" si="29"/>
        <v>0</v>
      </c>
      <c r="M160" s="129" t="str">
        <f t="shared" si="22"/>
        <v>0h0</v>
      </c>
      <c r="N160" s="138" t="s">
        <v>84</v>
      </c>
      <c r="O160" s="129"/>
      <c r="P160" s="129"/>
      <c r="Q160" s="129">
        <f t="shared" si="30"/>
        <v>0</v>
      </c>
      <c r="R160" s="129" t="str">
        <f t="shared" si="23"/>
        <v>0h0</v>
      </c>
      <c r="S160" s="138">
        <f t="shared" si="26"/>
        <v>0</v>
      </c>
      <c r="T160" s="129" t="str">
        <f t="shared" si="24"/>
        <v>0h0</v>
      </c>
    </row>
    <row r="161" spans="2:20" x14ac:dyDescent="0.3">
      <c r="B161" s="128">
        <f t="shared" si="27"/>
        <v>46351</v>
      </c>
      <c r="C161" s="129" t="str">
        <f t="shared" si="21"/>
        <v>Wednesday</v>
      </c>
      <c r="D161" s="138" t="s">
        <v>84</v>
      </c>
      <c r="E161" s="129"/>
      <c r="F161" s="129"/>
      <c r="G161" s="129">
        <f t="shared" si="28"/>
        <v>0</v>
      </c>
      <c r="H161" s="129" t="str">
        <f t="shared" si="25"/>
        <v>0h0</v>
      </c>
      <c r="I161" s="138" t="s">
        <v>84</v>
      </c>
      <c r="J161" s="129"/>
      <c r="K161" s="129"/>
      <c r="L161" s="129">
        <f t="shared" si="29"/>
        <v>0</v>
      </c>
      <c r="M161" s="129" t="str">
        <f t="shared" si="22"/>
        <v>0h0</v>
      </c>
      <c r="N161" s="138" t="s">
        <v>84</v>
      </c>
      <c r="O161" s="129"/>
      <c r="P161" s="129"/>
      <c r="Q161" s="129">
        <f t="shared" si="30"/>
        <v>0</v>
      </c>
      <c r="R161" s="129" t="str">
        <f t="shared" si="23"/>
        <v>0h0</v>
      </c>
      <c r="S161" s="138">
        <f t="shared" si="26"/>
        <v>0</v>
      </c>
      <c r="T161" s="129" t="str">
        <f t="shared" si="24"/>
        <v>0h0</v>
      </c>
    </row>
    <row r="162" spans="2:20" x14ac:dyDescent="0.3">
      <c r="B162" s="128">
        <f t="shared" si="27"/>
        <v>46352</v>
      </c>
      <c r="C162" s="129" t="str">
        <f t="shared" si="21"/>
        <v>Thursday</v>
      </c>
      <c r="D162" s="138" t="s">
        <v>84</v>
      </c>
      <c r="E162" s="129"/>
      <c r="F162" s="129"/>
      <c r="G162" s="129">
        <f t="shared" si="28"/>
        <v>0</v>
      </c>
      <c r="H162" s="129" t="str">
        <f t="shared" si="25"/>
        <v>0h0</v>
      </c>
      <c r="I162" s="138" t="s">
        <v>84</v>
      </c>
      <c r="J162" s="129"/>
      <c r="K162" s="129"/>
      <c r="L162" s="129">
        <f t="shared" si="29"/>
        <v>0</v>
      </c>
      <c r="M162" s="129" t="str">
        <f t="shared" si="22"/>
        <v>0h0</v>
      </c>
      <c r="N162" s="138" t="s">
        <v>84</v>
      </c>
      <c r="O162" s="129"/>
      <c r="P162" s="129"/>
      <c r="Q162" s="129">
        <f t="shared" si="30"/>
        <v>0</v>
      </c>
      <c r="R162" s="129" t="str">
        <f t="shared" si="23"/>
        <v>0h0</v>
      </c>
      <c r="S162" s="138">
        <f t="shared" si="26"/>
        <v>0</v>
      </c>
      <c r="T162" s="129" t="str">
        <f t="shared" si="24"/>
        <v>0h0</v>
      </c>
    </row>
    <row r="163" spans="2:20" x14ac:dyDescent="0.3">
      <c r="B163" s="128">
        <f t="shared" si="27"/>
        <v>46353</v>
      </c>
      <c r="C163" s="129" t="str">
        <f t="shared" si="21"/>
        <v>Friday</v>
      </c>
      <c r="D163" s="138" t="s">
        <v>84</v>
      </c>
      <c r="E163" s="129"/>
      <c r="F163" s="129"/>
      <c r="G163" s="129">
        <f t="shared" si="28"/>
        <v>0</v>
      </c>
      <c r="H163" s="129" t="str">
        <f t="shared" si="25"/>
        <v>0h0</v>
      </c>
      <c r="I163" s="138" t="s">
        <v>84</v>
      </c>
      <c r="J163" s="129"/>
      <c r="K163" s="129"/>
      <c r="L163" s="129">
        <f t="shared" si="29"/>
        <v>0</v>
      </c>
      <c r="M163" s="129" t="str">
        <f t="shared" si="22"/>
        <v>0h0</v>
      </c>
      <c r="N163" s="138" t="s">
        <v>84</v>
      </c>
      <c r="O163" s="129"/>
      <c r="P163" s="129"/>
      <c r="Q163" s="129">
        <f t="shared" si="30"/>
        <v>0</v>
      </c>
      <c r="R163" s="129" t="str">
        <f t="shared" si="23"/>
        <v>0h0</v>
      </c>
      <c r="S163" s="138">
        <f t="shared" si="26"/>
        <v>0</v>
      </c>
      <c r="T163" s="129" t="str">
        <f t="shared" si="24"/>
        <v>0h0</v>
      </c>
    </row>
    <row r="164" spans="2:20" x14ac:dyDescent="0.3">
      <c r="B164" s="128">
        <f t="shared" si="27"/>
        <v>46354</v>
      </c>
      <c r="C164" s="129" t="str">
        <f t="shared" si="21"/>
        <v>Saturday</v>
      </c>
      <c r="D164" s="138" t="s">
        <v>84</v>
      </c>
      <c r="E164" s="129"/>
      <c r="F164" s="129"/>
      <c r="G164" s="129">
        <f t="shared" si="28"/>
        <v>0</v>
      </c>
      <c r="H164" s="129" t="str">
        <f t="shared" si="25"/>
        <v>0h0</v>
      </c>
      <c r="I164" s="138" t="s">
        <v>84</v>
      </c>
      <c r="J164" s="129"/>
      <c r="K164" s="129"/>
      <c r="L164" s="129">
        <f t="shared" si="29"/>
        <v>0</v>
      </c>
      <c r="M164" s="129" t="str">
        <f t="shared" si="22"/>
        <v>0h0</v>
      </c>
      <c r="N164" s="138" t="s">
        <v>84</v>
      </c>
      <c r="O164" s="129"/>
      <c r="P164" s="129"/>
      <c r="Q164" s="129">
        <f t="shared" si="30"/>
        <v>0</v>
      </c>
      <c r="R164" s="129" t="str">
        <f t="shared" si="23"/>
        <v>0h0</v>
      </c>
      <c r="S164" s="138">
        <f t="shared" si="26"/>
        <v>0</v>
      </c>
      <c r="T164" s="129" t="str">
        <f t="shared" si="24"/>
        <v>0h0</v>
      </c>
    </row>
    <row r="165" spans="2:20" x14ac:dyDescent="0.3">
      <c r="B165" s="128">
        <f t="shared" si="27"/>
        <v>46355</v>
      </c>
      <c r="C165" s="129" t="str">
        <f t="shared" si="21"/>
        <v>Sunday</v>
      </c>
      <c r="D165" s="138" t="s">
        <v>84</v>
      </c>
      <c r="E165" s="129"/>
      <c r="F165" s="129"/>
      <c r="G165" s="129">
        <f t="shared" si="28"/>
        <v>0</v>
      </c>
      <c r="H165" s="129" t="str">
        <f t="shared" si="25"/>
        <v>0h0</v>
      </c>
      <c r="I165" s="138" t="s">
        <v>84</v>
      </c>
      <c r="J165" s="129"/>
      <c r="K165" s="129"/>
      <c r="L165" s="129">
        <f t="shared" si="29"/>
        <v>0</v>
      </c>
      <c r="M165" s="129" t="str">
        <f t="shared" si="22"/>
        <v>0h0</v>
      </c>
      <c r="N165" s="138" t="s">
        <v>84</v>
      </c>
      <c r="O165" s="129"/>
      <c r="P165" s="129"/>
      <c r="Q165" s="129">
        <f t="shared" si="30"/>
        <v>0</v>
      </c>
      <c r="R165" s="129" t="str">
        <f t="shared" si="23"/>
        <v>0h0</v>
      </c>
      <c r="S165" s="138">
        <f t="shared" si="26"/>
        <v>0</v>
      </c>
      <c r="T165" s="129" t="str">
        <f t="shared" si="24"/>
        <v>0h0</v>
      </c>
    </row>
    <row r="166" spans="2:20" x14ac:dyDescent="0.3">
      <c r="B166" s="128">
        <f t="shared" si="27"/>
        <v>46356</v>
      </c>
      <c r="C166" s="129" t="str">
        <f t="shared" si="21"/>
        <v>Monday</v>
      </c>
      <c r="D166" s="138" t="s">
        <v>84</v>
      </c>
      <c r="E166" s="129"/>
      <c r="F166" s="129"/>
      <c r="G166" s="129">
        <f t="shared" si="28"/>
        <v>0</v>
      </c>
      <c r="H166" s="129" t="str">
        <f t="shared" si="25"/>
        <v>0h0</v>
      </c>
      <c r="I166" s="138" t="s">
        <v>84</v>
      </c>
      <c r="J166" s="129"/>
      <c r="K166" s="129"/>
      <c r="L166" s="129">
        <f t="shared" si="29"/>
        <v>0</v>
      </c>
      <c r="M166" s="129" t="str">
        <f t="shared" si="22"/>
        <v>0h0</v>
      </c>
      <c r="N166" s="138" t="s">
        <v>84</v>
      </c>
      <c r="O166" s="129"/>
      <c r="P166" s="129"/>
      <c r="Q166" s="129">
        <f t="shared" si="30"/>
        <v>0</v>
      </c>
      <c r="R166" s="129" t="str">
        <f t="shared" si="23"/>
        <v>0h0</v>
      </c>
      <c r="S166" s="138">
        <f t="shared" si="26"/>
        <v>0</v>
      </c>
      <c r="T166" s="129" t="str">
        <f t="shared" si="24"/>
        <v>0h0</v>
      </c>
    </row>
    <row r="167" spans="2:20" x14ac:dyDescent="0.3">
      <c r="B167" s="128">
        <f t="shared" si="27"/>
        <v>46357</v>
      </c>
      <c r="C167" s="129" t="str">
        <f t="shared" si="21"/>
        <v>Tuesday</v>
      </c>
      <c r="D167" s="138" t="s">
        <v>84</v>
      </c>
      <c r="E167" s="129"/>
      <c r="F167" s="129"/>
      <c r="G167" s="129">
        <f t="shared" si="28"/>
        <v>0</v>
      </c>
      <c r="H167" s="129" t="str">
        <f t="shared" si="25"/>
        <v>0h0</v>
      </c>
      <c r="I167" s="138" t="s">
        <v>84</v>
      </c>
      <c r="J167" s="129"/>
      <c r="K167" s="129"/>
      <c r="L167" s="129">
        <f t="shared" si="29"/>
        <v>0</v>
      </c>
      <c r="M167" s="129" t="str">
        <f t="shared" si="22"/>
        <v>0h0</v>
      </c>
      <c r="N167" s="138" t="s">
        <v>84</v>
      </c>
      <c r="O167" s="129"/>
      <c r="P167" s="129"/>
      <c r="Q167" s="129">
        <f t="shared" si="30"/>
        <v>0</v>
      </c>
      <c r="R167" s="129" t="str">
        <f t="shared" si="23"/>
        <v>0h0</v>
      </c>
      <c r="S167" s="138">
        <f t="shared" si="26"/>
        <v>0</v>
      </c>
      <c r="T167" s="129" t="str">
        <f t="shared" si="24"/>
        <v>0h0</v>
      </c>
    </row>
    <row r="168" spans="2:20" x14ac:dyDescent="0.3">
      <c r="B168" s="128">
        <f t="shared" si="27"/>
        <v>46358</v>
      </c>
      <c r="C168" s="129" t="str">
        <f t="shared" si="21"/>
        <v>Wednesday</v>
      </c>
      <c r="D168" s="138" t="s">
        <v>84</v>
      </c>
      <c r="E168" s="129"/>
      <c r="F168" s="129"/>
      <c r="G168" s="129">
        <f t="shared" si="28"/>
        <v>0</v>
      </c>
      <c r="H168" s="129" t="str">
        <f t="shared" si="25"/>
        <v>0h0</v>
      </c>
      <c r="I168" s="138" t="s">
        <v>84</v>
      </c>
      <c r="J168" s="129"/>
      <c r="K168" s="129"/>
      <c r="L168" s="129">
        <f t="shared" si="29"/>
        <v>0</v>
      </c>
      <c r="M168" s="129" t="str">
        <f t="shared" si="22"/>
        <v>0h0</v>
      </c>
      <c r="N168" s="138" t="s">
        <v>84</v>
      </c>
      <c r="O168" s="129"/>
      <c r="P168" s="129"/>
      <c r="Q168" s="129">
        <f t="shared" si="30"/>
        <v>0</v>
      </c>
      <c r="R168" s="129" t="str">
        <f t="shared" si="23"/>
        <v>0h0</v>
      </c>
      <c r="S168" s="138">
        <f t="shared" si="26"/>
        <v>0</v>
      </c>
      <c r="T168" s="129" t="str">
        <f t="shared" si="24"/>
        <v>0h0</v>
      </c>
    </row>
    <row r="169" spans="2:20" x14ac:dyDescent="0.3">
      <c r="B169" s="128">
        <f t="shared" si="27"/>
        <v>46359</v>
      </c>
      <c r="C169" s="129" t="str">
        <f t="shared" si="21"/>
        <v>Thursday</v>
      </c>
      <c r="D169" s="138" t="s">
        <v>84</v>
      </c>
      <c r="E169" s="129"/>
      <c r="F169" s="129"/>
      <c r="G169" s="129">
        <f t="shared" si="28"/>
        <v>0</v>
      </c>
      <c r="H169" s="129" t="str">
        <f t="shared" si="25"/>
        <v>0h0</v>
      </c>
      <c r="I169" s="138" t="s">
        <v>84</v>
      </c>
      <c r="J169" s="129"/>
      <c r="K169" s="129"/>
      <c r="L169" s="129">
        <f t="shared" si="29"/>
        <v>0</v>
      </c>
      <c r="M169" s="129" t="str">
        <f t="shared" si="22"/>
        <v>0h0</v>
      </c>
      <c r="N169" s="138" t="s">
        <v>84</v>
      </c>
      <c r="O169" s="129"/>
      <c r="P169" s="129"/>
      <c r="Q169" s="129">
        <f t="shared" si="30"/>
        <v>0</v>
      </c>
      <c r="R169" s="129" t="str">
        <f t="shared" si="23"/>
        <v>0h0</v>
      </c>
      <c r="S169" s="138">
        <f t="shared" si="26"/>
        <v>0</v>
      </c>
      <c r="T169" s="129" t="str">
        <f t="shared" si="24"/>
        <v>0h0</v>
      </c>
    </row>
    <row r="170" spans="2:20" x14ac:dyDescent="0.3">
      <c r="B170" s="128">
        <f t="shared" si="27"/>
        <v>46360</v>
      </c>
      <c r="C170" s="129" t="str">
        <f t="shared" si="21"/>
        <v>Friday</v>
      </c>
      <c r="D170" s="138" t="s">
        <v>84</v>
      </c>
      <c r="E170" s="129"/>
      <c r="F170" s="129"/>
      <c r="G170" s="129">
        <f t="shared" si="28"/>
        <v>0</v>
      </c>
      <c r="H170" s="129" t="str">
        <f t="shared" si="25"/>
        <v>0h0</v>
      </c>
      <c r="I170" s="138" t="s">
        <v>84</v>
      </c>
      <c r="J170" s="129"/>
      <c r="K170" s="129"/>
      <c r="L170" s="129">
        <f t="shared" si="29"/>
        <v>0</v>
      </c>
      <c r="M170" s="129" t="str">
        <f t="shared" si="22"/>
        <v>0h0</v>
      </c>
      <c r="N170" s="138" t="s">
        <v>84</v>
      </c>
      <c r="O170" s="129"/>
      <c r="P170" s="129"/>
      <c r="Q170" s="129">
        <f t="shared" si="30"/>
        <v>0</v>
      </c>
      <c r="R170" s="129" t="str">
        <f t="shared" si="23"/>
        <v>0h0</v>
      </c>
      <c r="S170" s="138">
        <f t="shared" si="26"/>
        <v>0</v>
      </c>
      <c r="T170" s="129" t="str">
        <f t="shared" si="24"/>
        <v>0h0</v>
      </c>
    </row>
    <row r="171" spans="2:20" x14ac:dyDescent="0.3">
      <c r="B171" s="128">
        <f t="shared" si="27"/>
        <v>46361</v>
      </c>
      <c r="C171" s="129" t="str">
        <f t="shared" si="21"/>
        <v>Saturday</v>
      </c>
      <c r="D171" s="138" t="s">
        <v>84</v>
      </c>
      <c r="E171" s="129"/>
      <c r="F171" s="129"/>
      <c r="G171" s="129">
        <f t="shared" si="28"/>
        <v>0</v>
      </c>
      <c r="H171" s="129" t="str">
        <f t="shared" si="25"/>
        <v>0h0</v>
      </c>
      <c r="I171" s="138" t="s">
        <v>84</v>
      </c>
      <c r="J171" s="129"/>
      <c r="K171" s="129"/>
      <c r="L171" s="129">
        <f t="shared" si="29"/>
        <v>0</v>
      </c>
      <c r="M171" s="129" t="str">
        <f t="shared" si="22"/>
        <v>0h0</v>
      </c>
      <c r="N171" s="138" t="s">
        <v>84</v>
      </c>
      <c r="O171" s="129"/>
      <c r="P171" s="129"/>
      <c r="Q171" s="129">
        <f t="shared" si="30"/>
        <v>0</v>
      </c>
      <c r="R171" s="129" t="str">
        <f t="shared" si="23"/>
        <v>0h0</v>
      </c>
      <c r="S171" s="138">
        <f t="shared" si="26"/>
        <v>0</v>
      </c>
      <c r="T171" s="129" t="str">
        <f t="shared" si="24"/>
        <v>0h0</v>
      </c>
    </row>
    <row r="172" spans="2:20" x14ac:dyDescent="0.3">
      <c r="B172" s="128">
        <f t="shared" si="27"/>
        <v>46362</v>
      </c>
      <c r="C172" s="129" t="str">
        <f t="shared" si="21"/>
        <v>Sunday</v>
      </c>
      <c r="D172" s="138" t="s">
        <v>84</v>
      </c>
      <c r="E172" s="129"/>
      <c r="F172" s="129"/>
      <c r="G172" s="129">
        <f t="shared" si="28"/>
        <v>0</v>
      </c>
      <c r="H172" s="129" t="str">
        <f t="shared" si="25"/>
        <v>0h0</v>
      </c>
      <c r="I172" s="138" t="s">
        <v>84</v>
      </c>
      <c r="J172" s="129"/>
      <c r="K172" s="129"/>
      <c r="L172" s="129">
        <f t="shared" si="29"/>
        <v>0</v>
      </c>
      <c r="M172" s="129" t="str">
        <f t="shared" si="22"/>
        <v>0h0</v>
      </c>
      <c r="N172" s="138" t="s">
        <v>84</v>
      </c>
      <c r="O172" s="129"/>
      <c r="P172" s="129"/>
      <c r="Q172" s="129">
        <f t="shared" si="30"/>
        <v>0</v>
      </c>
      <c r="R172" s="129" t="str">
        <f t="shared" si="23"/>
        <v>0h0</v>
      </c>
      <c r="S172" s="138">
        <f t="shared" si="26"/>
        <v>0</v>
      </c>
      <c r="T172" s="129" t="str">
        <f t="shared" si="24"/>
        <v>0h0</v>
      </c>
    </row>
    <row r="173" spans="2:20" x14ac:dyDescent="0.3">
      <c r="B173" s="128">
        <f t="shared" si="27"/>
        <v>46363</v>
      </c>
      <c r="C173" s="129" t="str">
        <f t="shared" si="21"/>
        <v>Monday</v>
      </c>
      <c r="D173" s="138" t="s">
        <v>84</v>
      </c>
      <c r="E173" s="129"/>
      <c r="F173" s="129"/>
      <c r="G173" s="129">
        <f t="shared" si="28"/>
        <v>0</v>
      </c>
      <c r="H173" s="129" t="str">
        <f t="shared" si="25"/>
        <v>0h0</v>
      </c>
      <c r="I173" s="138" t="s">
        <v>84</v>
      </c>
      <c r="J173" s="129"/>
      <c r="K173" s="129"/>
      <c r="L173" s="129">
        <f t="shared" si="29"/>
        <v>0</v>
      </c>
      <c r="M173" s="129" t="str">
        <f t="shared" si="22"/>
        <v>0h0</v>
      </c>
      <c r="N173" s="138" t="s">
        <v>84</v>
      </c>
      <c r="O173" s="129"/>
      <c r="P173" s="129"/>
      <c r="Q173" s="129">
        <f t="shared" si="30"/>
        <v>0</v>
      </c>
      <c r="R173" s="129" t="str">
        <f t="shared" si="23"/>
        <v>0h0</v>
      </c>
      <c r="S173" s="138">
        <f t="shared" si="26"/>
        <v>0</v>
      </c>
      <c r="T173" s="129" t="str">
        <f t="shared" si="24"/>
        <v>0h0</v>
      </c>
    </row>
    <row r="174" spans="2:20" x14ac:dyDescent="0.3">
      <c r="B174" s="128">
        <f t="shared" si="27"/>
        <v>46364</v>
      </c>
      <c r="C174" s="129" t="str">
        <f t="shared" si="21"/>
        <v>Tuesday</v>
      </c>
      <c r="D174" s="138" t="s">
        <v>84</v>
      </c>
      <c r="E174" s="129"/>
      <c r="F174" s="129"/>
      <c r="G174" s="129">
        <f t="shared" si="28"/>
        <v>0</v>
      </c>
      <c r="H174" s="129" t="str">
        <f t="shared" si="25"/>
        <v>0h0</v>
      </c>
      <c r="I174" s="138" t="s">
        <v>84</v>
      </c>
      <c r="J174" s="129"/>
      <c r="K174" s="129"/>
      <c r="L174" s="129">
        <f t="shared" si="29"/>
        <v>0</v>
      </c>
      <c r="M174" s="129" t="str">
        <f t="shared" si="22"/>
        <v>0h0</v>
      </c>
      <c r="N174" s="138" t="s">
        <v>84</v>
      </c>
      <c r="O174" s="129"/>
      <c r="P174" s="129"/>
      <c r="Q174" s="129">
        <f t="shared" si="30"/>
        <v>0</v>
      </c>
      <c r="R174" s="129" t="str">
        <f t="shared" si="23"/>
        <v>0h0</v>
      </c>
      <c r="S174" s="138">
        <f t="shared" si="26"/>
        <v>0</v>
      </c>
      <c r="T174" s="129" t="str">
        <f t="shared" si="24"/>
        <v>0h0</v>
      </c>
    </row>
    <row r="175" spans="2:20" x14ac:dyDescent="0.3">
      <c r="B175" s="128">
        <f t="shared" si="27"/>
        <v>46365</v>
      </c>
      <c r="C175" s="129" t="str">
        <f t="shared" si="21"/>
        <v>Wednesday</v>
      </c>
      <c r="D175" s="138" t="s">
        <v>84</v>
      </c>
      <c r="E175" s="129"/>
      <c r="F175" s="129"/>
      <c r="G175" s="129">
        <f t="shared" si="28"/>
        <v>0</v>
      </c>
      <c r="H175" s="129" t="str">
        <f t="shared" si="25"/>
        <v>0h0</v>
      </c>
      <c r="I175" s="138" t="s">
        <v>84</v>
      </c>
      <c r="J175" s="129"/>
      <c r="K175" s="129"/>
      <c r="L175" s="129">
        <f t="shared" si="29"/>
        <v>0</v>
      </c>
      <c r="M175" s="129" t="str">
        <f t="shared" si="22"/>
        <v>0h0</v>
      </c>
      <c r="N175" s="138" t="s">
        <v>84</v>
      </c>
      <c r="O175" s="129"/>
      <c r="P175" s="129"/>
      <c r="Q175" s="129">
        <f t="shared" si="30"/>
        <v>0</v>
      </c>
      <c r="R175" s="129" t="str">
        <f t="shared" si="23"/>
        <v>0h0</v>
      </c>
      <c r="S175" s="138">
        <f t="shared" si="26"/>
        <v>0</v>
      </c>
      <c r="T175" s="129" t="str">
        <f t="shared" si="24"/>
        <v>0h0</v>
      </c>
    </row>
    <row r="176" spans="2:20" x14ac:dyDescent="0.3">
      <c r="B176" s="128">
        <f t="shared" si="27"/>
        <v>46366</v>
      </c>
      <c r="C176" s="129" t="str">
        <f t="shared" si="21"/>
        <v>Thursday</v>
      </c>
      <c r="D176" s="138" t="s">
        <v>84</v>
      </c>
      <c r="E176" s="129"/>
      <c r="F176" s="129"/>
      <c r="G176" s="129">
        <f t="shared" si="28"/>
        <v>0</v>
      </c>
      <c r="H176" s="129" t="str">
        <f t="shared" si="25"/>
        <v>0h0</v>
      </c>
      <c r="I176" s="138" t="s">
        <v>84</v>
      </c>
      <c r="J176" s="129"/>
      <c r="K176" s="129"/>
      <c r="L176" s="129">
        <f t="shared" si="29"/>
        <v>0</v>
      </c>
      <c r="M176" s="129" t="str">
        <f t="shared" si="22"/>
        <v>0h0</v>
      </c>
      <c r="N176" s="138" t="s">
        <v>84</v>
      </c>
      <c r="O176" s="129"/>
      <c r="P176" s="129"/>
      <c r="Q176" s="129">
        <f t="shared" si="30"/>
        <v>0</v>
      </c>
      <c r="R176" s="129" t="str">
        <f t="shared" si="23"/>
        <v>0h0</v>
      </c>
      <c r="S176" s="138">
        <f t="shared" si="26"/>
        <v>0</v>
      </c>
      <c r="T176" s="129" t="str">
        <f t="shared" si="24"/>
        <v>0h0</v>
      </c>
    </row>
    <row r="177" spans="2:20" x14ac:dyDescent="0.3">
      <c r="B177" s="128">
        <f t="shared" si="27"/>
        <v>46367</v>
      </c>
      <c r="C177" s="129" t="str">
        <f t="shared" si="21"/>
        <v>Friday</v>
      </c>
      <c r="D177" s="138" t="s">
        <v>84</v>
      </c>
      <c r="E177" s="129"/>
      <c r="F177" s="129"/>
      <c r="G177" s="129">
        <f t="shared" si="28"/>
        <v>0</v>
      </c>
      <c r="H177" s="129" t="str">
        <f t="shared" si="25"/>
        <v>0h0</v>
      </c>
      <c r="I177" s="138" t="s">
        <v>84</v>
      </c>
      <c r="J177" s="129"/>
      <c r="K177" s="129"/>
      <c r="L177" s="129">
        <f t="shared" si="29"/>
        <v>0</v>
      </c>
      <c r="M177" s="129" t="str">
        <f t="shared" si="22"/>
        <v>0h0</v>
      </c>
      <c r="N177" s="138" t="s">
        <v>84</v>
      </c>
      <c r="O177" s="129"/>
      <c r="P177" s="129"/>
      <c r="Q177" s="129">
        <f t="shared" si="30"/>
        <v>0</v>
      </c>
      <c r="R177" s="129" t="str">
        <f t="shared" si="23"/>
        <v>0h0</v>
      </c>
      <c r="S177" s="138">
        <f t="shared" si="26"/>
        <v>0</v>
      </c>
      <c r="T177" s="129" t="str">
        <f t="shared" si="24"/>
        <v>0h0</v>
      </c>
    </row>
    <row r="178" spans="2:20" x14ac:dyDescent="0.3">
      <c r="B178" s="128">
        <f t="shared" si="27"/>
        <v>46368</v>
      </c>
      <c r="C178" s="129" t="str">
        <f t="shared" si="21"/>
        <v>Saturday</v>
      </c>
      <c r="D178" s="138" t="s">
        <v>84</v>
      </c>
      <c r="E178" s="129"/>
      <c r="F178" s="129"/>
      <c r="G178" s="129">
        <f t="shared" si="28"/>
        <v>0</v>
      </c>
      <c r="H178" s="129" t="str">
        <f t="shared" si="25"/>
        <v>0h0</v>
      </c>
      <c r="I178" s="138" t="s">
        <v>84</v>
      </c>
      <c r="J178" s="129"/>
      <c r="K178" s="129"/>
      <c r="L178" s="129">
        <f t="shared" si="29"/>
        <v>0</v>
      </c>
      <c r="M178" s="129" t="str">
        <f t="shared" si="22"/>
        <v>0h0</v>
      </c>
      <c r="N178" s="138" t="s">
        <v>84</v>
      </c>
      <c r="O178" s="129"/>
      <c r="P178" s="129"/>
      <c r="Q178" s="129">
        <f t="shared" si="30"/>
        <v>0</v>
      </c>
      <c r="R178" s="129" t="str">
        <f t="shared" si="23"/>
        <v>0h0</v>
      </c>
      <c r="S178" s="138">
        <f t="shared" si="26"/>
        <v>0</v>
      </c>
      <c r="T178" s="129" t="str">
        <f t="shared" si="24"/>
        <v>0h0</v>
      </c>
    </row>
    <row r="179" spans="2:20" x14ac:dyDescent="0.3">
      <c r="B179" s="128">
        <f t="shared" si="27"/>
        <v>46369</v>
      </c>
      <c r="C179" s="129" t="str">
        <f t="shared" si="21"/>
        <v>Sunday</v>
      </c>
      <c r="D179" s="138" t="s">
        <v>84</v>
      </c>
      <c r="E179" s="129"/>
      <c r="F179" s="129"/>
      <c r="G179" s="129">
        <f t="shared" si="28"/>
        <v>0</v>
      </c>
      <c r="H179" s="129" t="str">
        <f t="shared" si="25"/>
        <v>0h0</v>
      </c>
      <c r="I179" s="138" t="s">
        <v>84</v>
      </c>
      <c r="J179" s="129"/>
      <c r="K179" s="129"/>
      <c r="L179" s="129">
        <f t="shared" si="29"/>
        <v>0</v>
      </c>
      <c r="M179" s="129" t="str">
        <f t="shared" si="22"/>
        <v>0h0</v>
      </c>
      <c r="N179" s="138" t="s">
        <v>84</v>
      </c>
      <c r="O179" s="129"/>
      <c r="P179" s="129"/>
      <c r="Q179" s="129">
        <f t="shared" si="30"/>
        <v>0</v>
      </c>
      <c r="R179" s="129" t="str">
        <f t="shared" si="23"/>
        <v>0h0</v>
      </c>
      <c r="S179" s="138">
        <f t="shared" si="26"/>
        <v>0</v>
      </c>
      <c r="T179" s="129" t="str">
        <f t="shared" si="24"/>
        <v>0h0</v>
      </c>
    </row>
    <row r="180" spans="2:20" x14ac:dyDescent="0.3">
      <c r="B180" s="128">
        <f t="shared" si="27"/>
        <v>46370</v>
      </c>
      <c r="C180" s="129" t="str">
        <f t="shared" si="21"/>
        <v>Monday</v>
      </c>
      <c r="D180" s="138" t="s">
        <v>84</v>
      </c>
      <c r="E180" s="129"/>
      <c r="F180" s="129"/>
      <c r="G180" s="129">
        <f t="shared" si="28"/>
        <v>0</v>
      </c>
      <c r="H180" s="129" t="str">
        <f t="shared" si="25"/>
        <v>0h0</v>
      </c>
      <c r="I180" s="138" t="s">
        <v>84</v>
      </c>
      <c r="J180" s="129"/>
      <c r="K180" s="129"/>
      <c r="L180" s="129">
        <f t="shared" si="29"/>
        <v>0</v>
      </c>
      <c r="M180" s="129" t="str">
        <f t="shared" si="22"/>
        <v>0h0</v>
      </c>
      <c r="N180" s="138" t="s">
        <v>84</v>
      </c>
      <c r="O180" s="129"/>
      <c r="P180" s="129"/>
      <c r="Q180" s="129">
        <f t="shared" si="30"/>
        <v>0</v>
      </c>
      <c r="R180" s="129" t="str">
        <f t="shared" si="23"/>
        <v>0h0</v>
      </c>
      <c r="S180" s="138">
        <f t="shared" si="26"/>
        <v>0</v>
      </c>
      <c r="T180" s="129" t="str">
        <f t="shared" si="24"/>
        <v>0h0</v>
      </c>
    </row>
    <row r="181" spans="2:20" x14ac:dyDescent="0.3">
      <c r="B181" s="128">
        <f t="shared" si="27"/>
        <v>46371</v>
      </c>
      <c r="C181" s="129" t="str">
        <f t="shared" si="21"/>
        <v>Tuesday</v>
      </c>
      <c r="D181" s="138" t="s">
        <v>84</v>
      </c>
      <c r="E181" s="129"/>
      <c r="F181" s="129"/>
      <c r="G181" s="129">
        <f t="shared" si="28"/>
        <v>0</v>
      </c>
      <c r="H181" s="129" t="str">
        <f t="shared" si="25"/>
        <v>0h0</v>
      </c>
      <c r="I181" s="138" t="s">
        <v>84</v>
      </c>
      <c r="J181" s="129"/>
      <c r="K181" s="129"/>
      <c r="L181" s="129">
        <f t="shared" si="29"/>
        <v>0</v>
      </c>
      <c r="M181" s="129" t="str">
        <f t="shared" si="22"/>
        <v>0h0</v>
      </c>
      <c r="N181" s="138" t="s">
        <v>84</v>
      </c>
      <c r="O181" s="129"/>
      <c r="P181" s="129"/>
      <c r="Q181" s="129">
        <f t="shared" si="30"/>
        <v>0</v>
      </c>
      <c r="R181" s="129" t="str">
        <f t="shared" si="23"/>
        <v>0h0</v>
      </c>
      <c r="S181" s="138">
        <f t="shared" si="26"/>
        <v>0</v>
      </c>
      <c r="T181" s="129" t="str">
        <f t="shared" si="24"/>
        <v>0h0</v>
      </c>
    </row>
    <row r="182" spans="2:20" x14ac:dyDescent="0.3">
      <c r="B182" s="128">
        <f t="shared" si="27"/>
        <v>46372</v>
      </c>
      <c r="C182" s="129" t="str">
        <f t="shared" si="21"/>
        <v>Wednesday</v>
      </c>
      <c r="D182" s="138" t="s">
        <v>84</v>
      </c>
      <c r="E182" s="129"/>
      <c r="F182" s="129"/>
      <c r="G182" s="129">
        <f t="shared" si="28"/>
        <v>0</v>
      </c>
      <c r="H182" s="129" t="str">
        <f t="shared" si="25"/>
        <v>0h0</v>
      </c>
      <c r="I182" s="138" t="s">
        <v>84</v>
      </c>
      <c r="J182" s="129"/>
      <c r="K182" s="129"/>
      <c r="L182" s="129">
        <f t="shared" si="29"/>
        <v>0</v>
      </c>
      <c r="M182" s="129" t="str">
        <f t="shared" si="22"/>
        <v>0h0</v>
      </c>
      <c r="N182" s="138" t="s">
        <v>84</v>
      </c>
      <c r="O182" s="129"/>
      <c r="P182" s="129"/>
      <c r="Q182" s="129">
        <f t="shared" si="30"/>
        <v>0</v>
      </c>
      <c r="R182" s="129" t="str">
        <f t="shared" si="23"/>
        <v>0h0</v>
      </c>
      <c r="S182" s="138">
        <f t="shared" si="26"/>
        <v>0</v>
      </c>
      <c r="T182" s="129" t="str">
        <f t="shared" si="24"/>
        <v>0h0</v>
      </c>
    </row>
    <row r="183" spans="2:20" x14ac:dyDescent="0.3">
      <c r="B183" s="128">
        <f t="shared" si="27"/>
        <v>46373</v>
      </c>
      <c r="C183" s="129" t="str">
        <f t="shared" si="21"/>
        <v>Thursday</v>
      </c>
      <c r="D183" s="138" t="s">
        <v>84</v>
      </c>
      <c r="E183" s="129"/>
      <c r="F183" s="129"/>
      <c r="G183" s="129">
        <f t="shared" si="28"/>
        <v>0</v>
      </c>
      <c r="H183" s="129" t="str">
        <f t="shared" si="25"/>
        <v>0h0</v>
      </c>
      <c r="I183" s="138" t="s">
        <v>84</v>
      </c>
      <c r="J183" s="129"/>
      <c r="K183" s="129"/>
      <c r="L183" s="129">
        <f t="shared" si="29"/>
        <v>0</v>
      </c>
      <c r="M183" s="129" t="str">
        <f t="shared" si="22"/>
        <v>0h0</v>
      </c>
      <c r="N183" s="138" t="s">
        <v>84</v>
      </c>
      <c r="O183" s="129"/>
      <c r="P183" s="129"/>
      <c r="Q183" s="129">
        <f t="shared" si="30"/>
        <v>0</v>
      </c>
      <c r="R183" s="129" t="str">
        <f t="shared" si="23"/>
        <v>0h0</v>
      </c>
      <c r="S183" s="138">
        <f t="shared" si="26"/>
        <v>0</v>
      </c>
      <c r="T183" s="129" t="str">
        <f t="shared" si="24"/>
        <v>0h0</v>
      </c>
    </row>
    <row r="184" spans="2:20" x14ac:dyDescent="0.3">
      <c r="B184" s="128">
        <f t="shared" si="27"/>
        <v>46374</v>
      </c>
      <c r="C184" s="129" t="str">
        <f t="shared" si="21"/>
        <v>Friday</v>
      </c>
      <c r="D184" s="138" t="s">
        <v>84</v>
      </c>
      <c r="E184" s="129"/>
      <c r="F184" s="129"/>
      <c r="G184" s="129">
        <f t="shared" si="28"/>
        <v>0</v>
      </c>
      <c r="H184" s="129" t="str">
        <f t="shared" si="25"/>
        <v>0h0</v>
      </c>
      <c r="I184" s="138" t="s">
        <v>84</v>
      </c>
      <c r="J184" s="129"/>
      <c r="K184" s="129"/>
      <c r="L184" s="129">
        <f t="shared" si="29"/>
        <v>0</v>
      </c>
      <c r="M184" s="129" t="str">
        <f t="shared" si="22"/>
        <v>0h0</v>
      </c>
      <c r="N184" s="138" t="s">
        <v>84</v>
      </c>
      <c r="O184" s="129"/>
      <c r="P184" s="129"/>
      <c r="Q184" s="129">
        <f t="shared" si="30"/>
        <v>0</v>
      </c>
      <c r="R184" s="129" t="str">
        <f t="shared" si="23"/>
        <v>0h0</v>
      </c>
      <c r="S184" s="138">
        <f t="shared" si="26"/>
        <v>0</v>
      </c>
      <c r="T184" s="129" t="str">
        <f t="shared" si="24"/>
        <v>0h0</v>
      </c>
    </row>
    <row r="185" spans="2:20" x14ac:dyDescent="0.3">
      <c r="B185" s="128">
        <f t="shared" si="27"/>
        <v>46375</v>
      </c>
      <c r="C185" s="129" t="str">
        <f t="shared" si="21"/>
        <v>Saturday</v>
      </c>
      <c r="D185" s="138" t="s">
        <v>84</v>
      </c>
      <c r="E185" s="129"/>
      <c r="F185" s="129"/>
      <c r="G185" s="129">
        <f t="shared" si="28"/>
        <v>0</v>
      </c>
      <c r="H185" s="129" t="str">
        <f t="shared" si="25"/>
        <v>0h0</v>
      </c>
      <c r="I185" s="138" t="s">
        <v>84</v>
      </c>
      <c r="J185" s="129"/>
      <c r="K185" s="129"/>
      <c r="L185" s="129">
        <f t="shared" si="29"/>
        <v>0</v>
      </c>
      <c r="M185" s="129" t="str">
        <f t="shared" si="22"/>
        <v>0h0</v>
      </c>
      <c r="N185" s="138" t="s">
        <v>84</v>
      </c>
      <c r="O185" s="129"/>
      <c r="P185" s="129"/>
      <c r="Q185" s="129">
        <f t="shared" si="30"/>
        <v>0</v>
      </c>
      <c r="R185" s="129" t="str">
        <f t="shared" si="23"/>
        <v>0h0</v>
      </c>
      <c r="S185" s="138">
        <f t="shared" si="26"/>
        <v>0</v>
      </c>
      <c r="T185" s="129" t="str">
        <f t="shared" si="24"/>
        <v>0h0</v>
      </c>
    </row>
    <row r="186" spans="2:20" x14ac:dyDescent="0.3">
      <c r="B186" s="128">
        <f t="shared" si="27"/>
        <v>46376</v>
      </c>
      <c r="C186" s="129" t="str">
        <f t="shared" si="21"/>
        <v>Sunday</v>
      </c>
      <c r="D186" s="138" t="s">
        <v>84</v>
      </c>
      <c r="E186" s="129"/>
      <c r="F186" s="129"/>
      <c r="G186" s="129">
        <f t="shared" si="28"/>
        <v>0</v>
      </c>
      <c r="H186" s="129" t="str">
        <f t="shared" si="25"/>
        <v>0h0</v>
      </c>
      <c r="I186" s="138" t="s">
        <v>84</v>
      </c>
      <c r="J186" s="129"/>
      <c r="K186" s="129"/>
      <c r="L186" s="129">
        <f t="shared" si="29"/>
        <v>0</v>
      </c>
      <c r="M186" s="129" t="str">
        <f t="shared" si="22"/>
        <v>0h0</v>
      </c>
      <c r="N186" s="138" t="s">
        <v>84</v>
      </c>
      <c r="O186" s="129"/>
      <c r="P186" s="129"/>
      <c r="Q186" s="129">
        <f t="shared" si="30"/>
        <v>0</v>
      </c>
      <c r="R186" s="129" t="str">
        <f t="shared" si="23"/>
        <v>0h0</v>
      </c>
      <c r="S186" s="138">
        <f t="shared" si="26"/>
        <v>0</v>
      </c>
      <c r="T186" s="129" t="str">
        <f t="shared" si="24"/>
        <v>0h0</v>
      </c>
    </row>
    <row r="187" spans="2:20" x14ac:dyDescent="0.3">
      <c r="B187" s="128">
        <f t="shared" si="27"/>
        <v>46377</v>
      </c>
      <c r="C187" s="129" t="str">
        <f t="shared" si="21"/>
        <v>Monday</v>
      </c>
      <c r="D187" s="138" t="s">
        <v>84</v>
      </c>
      <c r="E187" s="129"/>
      <c r="F187" s="129"/>
      <c r="G187" s="129">
        <f t="shared" si="28"/>
        <v>0</v>
      </c>
      <c r="H187" s="129" t="str">
        <f t="shared" si="25"/>
        <v>0h0</v>
      </c>
      <c r="I187" s="138" t="s">
        <v>84</v>
      </c>
      <c r="J187" s="129"/>
      <c r="K187" s="129"/>
      <c r="L187" s="129">
        <f t="shared" si="29"/>
        <v>0</v>
      </c>
      <c r="M187" s="129" t="str">
        <f t="shared" si="22"/>
        <v>0h0</v>
      </c>
      <c r="N187" s="138" t="s">
        <v>84</v>
      </c>
      <c r="O187" s="129"/>
      <c r="P187" s="129"/>
      <c r="Q187" s="129">
        <f t="shared" si="30"/>
        <v>0</v>
      </c>
      <c r="R187" s="129" t="str">
        <f t="shared" si="23"/>
        <v>0h0</v>
      </c>
      <c r="S187" s="138">
        <f t="shared" si="26"/>
        <v>0</v>
      </c>
      <c r="T187" s="129" t="str">
        <f t="shared" si="24"/>
        <v>0h0</v>
      </c>
    </row>
    <row r="188" spans="2:20" x14ac:dyDescent="0.3">
      <c r="B188" s="128">
        <f t="shared" si="27"/>
        <v>46378</v>
      </c>
      <c r="C188" s="129" t="str">
        <f t="shared" si="21"/>
        <v>Tuesday</v>
      </c>
      <c r="D188" s="138" t="s">
        <v>84</v>
      </c>
      <c r="E188" s="129"/>
      <c r="F188" s="129"/>
      <c r="G188" s="129">
        <f t="shared" si="28"/>
        <v>0</v>
      </c>
      <c r="H188" s="129" t="str">
        <f t="shared" si="25"/>
        <v>0h0</v>
      </c>
      <c r="I188" s="138" t="s">
        <v>84</v>
      </c>
      <c r="J188" s="129"/>
      <c r="K188" s="129"/>
      <c r="L188" s="129">
        <f t="shared" si="29"/>
        <v>0</v>
      </c>
      <c r="M188" s="129" t="str">
        <f t="shared" si="22"/>
        <v>0h0</v>
      </c>
      <c r="N188" s="138" t="s">
        <v>84</v>
      </c>
      <c r="O188" s="129"/>
      <c r="P188" s="129"/>
      <c r="Q188" s="129">
        <f t="shared" si="30"/>
        <v>0</v>
      </c>
      <c r="R188" s="129" t="str">
        <f t="shared" si="23"/>
        <v>0h0</v>
      </c>
      <c r="S188" s="138">
        <f t="shared" si="26"/>
        <v>0</v>
      </c>
      <c r="T188" s="129" t="str">
        <f t="shared" si="24"/>
        <v>0h0</v>
      </c>
    </row>
    <row r="189" spans="2:20" x14ac:dyDescent="0.3">
      <c r="B189" s="128">
        <f t="shared" si="27"/>
        <v>46379</v>
      </c>
      <c r="C189" s="129" t="str">
        <f t="shared" si="21"/>
        <v>Wednesday</v>
      </c>
      <c r="D189" s="138" t="s">
        <v>84</v>
      </c>
      <c r="E189" s="129"/>
      <c r="F189" s="129"/>
      <c r="G189" s="129">
        <f t="shared" si="28"/>
        <v>0</v>
      </c>
      <c r="H189" s="129" t="str">
        <f t="shared" si="25"/>
        <v>0h0</v>
      </c>
      <c r="I189" s="138" t="s">
        <v>84</v>
      </c>
      <c r="J189" s="129"/>
      <c r="K189" s="129"/>
      <c r="L189" s="129">
        <f t="shared" si="29"/>
        <v>0</v>
      </c>
      <c r="M189" s="129" t="str">
        <f t="shared" si="22"/>
        <v>0h0</v>
      </c>
      <c r="N189" s="138" t="s">
        <v>84</v>
      </c>
      <c r="O189" s="129"/>
      <c r="P189" s="129"/>
      <c r="Q189" s="129">
        <f t="shared" si="30"/>
        <v>0</v>
      </c>
      <c r="R189" s="129" t="str">
        <f t="shared" si="23"/>
        <v>0h0</v>
      </c>
      <c r="S189" s="138">
        <f t="shared" si="26"/>
        <v>0</v>
      </c>
      <c r="T189" s="129" t="str">
        <f t="shared" si="24"/>
        <v>0h0</v>
      </c>
    </row>
    <row r="190" spans="2:20" x14ac:dyDescent="0.3">
      <c r="B190" s="128">
        <f t="shared" si="27"/>
        <v>46380</v>
      </c>
      <c r="C190" s="129" t="str">
        <f t="shared" si="21"/>
        <v>Thursday</v>
      </c>
      <c r="D190" s="138" t="s">
        <v>84</v>
      </c>
      <c r="E190" s="129"/>
      <c r="F190" s="129"/>
      <c r="G190" s="129">
        <f t="shared" si="28"/>
        <v>0</v>
      </c>
      <c r="H190" s="129" t="str">
        <f t="shared" si="25"/>
        <v>0h0</v>
      </c>
      <c r="I190" s="138" t="s">
        <v>84</v>
      </c>
      <c r="J190" s="129"/>
      <c r="K190" s="129"/>
      <c r="L190" s="129">
        <f t="shared" si="29"/>
        <v>0</v>
      </c>
      <c r="M190" s="129" t="str">
        <f t="shared" si="22"/>
        <v>0h0</v>
      </c>
      <c r="N190" s="138" t="s">
        <v>84</v>
      </c>
      <c r="O190" s="129"/>
      <c r="P190" s="129"/>
      <c r="Q190" s="129">
        <f t="shared" si="30"/>
        <v>0</v>
      </c>
      <c r="R190" s="129" t="str">
        <f t="shared" si="23"/>
        <v>0h0</v>
      </c>
      <c r="S190" s="138">
        <f t="shared" si="26"/>
        <v>0</v>
      </c>
      <c r="T190" s="129" t="str">
        <f t="shared" si="24"/>
        <v>0h0</v>
      </c>
    </row>
    <row r="191" spans="2:20" x14ac:dyDescent="0.3">
      <c r="B191" s="128">
        <f t="shared" si="27"/>
        <v>46381</v>
      </c>
      <c r="C191" s="129" t="str">
        <f t="shared" si="21"/>
        <v>Friday</v>
      </c>
      <c r="D191" s="138" t="s">
        <v>84</v>
      </c>
      <c r="E191" s="129"/>
      <c r="F191" s="129"/>
      <c r="G191" s="129">
        <f t="shared" si="28"/>
        <v>0</v>
      </c>
      <c r="H191" s="129" t="str">
        <f t="shared" si="25"/>
        <v>0h0</v>
      </c>
      <c r="I191" s="138" t="s">
        <v>84</v>
      </c>
      <c r="J191" s="129"/>
      <c r="K191" s="129"/>
      <c r="L191" s="129">
        <f t="shared" si="29"/>
        <v>0</v>
      </c>
      <c r="M191" s="129" t="str">
        <f t="shared" si="22"/>
        <v>0h0</v>
      </c>
      <c r="N191" s="138" t="s">
        <v>84</v>
      </c>
      <c r="O191" s="129"/>
      <c r="P191" s="129"/>
      <c r="Q191" s="129">
        <f t="shared" si="30"/>
        <v>0</v>
      </c>
      <c r="R191" s="129" t="str">
        <f t="shared" si="23"/>
        <v>0h0</v>
      </c>
      <c r="S191" s="138">
        <f t="shared" si="26"/>
        <v>0</v>
      </c>
      <c r="T191" s="129" t="str">
        <f t="shared" si="24"/>
        <v>0h0</v>
      </c>
    </row>
    <row r="192" spans="2:20" x14ac:dyDescent="0.3">
      <c r="B192" s="128">
        <f t="shared" si="27"/>
        <v>46382</v>
      </c>
      <c r="C192" s="129" t="str">
        <f t="shared" si="21"/>
        <v>Saturday</v>
      </c>
      <c r="D192" s="138" t="s">
        <v>84</v>
      </c>
      <c r="E192" s="129"/>
      <c r="F192" s="129"/>
      <c r="G192" s="129">
        <f t="shared" si="28"/>
        <v>0</v>
      </c>
      <c r="H192" s="129" t="str">
        <f t="shared" si="25"/>
        <v>0h0</v>
      </c>
      <c r="I192" s="138" t="s">
        <v>84</v>
      </c>
      <c r="J192" s="129"/>
      <c r="K192" s="129"/>
      <c r="L192" s="129">
        <f t="shared" si="29"/>
        <v>0</v>
      </c>
      <c r="M192" s="129" t="str">
        <f t="shared" si="22"/>
        <v>0h0</v>
      </c>
      <c r="N192" s="138" t="s">
        <v>84</v>
      </c>
      <c r="O192" s="129"/>
      <c r="P192" s="129"/>
      <c r="Q192" s="129">
        <f t="shared" si="30"/>
        <v>0</v>
      </c>
      <c r="R192" s="129" t="str">
        <f t="shared" si="23"/>
        <v>0h0</v>
      </c>
      <c r="S192" s="138">
        <f t="shared" si="26"/>
        <v>0</v>
      </c>
      <c r="T192" s="129" t="str">
        <f t="shared" si="24"/>
        <v>0h0</v>
      </c>
    </row>
    <row r="193" spans="2:20" x14ac:dyDescent="0.3">
      <c r="B193" s="128">
        <f t="shared" si="27"/>
        <v>46383</v>
      </c>
      <c r="C193" s="129" t="str">
        <f t="shared" si="21"/>
        <v>Sunday</v>
      </c>
      <c r="D193" s="138" t="s">
        <v>84</v>
      </c>
      <c r="E193" s="129"/>
      <c r="F193" s="129"/>
      <c r="G193" s="129">
        <f t="shared" si="28"/>
        <v>0</v>
      </c>
      <c r="H193" s="129" t="str">
        <f t="shared" si="25"/>
        <v>0h0</v>
      </c>
      <c r="I193" s="138" t="s">
        <v>84</v>
      </c>
      <c r="J193" s="129"/>
      <c r="K193" s="129"/>
      <c r="L193" s="129">
        <f t="shared" si="29"/>
        <v>0</v>
      </c>
      <c r="M193" s="129" t="str">
        <f t="shared" si="22"/>
        <v>0h0</v>
      </c>
      <c r="N193" s="138" t="s">
        <v>84</v>
      </c>
      <c r="O193" s="129"/>
      <c r="P193" s="129"/>
      <c r="Q193" s="129">
        <f t="shared" si="30"/>
        <v>0</v>
      </c>
      <c r="R193" s="129" t="str">
        <f t="shared" si="23"/>
        <v>0h0</v>
      </c>
      <c r="S193" s="138">
        <f t="shared" si="26"/>
        <v>0</v>
      </c>
      <c r="T193" s="129" t="str">
        <f t="shared" si="24"/>
        <v>0h0</v>
      </c>
    </row>
    <row r="194" spans="2:20" x14ac:dyDescent="0.3">
      <c r="B194" s="128">
        <f t="shared" si="27"/>
        <v>46384</v>
      </c>
      <c r="C194" s="129" t="str">
        <f t="shared" si="21"/>
        <v>Monday</v>
      </c>
      <c r="D194" s="138" t="s">
        <v>84</v>
      </c>
      <c r="E194" s="129"/>
      <c r="F194" s="129"/>
      <c r="G194" s="129">
        <f t="shared" si="28"/>
        <v>0</v>
      </c>
      <c r="H194" s="129" t="str">
        <f t="shared" si="25"/>
        <v>0h0</v>
      </c>
      <c r="I194" s="138" t="s">
        <v>84</v>
      </c>
      <c r="J194" s="129"/>
      <c r="K194" s="129"/>
      <c r="L194" s="129">
        <f t="shared" si="29"/>
        <v>0</v>
      </c>
      <c r="M194" s="129" t="str">
        <f t="shared" si="22"/>
        <v>0h0</v>
      </c>
      <c r="N194" s="138" t="s">
        <v>84</v>
      </c>
      <c r="O194" s="129"/>
      <c r="P194" s="129"/>
      <c r="Q194" s="129">
        <f t="shared" si="30"/>
        <v>0</v>
      </c>
      <c r="R194" s="129" t="str">
        <f t="shared" si="23"/>
        <v>0h0</v>
      </c>
      <c r="S194" s="138">
        <f t="shared" si="26"/>
        <v>0</v>
      </c>
      <c r="T194" s="129" t="str">
        <f t="shared" si="24"/>
        <v>0h0</v>
      </c>
    </row>
    <row r="195" spans="2:20" x14ac:dyDescent="0.3">
      <c r="B195" s="128">
        <f t="shared" si="27"/>
        <v>46385</v>
      </c>
      <c r="C195" s="129" t="str">
        <f t="shared" si="21"/>
        <v>Tuesday</v>
      </c>
      <c r="D195" s="138" t="s">
        <v>84</v>
      </c>
      <c r="E195" s="129"/>
      <c r="F195" s="129"/>
      <c r="G195" s="129">
        <f t="shared" si="28"/>
        <v>0</v>
      </c>
      <c r="H195" s="129" t="str">
        <f t="shared" si="25"/>
        <v>0h0</v>
      </c>
      <c r="I195" s="138" t="s">
        <v>84</v>
      </c>
      <c r="J195" s="129"/>
      <c r="K195" s="129"/>
      <c r="L195" s="129">
        <f t="shared" si="29"/>
        <v>0</v>
      </c>
      <c r="M195" s="129" t="str">
        <f t="shared" si="22"/>
        <v>0h0</v>
      </c>
      <c r="N195" s="138" t="s">
        <v>84</v>
      </c>
      <c r="O195" s="129"/>
      <c r="P195" s="129"/>
      <c r="Q195" s="129">
        <f t="shared" si="30"/>
        <v>0</v>
      </c>
      <c r="R195" s="129" t="str">
        <f t="shared" si="23"/>
        <v>0h0</v>
      </c>
      <c r="S195" s="138">
        <f t="shared" si="26"/>
        <v>0</v>
      </c>
      <c r="T195" s="129" t="str">
        <f t="shared" si="24"/>
        <v>0h0</v>
      </c>
    </row>
    <row r="196" spans="2:20" x14ac:dyDescent="0.3">
      <c r="B196" s="128">
        <f t="shared" si="27"/>
        <v>46386</v>
      </c>
      <c r="C196" s="129" t="str">
        <f t="shared" si="21"/>
        <v>Wednesday</v>
      </c>
      <c r="D196" s="138" t="s">
        <v>84</v>
      </c>
      <c r="E196" s="129"/>
      <c r="F196" s="129"/>
      <c r="G196" s="129">
        <f t="shared" si="28"/>
        <v>0</v>
      </c>
      <c r="H196" s="129" t="str">
        <f t="shared" si="25"/>
        <v>0h0</v>
      </c>
      <c r="I196" s="138" t="s">
        <v>84</v>
      </c>
      <c r="J196" s="129"/>
      <c r="K196" s="129"/>
      <c r="L196" s="129">
        <f t="shared" si="29"/>
        <v>0</v>
      </c>
      <c r="M196" s="129" t="str">
        <f t="shared" si="22"/>
        <v>0h0</v>
      </c>
      <c r="N196" s="138" t="s">
        <v>84</v>
      </c>
      <c r="O196" s="129"/>
      <c r="P196" s="129"/>
      <c r="Q196" s="129">
        <f t="shared" si="30"/>
        <v>0</v>
      </c>
      <c r="R196" s="129" t="str">
        <f t="shared" si="23"/>
        <v>0h0</v>
      </c>
      <c r="S196" s="138">
        <f t="shared" si="26"/>
        <v>0</v>
      </c>
      <c r="T196" s="129" t="str">
        <f t="shared" si="24"/>
        <v>0h0</v>
      </c>
    </row>
    <row r="197" spans="2:20" x14ac:dyDescent="0.3">
      <c r="B197" s="128">
        <f t="shared" si="27"/>
        <v>46387</v>
      </c>
      <c r="C197" s="129" t="str">
        <f t="shared" si="21"/>
        <v>Thursday</v>
      </c>
      <c r="D197" s="138" t="s">
        <v>84</v>
      </c>
      <c r="E197" s="129"/>
      <c r="F197" s="129"/>
      <c r="G197" s="129">
        <f t="shared" si="28"/>
        <v>0</v>
      </c>
      <c r="H197" s="129" t="str">
        <f t="shared" si="25"/>
        <v>0h0</v>
      </c>
      <c r="I197" s="138" t="s">
        <v>84</v>
      </c>
      <c r="J197" s="129"/>
      <c r="K197" s="129"/>
      <c r="L197" s="129">
        <f t="shared" si="29"/>
        <v>0</v>
      </c>
      <c r="M197" s="129" t="str">
        <f t="shared" si="22"/>
        <v>0h0</v>
      </c>
      <c r="N197" s="138" t="s">
        <v>84</v>
      </c>
      <c r="O197" s="129"/>
      <c r="P197" s="129"/>
      <c r="Q197" s="129">
        <f t="shared" si="30"/>
        <v>0</v>
      </c>
      <c r="R197" s="129" t="str">
        <f t="shared" si="23"/>
        <v>0h0</v>
      </c>
      <c r="S197" s="138">
        <f t="shared" si="26"/>
        <v>0</v>
      </c>
      <c r="T197" s="129" t="str">
        <f t="shared" si="24"/>
        <v>0h0</v>
      </c>
    </row>
    <row r="198" spans="2:20" x14ac:dyDescent="0.3">
      <c r="B198" s="128">
        <f t="shared" si="27"/>
        <v>46388</v>
      </c>
      <c r="C198" s="129" t="str">
        <f t="shared" ref="C198:C261" si="31">CHOOSE(WEEKDAY(B198,2),"Monday","Tuesday","Wednesday","Thursday","Friday","Saturday","Sunday")</f>
        <v>Friday</v>
      </c>
      <c r="D198" s="138" t="s">
        <v>84</v>
      </c>
      <c r="E198" s="129"/>
      <c r="F198" s="129"/>
      <c r="G198" s="129">
        <f t="shared" si="28"/>
        <v>0</v>
      </c>
      <c r="H198" s="129" t="str">
        <f t="shared" si="25"/>
        <v>0h0</v>
      </c>
      <c r="I198" s="138" t="s">
        <v>84</v>
      </c>
      <c r="J198" s="129"/>
      <c r="K198" s="129"/>
      <c r="L198" s="129">
        <f t="shared" si="29"/>
        <v>0</v>
      </c>
      <c r="M198" s="129" t="str">
        <f t="shared" ref="M198:M261" si="32">ROUNDDOWN(L198/60, 0)&amp;"h"&amp;ROUNDUP((L198/60-ROUNDDOWN(L198/60, 0))*60,0)</f>
        <v>0h0</v>
      </c>
      <c r="N198" s="138" t="s">
        <v>84</v>
      </c>
      <c r="O198" s="129"/>
      <c r="P198" s="129"/>
      <c r="Q198" s="129">
        <f t="shared" si="30"/>
        <v>0</v>
      </c>
      <c r="R198" s="129" t="str">
        <f t="shared" ref="R198:R261" si="33">ROUNDDOWN(Q198/60, 0)&amp;"h"&amp;ROUNDUP((Q198/60-ROUNDDOWN(Q198/60, 0))*60,0)</f>
        <v>0h0</v>
      </c>
      <c r="S198" s="138">
        <f t="shared" si="26"/>
        <v>0</v>
      </c>
      <c r="T198" s="129" t="str">
        <f t="shared" ref="T198:T261" si="34">ROUNDDOWN(S198/60, 0)&amp;"h"&amp;ROUNDUP((S198/60-ROUNDDOWN(S198/60, 0))*60,0)</f>
        <v>0h0</v>
      </c>
    </row>
    <row r="199" spans="2:20" x14ac:dyDescent="0.3">
      <c r="B199" s="128">
        <f t="shared" si="27"/>
        <v>46389</v>
      </c>
      <c r="C199" s="129" t="str">
        <f t="shared" si="31"/>
        <v>Saturday</v>
      </c>
      <c r="D199" s="138" t="s">
        <v>84</v>
      </c>
      <c r="E199" s="129"/>
      <c r="F199" s="129"/>
      <c r="G199" s="129">
        <f t="shared" si="28"/>
        <v>0</v>
      </c>
      <c r="H199" s="129" t="str">
        <f t="shared" ref="H199:H262" si="35">ROUNDDOWN(G199/60, 0)&amp;"h"&amp;ROUNDUP((G199/60-ROUNDDOWN(G199/60, 0))*60,0)</f>
        <v>0h0</v>
      </c>
      <c r="I199" s="138" t="s">
        <v>84</v>
      </c>
      <c r="J199" s="129"/>
      <c r="K199" s="129"/>
      <c r="L199" s="129">
        <f t="shared" si="29"/>
        <v>0</v>
      </c>
      <c r="M199" s="129" t="str">
        <f t="shared" si="32"/>
        <v>0h0</v>
      </c>
      <c r="N199" s="138" t="s">
        <v>84</v>
      </c>
      <c r="O199" s="129"/>
      <c r="P199" s="129"/>
      <c r="Q199" s="129">
        <f t="shared" si="30"/>
        <v>0</v>
      </c>
      <c r="R199" s="129" t="str">
        <f t="shared" si="33"/>
        <v>0h0</v>
      </c>
      <c r="S199" s="138">
        <f t="shared" ref="S199:S262" si="36">G199+L199+Q199</f>
        <v>0</v>
      </c>
      <c r="T199" s="129" t="str">
        <f t="shared" si="34"/>
        <v>0h0</v>
      </c>
    </row>
    <row r="200" spans="2:20" x14ac:dyDescent="0.3">
      <c r="B200" s="128">
        <f t="shared" ref="B200:B263" si="37">B199+1</f>
        <v>46390</v>
      </c>
      <c r="C200" s="129" t="str">
        <f t="shared" si="31"/>
        <v>Sunday</v>
      </c>
      <c r="D200" s="138" t="s">
        <v>84</v>
      </c>
      <c r="E200" s="129"/>
      <c r="F200" s="129"/>
      <c r="G200" s="129">
        <f t="shared" ref="G200:G263" si="38">E200*25+F200</f>
        <v>0</v>
      </c>
      <c r="H200" s="129" t="str">
        <f t="shared" si="35"/>
        <v>0h0</v>
      </c>
      <c r="I200" s="138" t="s">
        <v>84</v>
      </c>
      <c r="J200" s="129"/>
      <c r="K200" s="129"/>
      <c r="L200" s="129">
        <f t="shared" ref="L200:L263" si="39">J200*25+K200</f>
        <v>0</v>
      </c>
      <c r="M200" s="129" t="str">
        <f t="shared" si="32"/>
        <v>0h0</v>
      </c>
      <c r="N200" s="138" t="s">
        <v>84</v>
      </c>
      <c r="O200" s="129"/>
      <c r="P200" s="129"/>
      <c r="Q200" s="129">
        <f t="shared" ref="Q200:Q263" si="40">O200*25+P200</f>
        <v>0</v>
      </c>
      <c r="R200" s="129" t="str">
        <f t="shared" si="33"/>
        <v>0h0</v>
      </c>
      <c r="S200" s="138">
        <f t="shared" si="36"/>
        <v>0</v>
      </c>
      <c r="T200" s="129" t="str">
        <f t="shared" si="34"/>
        <v>0h0</v>
      </c>
    </row>
    <row r="201" spans="2:20" x14ac:dyDescent="0.3">
      <c r="B201" s="128">
        <f t="shared" si="37"/>
        <v>46391</v>
      </c>
      <c r="C201" s="129" t="str">
        <f t="shared" si="31"/>
        <v>Monday</v>
      </c>
      <c r="D201" s="138" t="s">
        <v>84</v>
      </c>
      <c r="E201" s="129"/>
      <c r="F201" s="129"/>
      <c r="G201" s="129">
        <f t="shared" si="38"/>
        <v>0</v>
      </c>
      <c r="H201" s="129" t="str">
        <f t="shared" si="35"/>
        <v>0h0</v>
      </c>
      <c r="I201" s="138" t="s">
        <v>84</v>
      </c>
      <c r="J201" s="129"/>
      <c r="K201" s="129"/>
      <c r="L201" s="129">
        <f t="shared" si="39"/>
        <v>0</v>
      </c>
      <c r="M201" s="129" t="str">
        <f t="shared" si="32"/>
        <v>0h0</v>
      </c>
      <c r="N201" s="138" t="s">
        <v>84</v>
      </c>
      <c r="O201" s="129"/>
      <c r="P201" s="129"/>
      <c r="Q201" s="129">
        <f t="shared" si="40"/>
        <v>0</v>
      </c>
      <c r="R201" s="129" t="str">
        <f t="shared" si="33"/>
        <v>0h0</v>
      </c>
      <c r="S201" s="138">
        <f t="shared" si="36"/>
        <v>0</v>
      </c>
      <c r="T201" s="129" t="str">
        <f t="shared" si="34"/>
        <v>0h0</v>
      </c>
    </row>
    <row r="202" spans="2:20" x14ac:dyDescent="0.3">
      <c r="B202" s="128">
        <f t="shared" si="37"/>
        <v>46392</v>
      </c>
      <c r="C202" s="129" t="str">
        <f t="shared" si="31"/>
        <v>Tuesday</v>
      </c>
      <c r="D202" s="138" t="s">
        <v>84</v>
      </c>
      <c r="E202" s="129"/>
      <c r="F202" s="129"/>
      <c r="G202" s="129">
        <f t="shared" si="38"/>
        <v>0</v>
      </c>
      <c r="H202" s="129" t="str">
        <f t="shared" si="35"/>
        <v>0h0</v>
      </c>
      <c r="I202" s="138" t="s">
        <v>84</v>
      </c>
      <c r="J202" s="129"/>
      <c r="K202" s="129"/>
      <c r="L202" s="129">
        <f t="shared" si="39"/>
        <v>0</v>
      </c>
      <c r="M202" s="129" t="str">
        <f t="shared" si="32"/>
        <v>0h0</v>
      </c>
      <c r="N202" s="138" t="s">
        <v>84</v>
      </c>
      <c r="O202" s="129"/>
      <c r="P202" s="129"/>
      <c r="Q202" s="129">
        <f t="shared" si="40"/>
        <v>0</v>
      </c>
      <c r="R202" s="129" t="str">
        <f t="shared" si="33"/>
        <v>0h0</v>
      </c>
      <c r="S202" s="138">
        <f t="shared" si="36"/>
        <v>0</v>
      </c>
      <c r="T202" s="129" t="str">
        <f t="shared" si="34"/>
        <v>0h0</v>
      </c>
    </row>
    <row r="203" spans="2:20" x14ac:dyDescent="0.3">
      <c r="B203" s="128">
        <f t="shared" si="37"/>
        <v>46393</v>
      </c>
      <c r="C203" s="129" t="str">
        <f t="shared" si="31"/>
        <v>Wednesday</v>
      </c>
      <c r="D203" s="138" t="s">
        <v>84</v>
      </c>
      <c r="E203" s="129"/>
      <c r="F203" s="129"/>
      <c r="G203" s="129">
        <f t="shared" si="38"/>
        <v>0</v>
      </c>
      <c r="H203" s="129" t="str">
        <f t="shared" si="35"/>
        <v>0h0</v>
      </c>
      <c r="I203" s="138" t="s">
        <v>84</v>
      </c>
      <c r="J203" s="129"/>
      <c r="K203" s="129"/>
      <c r="L203" s="129">
        <f t="shared" si="39"/>
        <v>0</v>
      </c>
      <c r="M203" s="129" t="str">
        <f t="shared" si="32"/>
        <v>0h0</v>
      </c>
      <c r="N203" s="138" t="s">
        <v>84</v>
      </c>
      <c r="O203" s="129"/>
      <c r="P203" s="129"/>
      <c r="Q203" s="129">
        <f t="shared" si="40"/>
        <v>0</v>
      </c>
      <c r="R203" s="129" t="str">
        <f t="shared" si="33"/>
        <v>0h0</v>
      </c>
      <c r="S203" s="138">
        <f t="shared" si="36"/>
        <v>0</v>
      </c>
      <c r="T203" s="129" t="str">
        <f t="shared" si="34"/>
        <v>0h0</v>
      </c>
    </row>
    <row r="204" spans="2:20" x14ac:dyDescent="0.3">
      <c r="B204" s="128">
        <f t="shared" si="37"/>
        <v>46394</v>
      </c>
      <c r="C204" s="129" t="str">
        <f t="shared" si="31"/>
        <v>Thursday</v>
      </c>
      <c r="D204" s="138" t="s">
        <v>84</v>
      </c>
      <c r="E204" s="129"/>
      <c r="F204" s="129"/>
      <c r="G204" s="129">
        <f t="shared" si="38"/>
        <v>0</v>
      </c>
      <c r="H204" s="129" t="str">
        <f t="shared" si="35"/>
        <v>0h0</v>
      </c>
      <c r="I204" s="138" t="s">
        <v>84</v>
      </c>
      <c r="J204" s="129"/>
      <c r="K204" s="129"/>
      <c r="L204" s="129">
        <f t="shared" si="39"/>
        <v>0</v>
      </c>
      <c r="M204" s="129" t="str">
        <f t="shared" si="32"/>
        <v>0h0</v>
      </c>
      <c r="N204" s="138" t="s">
        <v>84</v>
      </c>
      <c r="O204" s="129"/>
      <c r="P204" s="129"/>
      <c r="Q204" s="129">
        <f t="shared" si="40"/>
        <v>0</v>
      </c>
      <c r="R204" s="129" t="str">
        <f t="shared" si="33"/>
        <v>0h0</v>
      </c>
      <c r="S204" s="138">
        <f t="shared" si="36"/>
        <v>0</v>
      </c>
      <c r="T204" s="129" t="str">
        <f t="shared" si="34"/>
        <v>0h0</v>
      </c>
    </row>
    <row r="205" spans="2:20" x14ac:dyDescent="0.3">
      <c r="B205" s="128">
        <f t="shared" si="37"/>
        <v>46395</v>
      </c>
      <c r="C205" s="129" t="str">
        <f t="shared" si="31"/>
        <v>Friday</v>
      </c>
      <c r="D205" s="138" t="s">
        <v>84</v>
      </c>
      <c r="E205" s="129"/>
      <c r="F205" s="129"/>
      <c r="G205" s="129">
        <f t="shared" si="38"/>
        <v>0</v>
      </c>
      <c r="H205" s="129" t="str">
        <f t="shared" si="35"/>
        <v>0h0</v>
      </c>
      <c r="I205" s="138" t="s">
        <v>84</v>
      </c>
      <c r="J205" s="129"/>
      <c r="K205" s="129"/>
      <c r="L205" s="129">
        <f t="shared" si="39"/>
        <v>0</v>
      </c>
      <c r="M205" s="129" t="str">
        <f t="shared" si="32"/>
        <v>0h0</v>
      </c>
      <c r="N205" s="138" t="s">
        <v>84</v>
      </c>
      <c r="O205" s="129"/>
      <c r="P205" s="129"/>
      <c r="Q205" s="129">
        <f t="shared" si="40"/>
        <v>0</v>
      </c>
      <c r="R205" s="129" t="str">
        <f t="shared" si="33"/>
        <v>0h0</v>
      </c>
      <c r="S205" s="138">
        <f t="shared" si="36"/>
        <v>0</v>
      </c>
      <c r="T205" s="129" t="str">
        <f t="shared" si="34"/>
        <v>0h0</v>
      </c>
    </row>
    <row r="206" spans="2:20" x14ac:dyDescent="0.3">
      <c r="B206" s="128">
        <f t="shared" si="37"/>
        <v>46396</v>
      </c>
      <c r="C206" s="129" t="str">
        <f t="shared" si="31"/>
        <v>Saturday</v>
      </c>
      <c r="D206" s="138" t="s">
        <v>84</v>
      </c>
      <c r="E206" s="129"/>
      <c r="F206" s="129"/>
      <c r="G206" s="129">
        <f t="shared" si="38"/>
        <v>0</v>
      </c>
      <c r="H206" s="129" t="str">
        <f t="shared" si="35"/>
        <v>0h0</v>
      </c>
      <c r="I206" s="138" t="s">
        <v>84</v>
      </c>
      <c r="J206" s="129"/>
      <c r="K206" s="129"/>
      <c r="L206" s="129">
        <f t="shared" si="39"/>
        <v>0</v>
      </c>
      <c r="M206" s="129" t="str">
        <f t="shared" si="32"/>
        <v>0h0</v>
      </c>
      <c r="N206" s="138" t="s">
        <v>84</v>
      </c>
      <c r="O206" s="129"/>
      <c r="P206" s="129"/>
      <c r="Q206" s="129">
        <f t="shared" si="40"/>
        <v>0</v>
      </c>
      <c r="R206" s="129" t="str">
        <f t="shared" si="33"/>
        <v>0h0</v>
      </c>
      <c r="S206" s="138">
        <f t="shared" si="36"/>
        <v>0</v>
      </c>
      <c r="T206" s="129" t="str">
        <f t="shared" si="34"/>
        <v>0h0</v>
      </c>
    </row>
    <row r="207" spans="2:20" x14ac:dyDescent="0.3">
      <c r="B207" s="128">
        <f t="shared" si="37"/>
        <v>46397</v>
      </c>
      <c r="C207" s="129" t="str">
        <f t="shared" si="31"/>
        <v>Sunday</v>
      </c>
      <c r="D207" s="138" t="s">
        <v>84</v>
      </c>
      <c r="E207" s="129"/>
      <c r="F207" s="129"/>
      <c r="G207" s="129">
        <f t="shared" si="38"/>
        <v>0</v>
      </c>
      <c r="H207" s="129" t="str">
        <f t="shared" si="35"/>
        <v>0h0</v>
      </c>
      <c r="I207" s="138" t="s">
        <v>84</v>
      </c>
      <c r="J207" s="129"/>
      <c r="K207" s="129"/>
      <c r="L207" s="129">
        <f t="shared" si="39"/>
        <v>0</v>
      </c>
      <c r="M207" s="129" t="str">
        <f t="shared" si="32"/>
        <v>0h0</v>
      </c>
      <c r="N207" s="138" t="s">
        <v>84</v>
      </c>
      <c r="O207" s="129"/>
      <c r="P207" s="129"/>
      <c r="Q207" s="129">
        <f t="shared" si="40"/>
        <v>0</v>
      </c>
      <c r="R207" s="129" t="str">
        <f t="shared" si="33"/>
        <v>0h0</v>
      </c>
      <c r="S207" s="138">
        <f t="shared" si="36"/>
        <v>0</v>
      </c>
      <c r="T207" s="129" t="str">
        <f t="shared" si="34"/>
        <v>0h0</v>
      </c>
    </row>
    <row r="208" spans="2:20" x14ac:dyDescent="0.3">
      <c r="B208" s="128">
        <f t="shared" si="37"/>
        <v>46398</v>
      </c>
      <c r="C208" s="129" t="str">
        <f t="shared" si="31"/>
        <v>Monday</v>
      </c>
      <c r="D208" s="138" t="s">
        <v>84</v>
      </c>
      <c r="E208" s="129"/>
      <c r="F208" s="129"/>
      <c r="G208" s="129">
        <f t="shared" si="38"/>
        <v>0</v>
      </c>
      <c r="H208" s="129" t="str">
        <f t="shared" si="35"/>
        <v>0h0</v>
      </c>
      <c r="I208" s="138" t="s">
        <v>84</v>
      </c>
      <c r="J208" s="129"/>
      <c r="K208" s="129"/>
      <c r="L208" s="129">
        <f t="shared" si="39"/>
        <v>0</v>
      </c>
      <c r="M208" s="129" t="str">
        <f t="shared" si="32"/>
        <v>0h0</v>
      </c>
      <c r="N208" s="138" t="s">
        <v>84</v>
      </c>
      <c r="O208" s="129"/>
      <c r="P208" s="129"/>
      <c r="Q208" s="129">
        <f t="shared" si="40"/>
        <v>0</v>
      </c>
      <c r="R208" s="129" t="str">
        <f t="shared" si="33"/>
        <v>0h0</v>
      </c>
      <c r="S208" s="138">
        <f t="shared" si="36"/>
        <v>0</v>
      </c>
      <c r="T208" s="129" t="str">
        <f t="shared" si="34"/>
        <v>0h0</v>
      </c>
    </row>
    <row r="209" spans="2:20" x14ac:dyDescent="0.3">
      <c r="B209" s="128">
        <f t="shared" si="37"/>
        <v>46399</v>
      </c>
      <c r="C209" s="129" t="str">
        <f t="shared" si="31"/>
        <v>Tuesday</v>
      </c>
      <c r="D209" s="138" t="s">
        <v>84</v>
      </c>
      <c r="E209" s="129"/>
      <c r="F209" s="129"/>
      <c r="G209" s="129">
        <f t="shared" si="38"/>
        <v>0</v>
      </c>
      <c r="H209" s="129" t="str">
        <f t="shared" si="35"/>
        <v>0h0</v>
      </c>
      <c r="I209" s="138" t="s">
        <v>84</v>
      </c>
      <c r="J209" s="129"/>
      <c r="K209" s="129"/>
      <c r="L209" s="129">
        <f t="shared" si="39"/>
        <v>0</v>
      </c>
      <c r="M209" s="129" t="str">
        <f t="shared" si="32"/>
        <v>0h0</v>
      </c>
      <c r="N209" s="138" t="s">
        <v>84</v>
      </c>
      <c r="O209" s="129"/>
      <c r="P209" s="129"/>
      <c r="Q209" s="129">
        <f t="shared" si="40"/>
        <v>0</v>
      </c>
      <c r="R209" s="129" t="str">
        <f t="shared" si="33"/>
        <v>0h0</v>
      </c>
      <c r="S209" s="138">
        <f t="shared" si="36"/>
        <v>0</v>
      </c>
      <c r="T209" s="129" t="str">
        <f t="shared" si="34"/>
        <v>0h0</v>
      </c>
    </row>
    <row r="210" spans="2:20" x14ac:dyDescent="0.3">
      <c r="B210" s="128">
        <f t="shared" si="37"/>
        <v>46400</v>
      </c>
      <c r="C210" s="129" t="str">
        <f t="shared" si="31"/>
        <v>Wednesday</v>
      </c>
      <c r="D210" s="138" t="s">
        <v>84</v>
      </c>
      <c r="E210" s="129"/>
      <c r="F210" s="129"/>
      <c r="G210" s="129">
        <f t="shared" si="38"/>
        <v>0</v>
      </c>
      <c r="H210" s="129" t="str">
        <f t="shared" si="35"/>
        <v>0h0</v>
      </c>
      <c r="I210" s="138" t="s">
        <v>84</v>
      </c>
      <c r="J210" s="129"/>
      <c r="K210" s="129"/>
      <c r="L210" s="129">
        <f t="shared" si="39"/>
        <v>0</v>
      </c>
      <c r="M210" s="129" t="str">
        <f t="shared" si="32"/>
        <v>0h0</v>
      </c>
      <c r="N210" s="138" t="s">
        <v>84</v>
      </c>
      <c r="O210" s="129"/>
      <c r="P210" s="129"/>
      <c r="Q210" s="129">
        <f t="shared" si="40"/>
        <v>0</v>
      </c>
      <c r="R210" s="129" t="str">
        <f t="shared" si="33"/>
        <v>0h0</v>
      </c>
      <c r="S210" s="138">
        <f t="shared" si="36"/>
        <v>0</v>
      </c>
      <c r="T210" s="129" t="str">
        <f t="shared" si="34"/>
        <v>0h0</v>
      </c>
    </row>
    <row r="211" spans="2:20" x14ac:dyDescent="0.3">
      <c r="B211" s="128">
        <f t="shared" si="37"/>
        <v>46401</v>
      </c>
      <c r="C211" s="129" t="str">
        <f t="shared" si="31"/>
        <v>Thursday</v>
      </c>
      <c r="D211" s="138" t="s">
        <v>84</v>
      </c>
      <c r="E211" s="129"/>
      <c r="F211" s="129"/>
      <c r="G211" s="129">
        <f t="shared" si="38"/>
        <v>0</v>
      </c>
      <c r="H211" s="129" t="str">
        <f t="shared" si="35"/>
        <v>0h0</v>
      </c>
      <c r="I211" s="138" t="s">
        <v>84</v>
      </c>
      <c r="J211" s="129"/>
      <c r="K211" s="129"/>
      <c r="L211" s="129">
        <f t="shared" si="39"/>
        <v>0</v>
      </c>
      <c r="M211" s="129" t="str">
        <f t="shared" si="32"/>
        <v>0h0</v>
      </c>
      <c r="N211" s="138" t="s">
        <v>84</v>
      </c>
      <c r="O211" s="129"/>
      <c r="P211" s="129"/>
      <c r="Q211" s="129">
        <f t="shared" si="40"/>
        <v>0</v>
      </c>
      <c r="R211" s="129" t="str">
        <f t="shared" si="33"/>
        <v>0h0</v>
      </c>
      <c r="S211" s="138">
        <f t="shared" si="36"/>
        <v>0</v>
      </c>
      <c r="T211" s="129" t="str">
        <f t="shared" si="34"/>
        <v>0h0</v>
      </c>
    </row>
    <row r="212" spans="2:20" x14ac:dyDescent="0.3">
      <c r="B212" s="128">
        <f t="shared" si="37"/>
        <v>46402</v>
      </c>
      <c r="C212" s="129" t="str">
        <f t="shared" si="31"/>
        <v>Friday</v>
      </c>
      <c r="D212" s="138" t="s">
        <v>84</v>
      </c>
      <c r="E212" s="129"/>
      <c r="F212" s="129"/>
      <c r="G212" s="129">
        <f t="shared" si="38"/>
        <v>0</v>
      </c>
      <c r="H212" s="129" t="str">
        <f t="shared" si="35"/>
        <v>0h0</v>
      </c>
      <c r="I212" s="138" t="s">
        <v>84</v>
      </c>
      <c r="J212" s="129"/>
      <c r="K212" s="129"/>
      <c r="L212" s="129">
        <f t="shared" si="39"/>
        <v>0</v>
      </c>
      <c r="M212" s="129" t="str">
        <f t="shared" si="32"/>
        <v>0h0</v>
      </c>
      <c r="N212" s="138" t="s">
        <v>84</v>
      </c>
      <c r="O212" s="129"/>
      <c r="P212" s="129"/>
      <c r="Q212" s="129">
        <f t="shared" si="40"/>
        <v>0</v>
      </c>
      <c r="R212" s="129" t="str">
        <f t="shared" si="33"/>
        <v>0h0</v>
      </c>
      <c r="S212" s="138">
        <f t="shared" si="36"/>
        <v>0</v>
      </c>
      <c r="T212" s="129" t="str">
        <f t="shared" si="34"/>
        <v>0h0</v>
      </c>
    </row>
    <row r="213" spans="2:20" x14ac:dyDescent="0.3">
      <c r="B213" s="128">
        <f t="shared" si="37"/>
        <v>46403</v>
      </c>
      <c r="C213" s="129" t="str">
        <f t="shared" si="31"/>
        <v>Saturday</v>
      </c>
      <c r="D213" s="138" t="s">
        <v>84</v>
      </c>
      <c r="E213" s="129"/>
      <c r="F213" s="129"/>
      <c r="G213" s="129">
        <f t="shared" si="38"/>
        <v>0</v>
      </c>
      <c r="H213" s="129" t="str">
        <f t="shared" si="35"/>
        <v>0h0</v>
      </c>
      <c r="I213" s="138" t="s">
        <v>84</v>
      </c>
      <c r="J213" s="129"/>
      <c r="K213" s="129"/>
      <c r="L213" s="129">
        <f t="shared" si="39"/>
        <v>0</v>
      </c>
      <c r="M213" s="129" t="str">
        <f t="shared" si="32"/>
        <v>0h0</v>
      </c>
      <c r="N213" s="138" t="s">
        <v>84</v>
      </c>
      <c r="O213" s="129"/>
      <c r="P213" s="129"/>
      <c r="Q213" s="129">
        <f t="shared" si="40"/>
        <v>0</v>
      </c>
      <c r="R213" s="129" t="str">
        <f t="shared" si="33"/>
        <v>0h0</v>
      </c>
      <c r="S213" s="138">
        <f t="shared" si="36"/>
        <v>0</v>
      </c>
      <c r="T213" s="129" t="str">
        <f t="shared" si="34"/>
        <v>0h0</v>
      </c>
    </row>
    <row r="214" spans="2:20" x14ac:dyDescent="0.3">
      <c r="B214" s="128">
        <f t="shared" si="37"/>
        <v>46404</v>
      </c>
      <c r="C214" s="129" t="str">
        <f t="shared" si="31"/>
        <v>Sunday</v>
      </c>
      <c r="D214" s="138" t="s">
        <v>84</v>
      </c>
      <c r="E214" s="129"/>
      <c r="F214" s="129"/>
      <c r="G214" s="129">
        <f t="shared" si="38"/>
        <v>0</v>
      </c>
      <c r="H214" s="129" t="str">
        <f t="shared" si="35"/>
        <v>0h0</v>
      </c>
      <c r="I214" s="138" t="s">
        <v>84</v>
      </c>
      <c r="J214" s="129"/>
      <c r="K214" s="129"/>
      <c r="L214" s="129">
        <f t="shared" si="39"/>
        <v>0</v>
      </c>
      <c r="M214" s="129" t="str">
        <f t="shared" si="32"/>
        <v>0h0</v>
      </c>
      <c r="N214" s="138" t="s">
        <v>84</v>
      </c>
      <c r="O214" s="129"/>
      <c r="P214" s="129"/>
      <c r="Q214" s="129">
        <f t="shared" si="40"/>
        <v>0</v>
      </c>
      <c r="R214" s="129" t="str">
        <f t="shared" si="33"/>
        <v>0h0</v>
      </c>
      <c r="S214" s="138">
        <f t="shared" si="36"/>
        <v>0</v>
      </c>
      <c r="T214" s="129" t="str">
        <f t="shared" si="34"/>
        <v>0h0</v>
      </c>
    </row>
    <row r="215" spans="2:20" x14ac:dyDescent="0.3">
      <c r="B215" s="128">
        <f t="shared" si="37"/>
        <v>46405</v>
      </c>
      <c r="C215" s="129" t="str">
        <f t="shared" si="31"/>
        <v>Monday</v>
      </c>
      <c r="D215" s="138" t="s">
        <v>84</v>
      </c>
      <c r="E215" s="129"/>
      <c r="F215" s="129"/>
      <c r="G215" s="129">
        <f t="shared" si="38"/>
        <v>0</v>
      </c>
      <c r="H215" s="129" t="str">
        <f t="shared" si="35"/>
        <v>0h0</v>
      </c>
      <c r="I215" s="138" t="s">
        <v>84</v>
      </c>
      <c r="J215" s="129"/>
      <c r="K215" s="129"/>
      <c r="L215" s="129">
        <f t="shared" si="39"/>
        <v>0</v>
      </c>
      <c r="M215" s="129" t="str">
        <f t="shared" si="32"/>
        <v>0h0</v>
      </c>
      <c r="N215" s="138" t="s">
        <v>84</v>
      </c>
      <c r="O215" s="129"/>
      <c r="P215" s="129"/>
      <c r="Q215" s="129">
        <f t="shared" si="40"/>
        <v>0</v>
      </c>
      <c r="R215" s="129" t="str">
        <f t="shared" si="33"/>
        <v>0h0</v>
      </c>
      <c r="S215" s="138">
        <f t="shared" si="36"/>
        <v>0</v>
      </c>
      <c r="T215" s="129" t="str">
        <f t="shared" si="34"/>
        <v>0h0</v>
      </c>
    </row>
    <row r="216" spans="2:20" x14ac:dyDescent="0.3">
      <c r="B216" s="128">
        <f t="shared" si="37"/>
        <v>46406</v>
      </c>
      <c r="C216" s="129" t="str">
        <f t="shared" si="31"/>
        <v>Tuesday</v>
      </c>
      <c r="D216" s="138" t="s">
        <v>84</v>
      </c>
      <c r="E216" s="129"/>
      <c r="F216" s="129"/>
      <c r="G216" s="129">
        <f t="shared" si="38"/>
        <v>0</v>
      </c>
      <c r="H216" s="129" t="str">
        <f t="shared" si="35"/>
        <v>0h0</v>
      </c>
      <c r="I216" s="138" t="s">
        <v>84</v>
      </c>
      <c r="J216" s="129"/>
      <c r="K216" s="129"/>
      <c r="L216" s="129">
        <f t="shared" si="39"/>
        <v>0</v>
      </c>
      <c r="M216" s="129" t="str">
        <f t="shared" si="32"/>
        <v>0h0</v>
      </c>
      <c r="N216" s="138" t="s">
        <v>84</v>
      </c>
      <c r="O216" s="129"/>
      <c r="P216" s="129"/>
      <c r="Q216" s="129">
        <f t="shared" si="40"/>
        <v>0</v>
      </c>
      <c r="R216" s="129" t="str">
        <f t="shared" si="33"/>
        <v>0h0</v>
      </c>
      <c r="S216" s="138">
        <f t="shared" si="36"/>
        <v>0</v>
      </c>
      <c r="T216" s="129" t="str">
        <f t="shared" si="34"/>
        <v>0h0</v>
      </c>
    </row>
    <row r="217" spans="2:20" x14ac:dyDescent="0.3">
      <c r="B217" s="128">
        <f t="shared" si="37"/>
        <v>46407</v>
      </c>
      <c r="C217" s="129" t="str">
        <f t="shared" si="31"/>
        <v>Wednesday</v>
      </c>
      <c r="D217" s="138" t="s">
        <v>84</v>
      </c>
      <c r="E217" s="129"/>
      <c r="F217" s="129"/>
      <c r="G217" s="129">
        <f t="shared" si="38"/>
        <v>0</v>
      </c>
      <c r="H217" s="129" t="str">
        <f t="shared" si="35"/>
        <v>0h0</v>
      </c>
      <c r="I217" s="138" t="s">
        <v>84</v>
      </c>
      <c r="J217" s="129"/>
      <c r="K217" s="129"/>
      <c r="L217" s="129">
        <f t="shared" si="39"/>
        <v>0</v>
      </c>
      <c r="M217" s="129" t="str">
        <f t="shared" si="32"/>
        <v>0h0</v>
      </c>
      <c r="N217" s="138" t="s">
        <v>84</v>
      </c>
      <c r="O217" s="129"/>
      <c r="P217" s="129"/>
      <c r="Q217" s="129">
        <f t="shared" si="40"/>
        <v>0</v>
      </c>
      <c r="R217" s="129" t="str">
        <f t="shared" si="33"/>
        <v>0h0</v>
      </c>
      <c r="S217" s="138">
        <f t="shared" si="36"/>
        <v>0</v>
      </c>
      <c r="T217" s="129" t="str">
        <f t="shared" si="34"/>
        <v>0h0</v>
      </c>
    </row>
    <row r="218" spans="2:20" x14ac:dyDescent="0.3">
      <c r="B218" s="128">
        <f t="shared" si="37"/>
        <v>46408</v>
      </c>
      <c r="C218" s="129" t="str">
        <f t="shared" si="31"/>
        <v>Thursday</v>
      </c>
      <c r="D218" s="138" t="s">
        <v>84</v>
      </c>
      <c r="E218" s="129"/>
      <c r="F218" s="129"/>
      <c r="G218" s="129">
        <f t="shared" si="38"/>
        <v>0</v>
      </c>
      <c r="H218" s="129" t="str">
        <f t="shared" si="35"/>
        <v>0h0</v>
      </c>
      <c r="I218" s="138" t="s">
        <v>84</v>
      </c>
      <c r="J218" s="129"/>
      <c r="K218" s="129"/>
      <c r="L218" s="129">
        <f t="shared" si="39"/>
        <v>0</v>
      </c>
      <c r="M218" s="129" t="str">
        <f t="shared" si="32"/>
        <v>0h0</v>
      </c>
      <c r="N218" s="138" t="s">
        <v>84</v>
      </c>
      <c r="O218" s="129"/>
      <c r="P218" s="129"/>
      <c r="Q218" s="129">
        <f t="shared" si="40"/>
        <v>0</v>
      </c>
      <c r="R218" s="129" t="str">
        <f t="shared" si="33"/>
        <v>0h0</v>
      </c>
      <c r="S218" s="138">
        <f t="shared" si="36"/>
        <v>0</v>
      </c>
      <c r="T218" s="129" t="str">
        <f t="shared" si="34"/>
        <v>0h0</v>
      </c>
    </row>
    <row r="219" spans="2:20" x14ac:dyDescent="0.3">
      <c r="B219" s="128">
        <f t="shared" si="37"/>
        <v>46409</v>
      </c>
      <c r="C219" s="129" t="str">
        <f t="shared" si="31"/>
        <v>Friday</v>
      </c>
      <c r="D219" s="138" t="s">
        <v>84</v>
      </c>
      <c r="E219" s="129"/>
      <c r="F219" s="129"/>
      <c r="G219" s="129">
        <f t="shared" si="38"/>
        <v>0</v>
      </c>
      <c r="H219" s="129" t="str">
        <f t="shared" si="35"/>
        <v>0h0</v>
      </c>
      <c r="I219" s="138" t="s">
        <v>84</v>
      </c>
      <c r="J219" s="129"/>
      <c r="K219" s="129"/>
      <c r="L219" s="129">
        <f t="shared" si="39"/>
        <v>0</v>
      </c>
      <c r="M219" s="129" t="str">
        <f t="shared" si="32"/>
        <v>0h0</v>
      </c>
      <c r="N219" s="138" t="s">
        <v>84</v>
      </c>
      <c r="O219" s="129"/>
      <c r="P219" s="129"/>
      <c r="Q219" s="129">
        <f t="shared" si="40"/>
        <v>0</v>
      </c>
      <c r="R219" s="129" t="str">
        <f t="shared" si="33"/>
        <v>0h0</v>
      </c>
      <c r="S219" s="138">
        <f t="shared" si="36"/>
        <v>0</v>
      </c>
      <c r="T219" s="129" t="str">
        <f t="shared" si="34"/>
        <v>0h0</v>
      </c>
    </row>
    <row r="220" spans="2:20" x14ac:dyDescent="0.3">
      <c r="B220" s="128">
        <f t="shared" si="37"/>
        <v>46410</v>
      </c>
      <c r="C220" s="129" t="str">
        <f t="shared" si="31"/>
        <v>Saturday</v>
      </c>
      <c r="D220" s="138" t="s">
        <v>84</v>
      </c>
      <c r="E220" s="129"/>
      <c r="F220" s="129"/>
      <c r="G220" s="129">
        <f t="shared" si="38"/>
        <v>0</v>
      </c>
      <c r="H220" s="129" t="str">
        <f t="shared" si="35"/>
        <v>0h0</v>
      </c>
      <c r="I220" s="138" t="s">
        <v>84</v>
      </c>
      <c r="J220" s="129"/>
      <c r="K220" s="129"/>
      <c r="L220" s="129">
        <f t="shared" si="39"/>
        <v>0</v>
      </c>
      <c r="M220" s="129" t="str">
        <f t="shared" si="32"/>
        <v>0h0</v>
      </c>
      <c r="N220" s="138" t="s">
        <v>84</v>
      </c>
      <c r="O220" s="129"/>
      <c r="P220" s="129"/>
      <c r="Q220" s="129">
        <f t="shared" si="40"/>
        <v>0</v>
      </c>
      <c r="R220" s="129" t="str">
        <f t="shared" si="33"/>
        <v>0h0</v>
      </c>
      <c r="S220" s="138">
        <f t="shared" si="36"/>
        <v>0</v>
      </c>
      <c r="T220" s="129" t="str">
        <f t="shared" si="34"/>
        <v>0h0</v>
      </c>
    </row>
    <row r="221" spans="2:20" x14ac:dyDescent="0.3">
      <c r="B221" s="128">
        <f t="shared" si="37"/>
        <v>46411</v>
      </c>
      <c r="C221" s="129" t="str">
        <f t="shared" si="31"/>
        <v>Sunday</v>
      </c>
      <c r="D221" s="138" t="s">
        <v>84</v>
      </c>
      <c r="E221" s="129"/>
      <c r="F221" s="129"/>
      <c r="G221" s="129">
        <f t="shared" si="38"/>
        <v>0</v>
      </c>
      <c r="H221" s="129" t="str">
        <f t="shared" si="35"/>
        <v>0h0</v>
      </c>
      <c r="I221" s="138" t="s">
        <v>84</v>
      </c>
      <c r="J221" s="129"/>
      <c r="K221" s="129"/>
      <c r="L221" s="129">
        <f t="shared" si="39"/>
        <v>0</v>
      </c>
      <c r="M221" s="129" t="str">
        <f t="shared" si="32"/>
        <v>0h0</v>
      </c>
      <c r="N221" s="138" t="s">
        <v>84</v>
      </c>
      <c r="O221" s="129"/>
      <c r="P221" s="129"/>
      <c r="Q221" s="129">
        <f t="shared" si="40"/>
        <v>0</v>
      </c>
      <c r="R221" s="129" t="str">
        <f t="shared" si="33"/>
        <v>0h0</v>
      </c>
      <c r="S221" s="138">
        <f t="shared" si="36"/>
        <v>0</v>
      </c>
      <c r="T221" s="129" t="str">
        <f t="shared" si="34"/>
        <v>0h0</v>
      </c>
    </row>
    <row r="222" spans="2:20" x14ac:dyDescent="0.3">
      <c r="B222" s="128">
        <f t="shared" si="37"/>
        <v>46412</v>
      </c>
      <c r="C222" s="129" t="str">
        <f t="shared" si="31"/>
        <v>Monday</v>
      </c>
      <c r="D222" s="138" t="s">
        <v>84</v>
      </c>
      <c r="E222" s="129"/>
      <c r="F222" s="129"/>
      <c r="G222" s="129">
        <f t="shared" si="38"/>
        <v>0</v>
      </c>
      <c r="H222" s="129" t="str">
        <f t="shared" si="35"/>
        <v>0h0</v>
      </c>
      <c r="I222" s="138" t="s">
        <v>84</v>
      </c>
      <c r="J222" s="129"/>
      <c r="K222" s="129"/>
      <c r="L222" s="129">
        <f t="shared" si="39"/>
        <v>0</v>
      </c>
      <c r="M222" s="129" t="str">
        <f t="shared" si="32"/>
        <v>0h0</v>
      </c>
      <c r="N222" s="138" t="s">
        <v>84</v>
      </c>
      <c r="O222" s="129"/>
      <c r="P222" s="129"/>
      <c r="Q222" s="129">
        <f t="shared" si="40"/>
        <v>0</v>
      </c>
      <c r="R222" s="129" t="str">
        <f t="shared" si="33"/>
        <v>0h0</v>
      </c>
      <c r="S222" s="138">
        <f t="shared" si="36"/>
        <v>0</v>
      </c>
      <c r="T222" s="129" t="str">
        <f t="shared" si="34"/>
        <v>0h0</v>
      </c>
    </row>
    <row r="223" spans="2:20" x14ac:dyDescent="0.3">
      <c r="B223" s="128">
        <f t="shared" si="37"/>
        <v>46413</v>
      </c>
      <c r="C223" s="129" t="str">
        <f t="shared" si="31"/>
        <v>Tuesday</v>
      </c>
      <c r="D223" s="138" t="s">
        <v>84</v>
      </c>
      <c r="E223" s="129"/>
      <c r="F223" s="129"/>
      <c r="G223" s="129">
        <f t="shared" si="38"/>
        <v>0</v>
      </c>
      <c r="H223" s="129" t="str">
        <f t="shared" si="35"/>
        <v>0h0</v>
      </c>
      <c r="I223" s="138" t="s">
        <v>84</v>
      </c>
      <c r="J223" s="129"/>
      <c r="K223" s="129"/>
      <c r="L223" s="129">
        <f t="shared" si="39"/>
        <v>0</v>
      </c>
      <c r="M223" s="129" t="str">
        <f t="shared" si="32"/>
        <v>0h0</v>
      </c>
      <c r="N223" s="138" t="s">
        <v>84</v>
      </c>
      <c r="O223" s="129"/>
      <c r="P223" s="129"/>
      <c r="Q223" s="129">
        <f t="shared" si="40"/>
        <v>0</v>
      </c>
      <c r="R223" s="129" t="str">
        <f t="shared" si="33"/>
        <v>0h0</v>
      </c>
      <c r="S223" s="138">
        <f t="shared" si="36"/>
        <v>0</v>
      </c>
      <c r="T223" s="129" t="str">
        <f t="shared" si="34"/>
        <v>0h0</v>
      </c>
    </row>
    <row r="224" spans="2:20" x14ac:dyDescent="0.3">
      <c r="B224" s="128">
        <f t="shared" si="37"/>
        <v>46414</v>
      </c>
      <c r="C224" s="129" t="str">
        <f t="shared" si="31"/>
        <v>Wednesday</v>
      </c>
      <c r="D224" s="138" t="s">
        <v>84</v>
      </c>
      <c r="E224" s="129"/>
      <c r="F224" s="129"/>
      <c r="G224" s="129">
        <f t="shared" si="38"/>
        <v>0</v>
      </c>
      <c r="H224" s="129" t="str">
        <f t="shared" si="35"/>
        <v>0h0</v>
      </c>
      <c r="I224" s="138" t="s">
        <v>84</v>
      </c>
      <c r="J224" s="129"/>
      <c r="K224" s="129"/>
      <c r="L224" s="129">
        <f t="shared" si="39"/>
        <v>0</v>
      </c>
      <c r="M224" s="129" t="str">
        <f t="shared" si="32"/>
        <v>0h0</v>
      </c>
      <c r="N224" s="138" t="s">
        <v>84</v>
      </c>
      <c r="O224" s="129"/>
      <c r="P224" s="129"/>
      <c r="Q224" s="129">
        <f t="shared" si="40"/>
        <v>0</v>
      </c>
      <c r="R224" s="129" t="str">
        <f t="shared" si="33"/>
        <v>0h0</v>
      </c>
      <c r="S224" s="138">
        <f t="shared" si="36"/>
        <v>0</v>
      </c>
      <c r="T224" s="129" t="str">
        <f t="shared" si="34"/>
        <v>0h0</v>
      </c>
    </row>
    <row r="225" spans="2:20" x14ac:dyDescent="0.3">
      <c r="B225" s="128">
        <f t="shared" si="37"/>
        <v>46415</v>
      </c>
      <c r="C225" s="129" t="str">
        <f t="shared" si="31"/>
        <v>Thursday</v>
      </c>
      <c r="D225" s="138" t="s">
        <v>84</v>
      </c>
      <c r="E225" s="129"/>
      <c r="F225" s="129"/>
      <c r="G225" s="129">
        <f t="shared" si="38"/>
        <v>0</v>
      </c>
      <c r="H225" s="129" t="str">
        <f t="shared" si="35"/>
        <v>0h0</v>
      </c>
      <c r="I225" s="138" t="s">
        <v>84</v>
      </c>
      <c r="J225" s="129"/>
      <c r="K225" s="129"/>
      <c r="L225" s="129">
        <f t="shared" si="39"/>
        <v>0</v>
      </c>
      <c r="M225" s="129" t="str">
        <f t="shared" si="32"/>
        <v>0h0</v>
      </c>
      <c r="N225" s="138" t="s">
        <v>84</v>
      </c>
      <c r="O225" s="129"/>
      <c r="P225" s="129"/>
      <c r="Q225" s="129">
        <f t="shared" si="40"/>
        <v>0</v>
      </c>
      <c r="R225" s="129" t="str">
        <f t="shared" si="33"/>
        <v>0h0</v>
      </c>
      <c r="S225" s="138">
        <f t="shared" si="36"/>
        <v>0</v>
      </c>
      <c r="T225" s="129" t="str">
        <f t="shared" si="34"/>
        <v>0h0</v>
      </c>
    </row>
    <row r="226" spans="2:20" x14ac:dyDescent="0.3">
      <c r="B226" s="128">
        <f t="shared" si="37"/>
        <v>46416</v>
      </c>
      <c r="C226" s="129" t="str">
        <f t="shared" si="31"/>
        <v>Friday</v>
      </c>
      <c r="D226" s="138" t="s">
        <v>84</v>
      </c>
      <c r="E226" s="129"/>
      <c r="F226" s="129"/>
      <c r="G226" s="129">
        <f t="shared" si="38"/>
        <v>0</v>
      </c>
      <c r="H226" s="129" t="str">
        <f t="shared" si="35"/>
        <v>0h0</v>
      </c>
      <c r="I226" s="138" t="s">
        <v>84</v>
      </c>
      <c r="J226" s="129"/>
      <c r="K226" s="129"/>
      <c r="L226" s="129">
        <f t="shared" si="39"/>
        <v>0</v>
      </c>
      <c r="M226" s="129" t="str">
        <f t="shared" si="32"/>
        <v>0h0</v>
      </c>
      <c r="N226" s="138" t="s">
        <v>84</v>
      </c>
      <c r="O226" s="129"/>
      <c r="P226" s="129"/>
      <c r="Q226" s="129">
        <f t="shared" si="40"/>
        <v>0</v>
      </c>
      <c r="R226" s="129" t="str">
        <f t="shared" si="33"/>
        <v>0h0</v>
      </c>
      <c r="S226" s="138">
        <f t="shared" si="36"/>
        <v>0</v>
      </c>
      <c r="T226" s="129" t="str">
        <f t="shared" si="34"/>
        <v>0h0</v>
      </c>
    </row>
    <row r="227" spans="2:20" x14ac:dyDescent="0.3">
      <c r="B227" s="128">
        <f t="shared" si="37"/>
        <v>46417</v>
      </c>
      <c r="C227" s="129" t="str">
        <f t="shared" si="31"/>
        <v>Saturday</v>
      </c>
      <c r="D227" s="138" t="s">
        <v>84</v>
      </c>
      <c r="E227" s="129"/>
      <c r="F227" s="129"/>
      <c r="G227" s="129">
        <f t="shared" si="38"/>
        <v>0</v>
      </c>
      <c r="H227" s="129" t="str">
        <f t="shared" si="35"/>
        <v>0h0</v>
      </c>
      <c r="I227" s="138" t="s">
        <v>84</v>
      </c>
      <c r="J227" s="129"/>
      <c r="K227" s="129"/>
      <c r="L227" s="129">
        <f t="shared" si="39"/>
        <v>0</v>
      </c>
      <c r="M227" s="129" t="str">
        <f t="shared" si="32"/>
        <v>0h0</v>
      </c>
      <c r="N227" s="138" t="s">
        <v>84</v>
      </c>
      <c r="O227" s="129"/>
      <c r="P227" s="129"/>
      <c r="Q227" s="129">
        <f t="shared" si="40"/>
        <v>0</v>
      </c>
      <c r="R227" s="129" t="str">
        <f t="shared" si="33"/>
        <v>0h0</v>
      </c>
      <c r="S227" s="138">
        <f t="shared" si="36"/>
        <v>0</v>
      </c>
      <c r="T227" s="129" t="str">
        <f t="shared" si="34"/>
        <v>0h0</v>
      </c>
    </row>
    <row r="228" spans="2:20" x14ac:dyDescent="0.3">
      <c r="B228" s="128">
        <f t="shared" si="37"/>
        <v>46418</v>
      </c>
      <c r="C228" s="129" t="str">
        <f t="shared" si="31"/>
        <v>Sunday</v>
      </c>
      <c r="D228" s="138" t="s">
        <v>84</v>
      </c>
      <c r="E228" s="129"/>
      <c r="F228" s="129"/>
      <c r="G228" s="129">
        <f t="shared" si="38"/>
        <v>0</v>
      </c>
      <c r="H228" s="129" t="str">
        <f t="shared" si="35"/>
        <v>0h0</v>
      </c>
      <c r="I228" s="138" t="s">
        <v>84</v>
      </c>
      <c r="J228" s="129"/>
      <c r="K228" s="129"/>
      <c r="L228" s="129">
        <f t="shared" si="39"/>
        <v>0</v>
      </c>
      <c r="M228" s="129" t="str">
        <f t="shared" si="32"/>
        <v>0h0</v>
      </c>
      <c r="N228" s="138" t="s">
        <v>84</v>
      </c>
      <c r="O228" s="129"/>
      <c r="P228" s="129"/>
      <c r="Q228" s="129">
        <f t="shared" si="40"/>
        <v>0</v>
      </c>
      <c r="R228" s="129" t="str">
        <f t="shared" si="33"/>
        <v>0h0</v>
      </c>
      <c r="S228" s="138">
        <f t="shared" si="36"/>
        <v>0</v>
      </c>
      <c r="T228" s="129" t="str">
        <f t="shared" si="34"/>
        <v>0h0</v>
      </c>
    </row>
    <row r="229" spans="2:20" x14ac:dyDescent="0.3">
      <c r="B229" s="128">
        <f t="shared" si="37"/>
        <v>46419</v>
      </c>
      <c r="C229" s="129" t="str">
        <f t="shared" si="31"/>
        <v>Monday</v>
      </c>
      <c r="D229" s="138" t="s">
        <v>84</v>
      </c>
      <c r="E229" s="129"/>
      <c r="F229" s="129"/>
      <c r="G229" s="129">
        <f t="shared" si="38"/>
        <v>0</v>
      </c>
      <c r="H229" s="129" t="str">
        <f t="shared" si="35"/>
        <v>0h0</v>
      </c>
      <c r="I229" s="138" t="s">
        <v>84</v>
      </c>
      <c r="J229" s="129"/>
      <c r="K229" s="129"/>
      <c r="L229" s="129">
        <f t="shared" si="39"/>
        <v>0</v>
      </c>
      <c r="M229" s="129" t="str">
        <f t="shared" si="32"/>
        <v>0h0</v>
      </c>
      <c r="N229" s="138" t="s">
        <v>84</v>
      </c>
      <c r="O229" s="129"/>
      <c r="P229" s="129"/>
      <c r="Q229" s="129">
        <f t="shared" si="40"/>
        <v>0</v>
      </c>
      <c r="R229" s="129" t="str">
        <f t="shared" si="33"/>
        <v>0h0</v>
      </c>
      <c r="S229" s="138">
        <f t="shared" si="36"/>
        <v>0</v>
      </c>
      <c r="T229" s="129" t="str">
        <f t="shared" si="34"/>
        <v>0h0</v>
      </c>
    </row>
    <row r="230" spans="2:20" x14ac:dyDescent="0.3">
      <c r="B230" s="128">
        <f t="shared" si="37"/>
        <v>46420</v>
      </c>
      <c r="C230" s="129" t="str">
        <f t="shared" si="31"/>
        <v>Tuesday</v>
      </c>
      <c r="D230" s="138" t="s">
        <v>84</v>
      </c>
      <c r="E230" s="129"/>
      <c r="F230" s="129"/>
      <c r="G230" s="129">
        <f t="shared" si="38"/>
        <v>0</v>
      </c>
      <c r="H230" s="129" t="str">
        <f t="shared" si="35"/>
        <v>0h0</v>
      </c>
      <c r="I230" s="138" t="s">
        <v>84</v>
      </c>
      <c r="J230" s="129"/>
      <c r="K230" s="129"/>
      <c r="L230" s="129">
        <f t="shared" si="39"/>
        <v>0</v>
      </c>
      <c r="M230" s="129" t="str">
        <f t="shared" si="32"/>
        <v>0h0</v>
      </c>
      <c r="N230" s="138" t="s">
        <v>84</v>
      </c>
      <c r="O230" s="129"/>
      <c r="P230" s="129"/>
      <c r="Q230" s="129">
        <f t="shared" si="40"/>
        <v>0</v>
      </c>
      <c r="R230" s="129" t="str">
        <f t="shared" si="33"/>
        <v>0h0</v>
      </c>
      <c r="S230" s="138">
        <f t="shared" si="36"/>
        <v>0</v>
      </c>
      <c r="T230" s="129" t="str">
        <f t="shared" si="34"/>
        <v>0h0</v>
      </c>
    </row>
    <row r="231" spans="2:20" x14ac:dyDescent="0.3">
      <c r="B231" s="128">
        <f t="shared" si="37"/>
        <v>46421</v>
      </c>
      <c r="C231" s="129" t="str">
        <f t="shared" si="31"/>
        <v>Wednesday</v>
      </c>
      <c r="D231" s="138" t="s">
        <v>84</v>
      </c>
      <c r="E231" s="129"/>
      <c r="F231" s="129"/>
      <c r="G231" s="129">
        <f t="shared" si="38"/>
        <v>0</v>
      </c>
      <c r="H231" s="129" t="str">
        <f t="shared" si="35"/>
        <v>0h0</v>
      </c>
      <c r="I231" s="138" t="s">
        <v>84</v>
      </c>
      <c r="J231" s="129"/>
      <c r="K231" s="129"/>
      <c r="L231" s="129">
        <f t="shared" si="39"/>
        <v>0</v>
      </c>
      <c r="M231" s="129" t="str">
        <f t="shared" si="32"/>
        <v>0h0</v>
      </c>
      <c r="N231" s="138" t="s">
        <v>84</v>
      </c>
      <c r="O231" s="129"/>
      <c r="P231" s="129"/>
      <c r="Q231" s="129">
        <f t="shared" si="40"/>
        <v>0</v>
      </c>
      <c r="R231" s="129" t="str">
        <f t="shared" si="33"/>
        <v>0h0</v>
      </c>
      <c r="S231" s="138">
        <f t="shared" si="36"/>
        <v>0</v>
      </c>
      <c r="T231" s="129" t="str">
        <f t="shared" si="34"/>
        <v>0h0</v>
      </c>
    </row>
    <row r="232" spans="2:20" x14ac:dyDescent="0.3">
      <c r="B232" s="128">
        <f t="shared" si="37"/>
        <v>46422</v>
      </c>
      <c r="C232" s="129" t="str">
        <f t="shared" si="31"/>
        <v>Thursday</v>
      </c>
      <c r="D232" s="138" t="s">
        <v>84</v>
      </c>
      <c r="E232" s="129"/>
      <c r="F232" s="129"/>
      <c r="G232" s="129">
        <f t="shared" si="38"/>
        <v>0</v>
      </c>
      <c r="H232" s="129" t="str">
        <f t="shared" si="35"/>
        <v>0h0</v>
      </c>
      <c r="I232" s="138" t="s">
        <v>84</v>
      </c>
      <c r="J232" s="129"/>
      <c r="K232" s="129"/>
      <c r="L232" s="129">
        <f t="shared" si="39"/>
        <v>0</v>
      </c>
      <c r="M232" s="129" t="str">
        <f t="shared" si="32"/>
        <v>0h0</v>
      </c>
      <c r="N232" s="138" t="s">
        <v>84</v>
      </c>
      <c r="O232" s="129"/>
      <c r="P232" s="129"/>
      <c r="Q232" s="129">
        <f t="shared" si="40"/>
        <v>0</v>
      </c>
      <c r="R232" s="129" t="str">
        <f t="shared" si="33"/>
        <v>0h0</v>
      </c>
      <c r="S232" s="138">
        <f t="shared" si="36"/>
        <v>0</v>
      </c>
      <c r="T232" s="129" t="str">
        <f t="shared" si="34"/>
        <v>0h0</v>
      </c>
    </row>
    <row r="233" spans="2:20" x14ac:dyDescent="0.3">
      <c r="B233" s="128">
        <f t="shared" si="37"/>
        <v>46423</v>
      </c>
      <c r="C233" s="129" t="str">
        <f t="shared" si="31"/>
        <v>Friday</v>
      </c>
      <c r="D233" s="138" t="s">
        <v>84</v>
      </c>
      <c r="E233" s="129"/>
      <c r="F233" s="129"/>
      <c r="G233" s="129">
        <f t="shared" si="38"/>
        <v>0</v>
      </c>
      <c r="H233" s="129" t="str">
        <f t="shared" si="35"/>
        <v>0h0</v>
      </c>
      <c r="I233" s="138" t="s">
        <v>84</v>
      </c>
      <c r="J233" s="129"/>
      <c r="K233" s="129"/>
      <c r="L233" s="129">
        <f t="shared" si="39"/>
        <v>0</v>
      </c>
      <c r="M233" s="129" t="str">
        <f t="shared" si="32"/>
        <v>0h0</v>
      </c>
      <c r="N233" s="138" t="s">
        <v>84</v>
      </c>
      <c r="O233" s="129"/>
      <c r="P233" s="129"/>
      <c r="Q233" s="129">
        <f t="shared" si="40"/>
        <v>0</v>
      </c>
      <c r="R233" s="129" t="str">
        <f t="shared" si="33"/>
        <v>0h0</v>
      </c>
      <c r="S233" s="138">
        <f t="shared" si="36"/>
        <v>0</v>
      </c>
      <c r="T233" s="129" t="str">
        <f t="shared" si="34"/>
        <v>0h0</v>
      </c>
    </row>
    <row r="234" spans="2:20" x14ac:dyDescent="0.3">
      <c r="B234" s="128">
        <f t="shared" si="37"/>
        <v>46424</v>
      </c>
      <c r="C234" s="129" t="str">
        <f t="shared" si="31"/>
        <v>Saturday</v>
      </c>
      <c r="D234" s="138" t="s">
        <v>84</v>
      </c>
      <c r="E234" s="129"/>
      <c r="F234" s="129"/>
      <c r="G234" s="129">
        <f t="shared" si="38"/>
        <v>0</v>
      </c>
      <c r="H234" s="129" t="str">
        <f t="shared" si="35"/>
        <v>0h0</v>
      </c>
      <c r="I234" s="138" t="s">
        <v>84</v>
      </c>
      <c r="J234" s="129"/>
      <c r="K234" s="129"/>
      <c r="L234" s="129">
        <f t="shared" si="39"/>
        <v>0</v>
      </c>
      <c r="M234" s="129" t="str">
        <f t="shared" si="32"/>
        <v>0h0</v>
      </c>
      <c r="N234" s="138" t="s">
        <v>84</v>
      </c>
      <c r="O234" s="129"/>
      <c r="P234" s="129"/>
      <c r="Q234" s="129">
        <f t="shared" si="40"/>
        <v>0</v>
      </c>
      <c r="R234" s="129" t="str">
        <f t="shared" si="33"/>
        <v>0h0</v>
      </c>
      <c r="S234" s="138">
        <f t="shared" si="36"/>
        <v>0</v>
      </c>
      <c r="T234" s="129" t="str">
        <f t="shared" si="34"/>
        <v>0h0</v>
      </c>
    </row>
    <row r="235" spans="2:20" x14ac:dyDescent="0.3">
      <c r="B235" s="128">
        <f t="shared" si="37"/>
        <v>46425</v>
      </c>
      <c r="C235" s="129" t="str">
        <f t="shared" si="31"/>
        <v>Sunday</v>
      </c>
      <c r="D235" s="138" t="s">
        <v>84</v>
      </c>
      <c r="E235" s="129"/>
      <c r="F235" s="129"/>
      <c r="G235" s="129">
        <f t="shared" si="38"/>
        <v>0</v>
      </c>
      <c r="H235" s="129" t="str">
        <f t="shared" si="35"/>
        <v>0h0</v>
      </c>
      <c r="I235" s="138" t="s">
        <v>84</v>
      </c>
      <c r="J235" s="129"/>
      <c r="K235" s="129"/>
      <c r="L235" s="129">
        <f t="shared" si="39"/>
        <v>0</v>
      </c>
      <c r="M235" s="129" t="str">
        <f t="shared" si="32"/>
        <v>0h0</v>
      </c>
      <c r="N235" s="138" t="s">
        <v>84</v>
      </c>
      <c r="O235" s="129"/>
      <c r="P235" s="129"/>
      <c r="Q235" s="129">
        <f t="shared" si="40"/>
        <v>0</v>
      </c>
      <c r="R235" s="129" t="str">
        <f t="shared" si="33"/>
        <v>0h0</v>
      </c>
      <c r="S235" s="138">
        <f t="shared" si="36"/>
        <v>0</v>
      </c>
      <c r="T235" s="129" t="str">
        <f t="shared" si="34"/>
        <v>0h0</v>
      </c>
    </row>
    <row r="236" spans="2:20" x14ac:dyDescent="0.3">
      <c r="B236" s="128">
        <f t="shared" si="37"/>
        <v>46426</v>
      </c>
      <c r="C236" s="129" t="str">
        <f t="shared" si="31"/>
        <v>Monday</v>
      </c>
      <c r="D236" s="138" t="s">
        <v>84</v>
      </c>
      <c r="E236" s="129"/>
      <c r="F236" s="129"/>
      <c r="G236" s="129">
        <f t="shared" si="38"/>
        <v>0</v>
      </c>
      <c r="H236" s="129" t="str">
        <f t="shared" si="35"/>
        <v>0h0</v>
      </c>
      <c r="I236" s="138" t="s">
        <v>84</v>
      </c>
      <c r="J236" s="129"/>
      <c r="K236" s="129"/>
      <c r="L236" s="129">
        <f t="shared" si="39"/>
        <v>0</v>
      </c>
      <c r="M236" s="129" t="str">
        <f t="shared" si="32"/>
        <v>0h0</v>
      </c>
      <c r="N236" s="138" t="s">
        <v>84</v>
      </c>
      <c r="O236" s="129"/>
      <c r="P236" s="129"/>
      <c r="Q236" s="129">
        <f t="shared" si="40"/>
        <v>0</v>
      </c>
      <c r="R236" s="129" t="str">
        <f t="shared" si="33"/>
        <v>0h0</v>
      </c>
      <c r="S236" s="138">
        <f t="shared" si="36"/>
        <v>0</v>
      </c>
      <c r="T236" s="129" t="str">
        <f t="shared" si="34"/>
        <v>0h0</v>
      </c>
    </row>
    <row r="237" spans="2:20" x14ac:dyDescent="0.3">
      <c r="B237" s="128">
        <f t="shared" si="37"/>
        <v>46427</v>
      </c>
      <c r="C237" s="129" t="str">
        <f t="shared" si="31"/>
        <v>Tuesday</v>
      </c>
      <c r="D237" s="138" t="s">
        <v>84</v>
      </c>
      <c r="E237" s="129"/>
      <c r="F237" s="129"/>
      <c r="G237" s="129">
        <f t="shared" si="38"/>
        <v>0</v>
      </c>
      <c r="H237" s="129" t="str">
        <f t="shared" si="35"/>
        <v>0h0</v>
      </c>
      <c r="I237" s="138" t="s">
        <v>84</v>
      </c>
      <c r="J237" s="129"/>
      <c r="K237" s="129"/>
      <c r="L237" s="129">
        <f t="shared" si="39"/>
        <v>0</v>
      </c>
      <c r="M237" s="129" t="str">
        <f t="shared" si="32"/>
        <v>0h0</v>
      </c>
      <c r="N237" s="138" t="s">
        <v>84</v>
      </c>
      <c r="O237" s="129"/>
      <c r="P237" s="129"/>
      <c r="Q237" s="129">
        <f t="shared" si="40"/>
        <v>0</v>
      </c>
      <c r="R237" s="129" t="str">
        <f t="shared" si="33"/>
        <v>0h0</v>
      </c>
      <c r="S237" s="138">
        <f t="shared" si="36"/>
        <v>0</v>
      </c>
      <c r="T237" s="129" t="str">
        <f t="shared" si="34"/>
        <v>0h0</v>
      </c>
    </row>
    <row r="238" spans="2:20" x14ac:dyDescent="0.3">
      <c r="B238" s="128">
        <f t="shared" si="37"/>
        <v>46428</v>
      </c>
      <c r="C238" s="129" t="str">
        <f t="shared" si="31"/>
        <v>Wednesday</v>
      </c>
      <c r="D238" s="138" t="s">
        <v>84</v>
      </c>
      <c r="E238" s="129"/>
      <c r="F238" s="129"/>
      <c r="G238" s="129">
        <f t="shared" si="38"/>
        <v>0</v>
      </c>
      <c r="H238" s="129" t="str">
        <f t="shared" si="35"/>
        <v>0h0</v>
      </c>
      <c r="I238" s="138" t="s">
        <v>84</v>
      </c>
      <c r="J238" s="129"/>
      <c r="K238" s="129"/>
      <c r="L238" s="129">
        <f t="shared" si="39"/>
        <v>0</v>
      </c>
      <c r="M238" s="129" t="str">
        <f t="shared" si="32"/>
        <v>0h0</v>
      </c>
      <c r="N238" s="138" t="s">
        <v>84</v>
      </c>
      <c r="O238" s="129"/>
      <c r="P238" s="129"/>
      <c r="Q238" s="129">
        <f t="shared" si="40"/>
        <v>0</v>
      </c>
      <c r="R238" s="129" t="str">
        <f t="shared" si="33"/>
        <v>0h0</v>
      </c>
      <c r="S238" s="138">
        <f t="shared" si="36"/>
        <v>0</v>
      </c>
      <c r="T238" s="129" t="str">
        <f t="shared" si="34"/>
        <v>0h0</v>
      </c>
    </row>
    <row r="239" spans="2:20" x14ac:dyDescent="0.3">
      <c r="B239" s="128">
        <f t="shared" si="37"/>
        <v>46429</v>
      </c>
      <c r="C239" s="129" t="str">
        <f t="shared" si="31"/>
        <v>Thursday</v>
      </c>
      <c r="D239" s="138" t="s">
        <v>84</v>
      </c>
      <c r="E239" s="129"/>
      <c r="F239" s="129"/>
      <c r="G239" s="129">
        <f t="shared" si="38"/>
        <v>0</v>
      </c>
      <c r="H239" s="129" t="str">
        <f t="shared" si="35"/>
        <v>0h0</v>
      </c>
      <c r="I239" s="138" t="s">
        <v>84</v>
      </c>
      <c r="J239" s="129"/>
      <c r="K239" s="129"/>
      <c r="L239" s="129">
        <f t="shared" si="39"/>
        <v>0</v>
      </c>
      <c r="M239" s="129" t="str">
        <f t="shared" si="32"/>
        <v>0h0</v>
      </c>
      <c r="N239" s="138" t="s">
        <v>84</v>
      </c>
      <c r="O239" s="129"/>
      <c r="P239" s="129"/>
      <c r="Q239" s="129">
        <f t="shared" si="40"/>
        <v>0</v>
      </c>
      <c r="R239" s="129" t="str">
        <f t="shared" si="33"/>
        <v>0h0</v>
      </c>
      <c r="S239" s="138">
        <f t="shared" si="36"/>
        <v>0</v>
      </c>
      <c r="T239" s="129" t="str">
        <f t="shared" si="34"/>
        <v>0h0</v>
      </c>
    </row>
    <row r="240" spans="2:20" x14ac:dyDescent="0.3">
      <c r="B240" s="128">
        <f t="shared" si="37"/>
        <v>46430</v>
      </c>
      <c r="C240" s="129" t="str">
        <f t="shared" si="31"/>
        <v>Friday</v>
      </c>
      <c r="D240" s="138" t="s">
        <v>84</v>
      </c>
      <c r="E240" s="129"/>
      <c r="F240" s="129"/>
      <c r="G240" s="129">
        <f t="shared" si="38"/>
        <v>0</v>
      </c>
      <c r="H240" s="129" t="str">
        <f t="shared" si="35"/>
        <v>0h0</v>
      </c>
      <c r="I240" s="138" t="s">
        <v>84</v>
      </c>
      <c r="J240" s="129"/>
      <c r="K240" s="129"/>
      <c r="L240" s="129">
        <f t="shared" si="39"/>
        <v>0</v>
      </c>
      <c r="M240" s="129" t="str">
        <f t="shared" si="32"/>
        <v>0h0</v>
      </c>
      <c r="N240" s="138" t="s">
        <v>84</v>
      </c>
      <c r="O240" s="129"/>
      <c r="P240" s="129"/>
      <c r="Q240" s="129">
        <f t="shared" si="40"/>
        <v>0</v>
      </c>
      <c r="R240" s="129" t="str">
        <f t="shared" si="33"/>
        <v>0h0</v>
      </c>
      <c r="S240" s="138">
        <f t="shared" si="36"/>
        <v>0</v>
      </c>
      <c r="T240" s="129" t="str">
        <f t="shared" si="34"/>
        <v>0h0</v>
      </c>
    </row>
    <row r="241" spans="2:20" x14ac:dyDescent="0.3">
      <c r="B241" s="128">
        <f t="shared" si="37"/>
        <v>46431</v>
      </c>
      <c r="C241" s="129" t="str">
        <f t="shared" si="31"/>
        <v>Saturday</v>
      </c>
      <c r="D241" s="138" t="s">
        <v>84</v>
      </c>
      <c r="E241" s="129"/>
      <c r="F241" s="129"/>
      <c r="G241" s="129">
        <f t="shared" si="38"/>
        <v>0</v>
      </c>
      <c r="H241" s="129" t="str">
        <f t="shared" si="35"/>
        <v>0h0</v>
      </c>
      <c r="I241" s="138" t="s">
        <v>84</v>
      </c>
      <c r="J241" s="129"/>
      <c r="K241" s="129"/>
      <c r="L241" s="129">
        <f t="shared" si="39"/>
        <v>0</v>
      </c>
      <c r="M241" s="129" t="str">
        <f t="shared" si="32"/>
        <v>0h0</v>
      </c>
      <c r="N241" s="138" t="s">
        <v>84</v>
      </c>
      <c r="O241" s="129"/>
      <c r="P241" s="129"/>
      <c r="Q241" s="129">
        <f t="shared" si="40"/>
        <v>0</v>
      </c>
      <c r="R241" s="129" t="str">
        <f t="shared" si="33"/>
        <v>0h0</v>
      </c>
      <c r="S241" s="138">
        <f t="shared" si="36"/>
        <v>0</v>
      </c>
      <c r="T241" s="129" t="str">
        <f t="shared" si="34"/>
        <v>0h0</v>
      </c>
    </row>
    <row r="242" spans="2:20" x14ac:dyDescent="0.3">
      <c r="B242" s="128">
        <f t="shared" si="37"/>
        <v>46432</v>
      </c>
      <c r="C242" s="129" t="str">
        <f t="shared" si="31"/>
        <v>Sunday</v>
      </c>
      <c r="D242" s="138" t="s">
        <v>84</v>
      </c>
      <c r="E242" s="129"/>
      <c r="F242" s="129"/>
      <c r="G242" s="129">
        <f t="shared" si="38"/>
        <v>0</v>
      </c>
      <c r="H242" s="129" t="str">
        <f t="shared" si="35"/>
        <v>0h0</v>
      </c>
      <c r="I242" s="138" t="s">
        <v>84</v>
      </c>
      <c r="J242" s="129"/>
      <c r="K242" s="129"/>
      <c r="L242" s="129">
        <f t="shared" si="39"/>
        <v>0</v>
      </c>
      <c r="M242" s="129" t="str">
        <f t="shared" si="32"/>
        <v>0h0</v>
      </c>
      <c r="N242" s="138" t="s">
        <v>84</v>
      </c>
      <c r="O242" s="129"/>
      <c r="P242" s="129"/>
      <c r="Q242" s="129">
        <f t="shared" si="40"/>
        <v>0</v>
      </c>
      <c r="R242" s="129" t="str">
        <f t="shared" si="33"/>
        <v>0h0</v>
      </c>
      <c r="S242" s="138">
        <f t="shared" si="36"/>
        <v>0</v>
      </c>
      <c r="T242" s="129" t="str">
        <f t="shared" si="34"/>
        <v>0h0</v>
      </c>
    </row>
    <row r="243" spans="2:20" x14ac:dyDescent="0.3">
      <c r="B243" s="128">
        <f t="shared" si="37"/>
        <v>46433</v>
      </c>
      <c r="C243" s="129" t="str">
        <f t="shared" si="31"/>
        <v>Monday</v>
      </c>
      <c r="D243" s="138" t="s">
        <v>84</v>
      </c>
      <c r="E243" s="129"/>
      <c r="F243" s="129"/>
      <c r="G243" s="129">
        <f t="shared" si="38"/>
        <v>0</v>
      </c>
      <c r="H243" s="129" t="str">
        <f t="shared" si="35"/>
        <v>0h0</v>
      </c>
      <c r="I243" s="138" t="s">
        <v>84</v>
      </c>
      <c r="J243" s="129"/>
      <c r="K243" s="129"/>
      <c r="L243" s="129">
        <f t="shared" si="39"/>
        <v>0</v>
      </c>
      <c r="M243" s="129" t="str">
        <f t="shared" si="32"/>
        <v>0h0</v>
      </c>
      <c r="N243" s="138" t="s">
        <v>84</v>
      </c>
      <c r="O243" s="129"/>
      <c r="P243" s="129"/>
      <c r="Q243" s="129">
        <f t="shared" si="40"/>
        <v>0</v>
      </c>
      <c r="R243" s="129" t="str">
        <f t="shared" si="33"/>
        <v>0h0</v>
      </c>
      <c r="S243" s="138">
        <f t="shared" si="36"/>
        <v>0</v>
      </c>
      <c r="T243" s="129" t="str">
        <f t="shared" si="34"/>
        <v>0h0</v>
      </c>
    </row>
    <row r="244" spans="2:20" x14ac:dyDescent="0.3">
      <c r="B244" s="128">
        <f t="shared" si="37"/>
        <v>46434</v>
      </c>
      <c r="C244" s="129" t="str">
        <f t="shared" si="31"/>
        <v>Tuesday</v>
      </c>
      <c r="D244" s="138" t="s">
        <v>84</v>
      </c>
      <c r="E244" s="129"/>
      <c r="F244" s="129"/>
      <c r="G244" s="129">
        <f t="shared" si="38"/>
        <v>0</v>
      </c>
      <c r="H244" s="129" t="str">
        <f t="shared" si="35"/>
        <v>0h0</v>
      </c>
      <c r="I244" s="138" t="s">
        <v>84</v>
      </c>
      <c r="J244" s="129"/>
      <c r="K244" s="129"/>
      <c r="L244" s="129">
        <f t="shared" si="39"/>
        <v>0</v>
      </c>
      <c r="M244" s="129" t="str">
        <f t="shared" si="32"/>
        <v>0h0</v>
      </c>
      <c r="N244" s="138" t="s">
        <v>84</v>
      </c>
      <c r="O244" s="129"/>
      <c r="P244" s="129"/>
      <c r="Q244" s="129">
        <f t="shared" si="40"/>
        <v>0</v>
      </c>
      <c r="R244" s="129" t="str">
        <f t="shared" si="33"/>
        <v>0h0</v>
      </c>
      <c r="S244" s="138">
        <f t="shared" si="36"/>
        <v>0</v>
      </c>
      <c r="T244" s="129" t="str">
        <f t="shared" si="34"/>
        <v>0h0</v>
      </c>
    </row>
    <row r="245" spans="2:20" x14ac:dyDescent="0.3">
      <c r="B245" s="128">
        <f t="shared" si="37"/>
        <v>46435</v>
      </c>
      <c r="C245" s="129" t="str">
        <f t="shared" si="31"/>
        <v>Wednesday</v>
      </c>
      <c r="D245" s="138" t="s">
        <v>84</v>
      </c>
      <c r="E245" s="129"/>
      <c r="F245" s="129"/>
      <c r="G245" s="129">
        <f t="shared" si="38"/>
        <v>0</v>
      </c>
      <c r="H245" s="129" t="str">
        <f t="shared" si="35"/>
        <v>0h0</v>
      </c>
      <c r="I245" s="138" t="s">
        <v>84</v>
      </c>
      <c r="J245" s="129"/>
      <c r="K245" s="129"/>
      <c r="L245" s="129">
        <f t="shared" si="39"/>
        <v>0</v>
      </c>
      <c r="M245" s="129" t="str">
        <f t="shared" si="32"/>
        <v>0h0</v>
      </c>
      <c r="N245" s="138" t="s">
        <v>84</v>
      </c>
      <c r="O245" s="129"/>
      <c r="P245" s="129"/>
      <c r="Q245" s="129">
        <f t="shared" si="40"/>
        <v>0</v>
      </c>
      <c r="R245" s="129" t="str">
        <f t="shared" si="33"/>
        <v>0h0</v>
      </c>
      <c r="S245" s="138">
        <f t="shared" si="36"/>
        <v>0</v>
      </c>
      <c r="T245" s="129" t="str">
        <f t="shared" si="34"/>
        <v>0h0</v>
      </c>
    </row>
    <row r="246" spans="2:20" x14ac:dyDescent="0.3">
      <c r="B246" s="128">
        <f t="shared" si="37"/>
        <v>46436</v>
      </c>
      <c r="C246" s="129" t="str">
        <f t="shared" si="31"/>
        <v>Thursday</v>
      </c>
      <c r="D246" s="138" t="s">
        <v>84</v>
      </c>
      <c r="E246" s="129"/>
      <c r="F246" s="129"/>
      <c r="G246" s="129">
        <f t="shared" si="38"/>
        <v>0</v>
      </c>
      <c r="H246" s="129" t="str">
        <f t="shared" si="35"/>
        <v>0h0</v>
      </c>
      <c r="I246" s="138" t="s">
        <v>84</v>
      </c>
      <c r="J246" s="129"/>
      <c r="K246" s="129"/>
      <c r="L246" s="129">
        <f t="shared" si="39"/>
        <v>0</v>
      </c>
      <c r="M246" s="129" t="str">
        <f t="shared" si="32"/>
        <v>0h0</v>
      </c>
      <c r="N246" s="138" t="s">
        <v>84</v>
      </c>
      <c r="O246" s="129"/>
      <c r="P246" s="129"/>
      <c r="Q246" s="129">
        <f t="shared" si="40"/>
        <v>0</v>
      </c>
      <c r="R246" s="129" t="str">
        <f t="shared" si="33"/>
        <v>0h0</v>
      </c>
      <c r="S246" s="138">
        <f t="shared" si="36"/>
        <v>0</v>
      </c>
      <c r="T246" s="129" t="str">
        <f t="shared" si="34"/>
        <v>0h0</v>
      </c>
    </row>
    <row r="247" spans="2:20" x14ac:dyDescent="0.3">
      <c r="B247" s="128">
        <f t="shared" si="37"/>
        <v>46437</v>
      </c>
      <c r="C247" s="129" t="str">
        <f t="shared" si="31"/>
        <v>Friday</v>
      </c>
      <c r="D247" s="138" t="s">
        <v>84</v>
      </c>
      <c r="E247" s="129"/>
      <c r="F247" s="129"/>
      <c r="G247" s="129">
        <f t="shared" si="38"/>
        <v>0</v>
      </c>
      <c r="H247" s="129" t="str">
        <f t="shared" si="35"/>
        <v>0h0</v>
      </c>
      <c r="I247" s="138" t="s">
        <v>84</v>
      </c>
      <c r="J247" s="129"/>
      <c r="K247" s="129"/>
      <c r="L247" s="129">
        <f t="shared" si="39"/>
        <v>0</v>
      </c>
      <c r="M247" s="129" t="str">
        <f t="shared" si="32"/>
        <v>0h0</v>
      </c>
      <c r="N247" s="138" t="s">
        <v>84</v>
      </c>
      <c r="O247" s="129"/>
      <c r="P247" s="129"/>
      <c r="Q247" s="129">
        <f t="shared" si="40"/>
        <v>0</v>
      </c>
      <c r="R247" s="129" t="str">
        <f t="shared" si="33"/>
        <v>0h0</v>
      </c>
      <c r="S247" s="138">
        <f t="shared" si="36"/>
        <v>0</v>
      </c>
      <c r="T247" s="129" t="str">
        <f t="shared" si="34"/>
        <v>0h0</v>
      </c>
    </row>
    <row r="248" spans="2:20" x14ac:dyDescent="0.3">
      <c r="B248" s="128">
        <f t="shared" si="37"/>
        <v>46438</v>
      </c>
      <c r="C248" s="129" t="str">
        <f t="shared" si="31"/>
        <v>Saturday</v>
      </c>
      <c r="D248" s="138" t="s">
        <v>84</v>
      </c>
      <c r="E248" s="129"/>
      <c r="F248" s="129"/>
      <c r="G248" s="129">
        <f t="shared" si="38"/>
        <v>0</v>
      </c>
      <c r="H248" s="129" t="str">
        <f t="shared" si="35"/>
        <v>0h0</v>
      </c>
      <c r="I248" s="138" t="s">
        <v>84</v>
      </c>
      <c r="J248" s="129"/>
      <c r="K248" s="129"/>
      <c r="L248" s="129">
        <f t="shared" si="39"/>
        <v>0</v>
      </c>
      <c r="M248" s="129" t="str">
        <f t="shared" si="32"/>
        <v>0h0</v>
      </c>
      <c r="N248" s="138" t="s">
        <v>84</v>
      </c>
      <c r="O248" s="129"/>
      <c r="P248" s="129"/>
      <c r="Q248" s="129">
        <f t="shared" si="40"/>
        <v>0</v>
      </c>
      <c r="R248" s="129" t="str">
        <f t="shared" si="33"/>
        <v>0h0</v>
      </c>
      <c r="S248" s="138">
        <f t="shared" si="36"/>
        <v>0</v>
      </c>
      <c r="T248" s="129" t="str">
        <f t="shared" si="34"/>
        <v>0h0</v>
      </c>
    </row>
    <row r="249" spans="2:20" x14ac:dyDescent="0.3">
      <c r="B249" s="128">
        <f t="shared" si="37"/>
        <v>46439</v>
      </c>
      <c r="C249" s="129" t="str">
        <f t="shared" si="31"/>
        <v>Sunday</v>
      </c>
      <c r="D249" s="138" t="s">
        <v>84</v>
      </c>
      <c r="E249" s="129"/>
      <c r="F249" s="129"/>
      <c r="G249" s="129">
        <f t="shared" si="38"/>
        <v>0</v>
      </c>
      <c r="H249" s="129" t="str">
        <f t="shared" si="35"/>
        <v>0h0</v>
      </c>
      <c r="I249" s="138" t="s">
        <v>84</v>
      </c>
      <c r="J249" s="129"/>
      <c r="K249" s="129"/>
      <c r="L249" s="129">
        <f t="shared" si="39"/>
        <v>0</v>
      </c>
      <c r="M249" s="129" t="str">
        <f t="shared" si="32"/>
        <v>0h0</v>
      </c>
      <c r="N249" s="138" t="s">
        <v>84</v>
      </c>
      <c r="O249" s="129"/>
      <c r="P249" s="129"/>
      <c r="Q249" s="129">
        <f t="shared" si="40"/>
        <v>0</v>
      </c>
      <c r="R249" s="129" t="str">
        <f t="shared" si="33"/>
        <v>0h0</v>
      </c>
      <c r="S249" s="138">
        <f t="shared" si="36"/>
        <v>0</v>
      </c>
      <c r="T249" s="129" t="str">
        <f t="shared" si="34"/>
        <v>0h0</v>
      </c>
    </row>
    <row r="250" spans="2:20" x14ac:dyDescent="0.3">
      <c r="B250" s="128">
        <f t="shared" si="37"/>
        <v>46440</v>
      </c>
      <c r="C250" s="129" t="str">
        <f t="shared" si="31"/>
        <v>Monday</v>
      </c>
      <c r="D250" s="138" t="s">
        <v>84</v>
      </c>
      <c r="E250" s="129"/>
      <c r="F250" s="129"/>
      <c r="G250" s="129">
        <f t="shared" si="38"/>
        <v>0</v>
      </c>
      <c r="H250" s="129" t="str">
        <f t="shared" si="35"/>
        <v>0h0</v>
      </c>
      <c r="I250" s="138" t="s">
        <v>84</v>
      </c>
      <c r="J250" s="129"/>
      <c r="K250" s="129"/>
      <c r="L250" s="129">
        <f t="shared" si="39"/>
        <v>0</v>
      </c>
      <c r="M250" s="129" t="str">
        <f t="shared" si="32"/>
        <v>0h0</v>
      </c>
      <c r="N250" s="138" t="s">
        <v>84</v>
      </c>
      <c r="O250" s="129"/>
      <c r="P250" s="129"/>
      <c r="Q250" s="129">
        <f t="shared" si="40"/>
        <v>0</v>
      </c>
      <c r="R250" s="129" t="str">
        <f t="shared" si="33"/>
        <v>0h0</v>
      </c>
      <c r="S250" s="138">
        <f t="shared" si="36"/>
        <v>0</v>
      </c>
      <c r="T250" s="129" t="str">
        <f t="shared" si="34"/>
        <v>0h0</v>
      </c>
    </row>
    <row r="251" spans="2:20" x14ac:dyDescent="0.3">
      <c r="B251" s="128">
        <f t="shared" si="37"/>
        <v>46441</v>
      </c>
      <c r="C251" s="129" t="str">
        <f t="shared" si="31"/>
        <v>Tuesday</v>
      </c>
      <c r="D251" s="138" t="s">
        <v>84</v>
      </c>
      <c r="E251" s="129"/>
      <c r="F251" s="129"/>
      <c r="G251" s="129">
        <f t="shared" si="38"/>
        <v>0</v>
      </c>
      <c r="H251" s="129" t="str">
        <f t="shared" si="35"/>
        <v>0h0</v>
      </c>
      <c r="I251" s="138" t="s">
        <v>84</v>
      </c>
      <c r="J251" s="129"/>
      <c r="K251" s="129"/>
      <c r="L251" s="129">
        <f t="shared" si="39"/>
        <v>0</v>
      </c>
      <c r="M251" s="129" t="str">
        <f t="shared" si="32"/>
        <v>0h0</v>
      </c>
      <c r="N251" s="138" t="s">
        <v>84</v>
      </c>
      <c r="O251" s="129"/>
      <c r="P251" s="129"/>
      <c r="Q251" s="129">
        <f t="shared" si="40"/>
        <v>0</v>
      </c>
      <c r="R251" s="129" t="str">
        <f t="shared" si="33"/>
        <v>0h0</v>
      </c>
      <c r="S251" s="138">
        <f t="shared" si="36"/>
        <v>0</v>
      </c>
      <c r="T251" s="129" t="str">
        <f t="shared" si="34"/>
        <v>0h0</v>
      </c>
    </row>
    <row r="252" spans="2:20" x14ac:dyDescent="0.3">
      <c r="B252" s="128">
        <f t="shared" si="37"/>
        <v>46442</v>
      </c>
      <c r="C252" s="129" t="str">
        <f t="shared" si="31"/>
        <v>Wednesday</v>
      </c>
      <c r="D252" s="138" t="s">
        <v>84</v>
      </c>
      <c r="E252" s="129"/>
      <c r="F252" s="129"/>
      <c r="G252" s="129">
        <f t="shared" si="38"/>
        <v>0</v>
      </c>
      <c r="H252" s="129" t="str">
        <f t="shared" si="35"/>
        <v>0h0</v>
      </c>
      <c r="I252" s="138" t="s">
        <v>84</v>
      </c>
      <c r="J252" s="129"/>
      <c r="K252" s="129"/>
      <c r="L252" s="129">
        <f t="shared" si="39"/>
        <v>0</v>
      </c>
      <c r="M252" s="129" t="str">
        <f t="shared" si="32"/>
        <v>0h0</v>
      </c>
      <c r="N252" s="138" t="s">
        <v>84</v>
      </c>
      <c r="O252" s="129"/>
      <c r="P252" s="129"/>
      <c r="Q252" s="129">
        <f t="shared" si="40"/>
        <v>0</v>
      </c>
      <c r="R252" s="129" t="str">
        <f t="shared" si="33"/>
        <v>0h0</v>
      </c>
      <c r="S252" s="138">
        <f t="shared" si="36"/>
        <v>0</v>
      </c>
      <c r="T252" s="129" t="str">
        <f t="shared" si="34"/>
        <v>0h0</v>
      </c>
    </row>
    <row r="253" spans="2:20" x14ac:dyDescent="0.3">
      <c r="B253" s="128">
        <f t="shared" si="37"/>
        <v>46443</v>
      </c>
      <c r="C253" s="129" t="str">
        <f t="shared" si="31"/>
        <v>Thursday</v>
      </c>
      <c r="D253" s="138" t="s">
        <v>84</v>
      </c>
      <c r="E253" s="129"/>
      <c r="F253" s="129"/>
      <c r="G253" s="129">
        <f t="shared" si="38"/>
        <v>0</v>
      </c>
      <c r="H253" s="129" t="str">
        <f t="shared" si="35"/>
        <v>0h0</v>
      </c>
      <c r="I253" s="138" t="s">
        <v>84</v>
      </c>
      <c r="J253" s="129"/>
      <c r="K253" s="129"/>
      <c r="L253" s="129">
        <f t="shared" si="39"/>
        <v>0</v>
      </c>
      <c r="M253" s="129" t="str">
        <f t="shared" si="32"/>
        <v>0h0</v>
      </c>
      <c r="N253" s="138" t="s">
        <v>84</v>
      </c>
      <c r="O253" s="129"/>
      <c r="P253" s="129"/>
      <c r="Q253" s="129">
        <f t="shared" si="40"/>
        <v>0</v>
      </c>
      <c r="R253" s="129" t="str">
        <f t="shared" si="33"/>
        <v>0h0</v>
      </c>
      <c r="S253" s="138">
        <f t="shared" si="36"/>
        <v>0</v>
      </c>
      <c r="T253" s="129" t="str">
        <f t="shared" si="34"/>
        <v>0h0</v>
      </c>
    </row>
    <row r="254" spans="2:20" x14ac:dyDescent="0.3">
      <c r="B254" s="128">
        <f t="shared" si="37"/>
        <v>46444</v>
      </c>
      <c r="C254" s="129" t="str">
        <f t="shared" si="31"/>
        <v>Friday</v>
      </c>
      <c r="D254" s="138" t="s">
        <v>84</v>
      </c>
      <c r="E254" s="129"/>
      <c r="F254" s="129"/>
      <c r="G254" s="129">
        <f t="shared" si="38"/>
        <v>0</v>
      </c>
      <c r="H254" s="129" t="str">
        <f t="shared" si="35"/>
        <v>0h0</v>
      </c>
      <c r="I254" s="138" t="s">
        <v>84</v>
      </c>
      <c r="J254" s="129"/>
      <c r="K254" s="129"/>
      <c r="L254" s="129">
        <f t="shared" si="39"/>
        <v>0</v>
      </c>
      <c r="M254" s="129" t="str">
        <f t="shared" si="32"/>
        <v>0h0</v>
      </c>
      <c r="N254" s="138" t="s">
        <v>84</v>
      </c>
      <c r="O254" s="129"/>
      <c r="P254" s="129"/>
      <c r="Q254" s="129">
        <f t="shared" si="40"/>
        <v>0</v>
      </c>
      <c r="R254" s="129" t="str">
        <f t="shared" si="33"/>
        <v>0h0</v>
      </c>
      <c r="S254" s="138">
        <f t="shared" si="36"/>
        <v>0</v>
      </c>
      <c r="T254" s="129" t="str">
        <f t="shared" si="34"/>
        <v>0h0</v>
      </c>
    </row>
    <row r="255" spans="2:20" x14ac:dyDescent="0.3">
      <c r="B255" s="128">
        <f t="shared" si="37"/>
        <v>46445</v>
      </c>
      <c r="C255" s="129" t="str">
        <f t="shared" si="31"/>
        <v>Saturday</v>
      </c>
      <c r="D255" s="138" t="s">
        <v>84</v>
      </c>
      <c r="E255" s="129"/>
      <c r="F255" s="129"/>
      <c r="G255" s="129">
        <f t="shared" si="38"/>
        <v>0</v>
      </c>
      <c r="H255" s="129" t="str">
        <f t="shared" si="35"/>
        <v>0h0</v>
      </c>
      <c r="I255" s="138" t="s">
        <v>84</v>
      </c>
      <c r="J255" s="129"/>
      <c r="K255" s="129"/>
      <c r="L255" s="129">
        <f t="shared" si="39"/>
        <v>0</v>
      </c>
      <c r="M255" s="129" t="str">
        <f t="shared" si="32"/>
        <v>0h0</v>
      </c>
      <c r="N255" s="138" t="s">
        <v>84</v>
      </c>
      <c r="O255" s="129"/>
      <c r="P255" s="129"/>
      <c r="Q255" s="129">
        <f t="shared" si="40"/>
        <v>0</v>
      </c>
      <c r="R255" s="129" t="str">
        <f t="shared" si="33"/>
        <v>0h0</v>
      </c>
      <c r="S255" s="138">
        <f t="shared" si="36"/>
        <v>0</v>
      </c>
      <c r="T255" s="129" t="str">
        <f t="shared" si="34"/>
        <v>0h0</v>
      </c>
    </row>
    <row r="256" spans="2:20" x14ac:dyDescent="0.3">
      <c r="B256" s="128">
        <f t="shared" si="37"/>
        <v>46446</v>
      </c>
      <c r="C256" s="129" t="str">
        <f t="shared" si="31"/>
        <v>Sunday</v>
      </c>
      <c r="D256" s="138" t="s">
        <v>84</v>
      </c>
      <c r="E256" s="129"/>
      <c r="F256" s="129"/>
      <c r="G256" s="129">
        <f t="shared" si="38"/>
        <v>0</v>
      </c>
      <c r="H256" s="129" t="str">
        <f t="shared" si="35"/>
        <v>0h0</v>
      </c>
      <c r="I256" s="138" t="s">
        <v>84</v>
      </c>
      <c r="J256" s="129"/>
      <c r="K256" s="129"/>
      <c r="L256" s="129">
        <f t="shared" si="39"/>
        <v>0</v>
      </c>
      <c r="M256" s="129" t="str">
        <f t="shared" si="32"/>
        <v>0h0</v>
      </c>
      <c r="N256" s="138" t="s">
        <v>84</v>
      </c>
      <c r="O256" s="129"/>
      <c r="P256" s="129"/>
      <c r="Q256" s="129">
        <f t="shared" si="40"/>
        <v>0</v>
      </c>
      <c r="R256" s="129" t="str">
        <f t="shared" si="33"/>
        <v>0h0</v>
      </c>
      <c r="S256" s="138">
        <f t="shared" si="36"/>
        <v>0</v>
      </c>
      <c r="T256" s="129" t="str">
        <f t="shared" si="34"/>
        <v>0h0</v>
      </c>
    </row>
    <row r="257" spans="2:20" x14ac:dyDescent="0.3">
      <c r="B257" s="128">
        <f t="shared" si="37"/>
        <v>46447</v>
      </c>
      <c r="C257" s="129" t="str">
        <f t="shared" si="31"/>
        <v>Monday</v>
      </c>
      <c r="D257" s="138" t="s">
        <v>84</v>
      </c>
      <c r="E257" s="129"/>
      <c r="F257" s="129"/>
      <c r="G257" s="129">
        <f t="shared" si="38"/>
        <v>0</v>
      </c>
      <c r="H257" s="129" t="str">
        <f t="shared" si="35"/>
        <v>0h0</v>
      </c>
      <c r="I257" s="138" t="s">
        <v>84</v>
      </c>
      <c r="J257" s="129"/>
      <c r="K257" s="129"/>
      <c r="L257" s="129">
        <f t="shared" si="39"/>
        <v>0</v>
      </c>
      <c r="M257" s="129" t="str">
        <f t="shared" si="32"/>
        <v>0h0</v>
      </c>
      <c r="N257" s="138" t="s">
        <v>84</v>
      </c>
      <c r="O257" s="129"/>
      <c r="P257" s="129"/>
      <c r="Q257" s="129">
        <f t="shared" si="40"/>
        <v>0</v>
      </c>
      <c r="R257" s="129" t="str">
        <f t="shared" si="33"/>
        <v>0h0</v>
      </c>
      <c r="S257" s="138">
        <f t="shared" si="36"/>
        <v>0</v>
      </c>
      <c r="T257" s="129" t="str">
        <f t="shared" si="34"/>
        <v>0h0</v>
      </c>
    </row>
    <row r="258" spans="2:20" x14ac:dyDescent="0.3">
      <c r="B258" s="128">
        <f t="shared" si="37"/>
        <v>46448</v>
      </c>
      <c r="C258" s="129" t="str">
        <f t="shared" si="31"/>
        <v>Tuesday</v>
      </c>
      <c r="D258" s="138" t="s">
        <v>84</v>
      </c>
      <c r="E258" s="129"/>
      <c r="F258" s="129"/>
      <c r="G258" s="129">
        <f t="shared" si="38"/>
        <v>0</v>
      </c>
      <c r="H258" s="129" t="str">
        <f t="shared" si="35"/>
        <v>0h0</v>
      </c>
      <c r="I258" s="138" t="s">
        <v>84</v>
      </c>
      <c r="J258" s="129"/>
      <c r="K258" s="129"/>
      <c r="L258" s="129">
        <f t="shared" si="39"/>
        <v>0</v>
      </c>
      <c r="M258" s="129" t="str">
        <f t="shared" si="32"/>
        <v>0h0</v>
      </c>
      <c r="N258" s="138" t="s">
        <v>84</v>
      </c>
      <c r="O258" s="129"/>
      <c r="P258" s="129"/>
      <c r="Q258" s="129">
        <f t="shared" si="40"/>
        <v>0</v>
      </c>
      <c r="R258" s="129" t="str">
        <f t="shared" si="33"/>
        <v>0h0</v>
      </c>
      <c r="S258" s="138">
        <f t="shared" si="36"/>
        <v>0</v>
      </c>
      <c r="T258" s="129" t="str">
        <f t="shared" si="34"/>
        <v>0h0</v>
      </c>
    </row>
    <row r="259" spans="2:20" x14ac:dyDescent="0.3">
      <c r="B259" s="128">
        <f t="shared" si="37"/>
        <v>46449</v>
      </c>
      <c r="C259" s="129" t="str">
        <f t="shared" si="31"/>
        <v>Wednesday</v>
      </c>
      <c r="D259" s="138" t="s">
        <v>84</v>
      </c>
      <c r="E259" s="129"/>
      <c r="F259" s="129"/>
      <c r="G259" s="129">
        <f t="shared" si="38"/>
        <v>0</v>
      </c>
      <c r="H259" s="129" t="str">
        <f t="shared" si="35"/>
        <v>0h0</v>
      </c>
      <c r="I259" s="138" t="s">
        <v>84</v>
      </c>
      <c r="J259" s="129"/>
      <c r="K259" s="129"/>
      <c r="L259" s="129">
        <f t="shared" si="39"/>
        <v>0</v>
      </c>
      <c r="M259" s="129" t="str">
        <f t="shared" si="32"/>
        <v>0h0</v>
      </c>
      <c r="N259" s="138" t="s">
        <v>84</v>
      </c>
      <c r="O259" s="129"/>
      <c r="P259" s="129"/>
      <c r="Q259" s="129">
        <f t="shared" si="40"/>
        <v>0</v>
      </c>
      <c r="R259" s="129" t="str">
        <f t="shared" si="33"/>
        <v>0h0</v>
      </c>
      <c r="S259" s="138">
        <f t="shared" si="36"/>
        <v>0</v>
      </c>
      <c r="T259" s="129" t="str">
        <f t="shared" si="34"/>
        <v>0h0</v>
      </c>
    </row>
    <row r="260" spans="2:20" x14ac:dyDescent="0.3">
      <c r="B260" s="128">
        <f t="shared" si="37"/>
        <v>46450</v>
      </c>
      <c r="C260" s="129" t="str">
        <f t="shared" si="31"/>
        <v>Thursday</v>
      </c>
      <c r="D260" s="138" t="s">
        <v>84</v>
      </c>
      <c r="E260" s="129"/>
      <c r="F260" s="129"/>
      <c r="G260" s="129">
        <f t="shared" si="38"/>
        <v>0</v>
      </c>
      <c r="H260" s="129" t="str">
        <f t="shared" si="35"/>
        <v>0h0</v>
      </c>
      <c r="I260" s="138" t="s">
        <v>84</v>
      </c>
      <c r="J260" s="129"/>
      <c r="K260" s="129"/>
      <c r="L260" s="129">
        <f t="shared" si="39"/>
        <v>0</v>
      </c>
      <c r="M260" s="129" t="str">
        <f t="shared" si="32"/>
        <v>0h0</v>
      </c>
      <c r="N260" s="138" t="s">
        <v>84</v>
      </c>
      <c r="O260" s="129"/>
      <c r="P260" s="129"/>
      <c r="Q260" s="129">
        <f t="shared" si="40"/>
        <v>0</v>
      </c>
      <c r="R260" s="129" t="str">
        <f t="shared" si="33"/>
        <v>0h0</v>
      </c>
      <c r="S260" s="138">
        <f t="shared" si="36"/>
        <v>0</v>
      </c>
      <c r="T260" s="129" t="str">
        <f t="shared" si="34"/>
        <v>0h0</v>
      </c>
    </row>
    <row r="261" spans="2:20" x14ac:dyDescent="0.3">
      <c r="B261" s="128">
        <f t="shared" si="37"/>
        <v>46451</v>
      </c>
      <c r="C261" s="129" t="str">
        <f t="shared" si="31"/>
        <v>Friday</v>
      </c>
      <c r="D261" s="138" t="s">
        <v>84</v>
      </c>
      <c r="E261" s="129"/>
      <c r="F261" s="129"/>
      <c r="G261" s="129">
        <f t="shared" si="38"/>
        <v>0</v>
      </c>
      <c r="H261" s="129" t="str">
        <f t="shared" si="35"/>
        <v>0h0</v>
      </c>
      <c r="I261" s="138" t="s">
        <v>84</v>
      </c>
      <c r="J261" s="129"/>
      <c r="K261" s="129"/>
      <c r="L261" s="129">
        <f t="shared" si="39"/>
        <v>0</v>
      </c>
      <c r="M261" s="129" t="str">
        <f t="shared" si="32"/>
        <v>0h0</v>
      </c>
      <c r="N261" s="138" t="s">
        <v>84</v>
      </c>
      <c r="O261" s="129"/>
      <c r="P261" s="129"/>
      <c r="Q261" s="129">
        <f t="shared" si="40"/>
        <v>0</v>
      </c>
      <c r="R261" s="129" t="str">
        <f t="shared" si="33"/>
        <v>0h0</v>
      </c>
      <c r="S261" s="138">
        <f t="shared" si="36"/>
        <v>0</v>
      </c>
      <c r="T261" s="129" t="str">
        <f t="shared" si="34"/>
        <v>0h0</v>
      </c>
    </row>
    <row r="262" spans="2:20" x14ac:dyDescent="0.3">
      <c r="B262" s="128">
        <f t="shared" si="37"/>
        <v>46452</v>
      </c>
      <c r="C262" s="129" t="str">
        <f t="shared" ref="C262:C325" si="41">CHOOSE(WEEKDAY(B262,2),"Monday","Tuesday","Wednesday","Thursday","Friday","Saturday","Sunday")</f>
        <v>Saturday</v>
      </c>
      <c r="D262" s="138" t="s">
        <v>84</v>
      </c>
      <c r="E262" s="129"/>
      <c r="F262" s="129"/>
      <c r="G262" s="129">
        <f t="shared" si="38"/>
        <v>0</v>
      </c>
      <c r="H262" s="129" t="str">
        <f t="shared" si="35"/>
        <v>0h0</v>
      </c>
      <c r="I262" s="138" t="s">
        <v>84</v>
      </c>
      <c r="J262" s="129"/>
      <c r="K262" s="129"/>
      <c r="L262" s="129">
        <f t="shared" si="39"/>
        <v>0</v>
      </c>
      <c r="M262" s="129" t="str">
        <f t="shared" ref="M262:M325" si="42">ROUNDDOWN(L262/60, 0)&amp;"h"&amp;ROUNDUP((L262/60-ROUNDDOWN(L262/60, 0))*60,0)</f>
        <v>0h0</v>
      </c>
      <c r="N262" s="138" t="s">
        <v>84</v>
      </c>
      <c r="O262" s="129"/>
      <c r="P262" s="129"/>
      <c r="Q262" s="129">
        <f t="shared" si="40"/>
        <v>0</v>
      </c>
      <c r="R262" s="129" t="str">
        <f t="shared" ref="R262:R325" si="43">ROUNDDOWN(Q262/60, 0)&amp;"h"&amp;ROUNDUP((Q262/60-ROUNDDOWN(Q262/60, 0))*60,0)</f>
        <v>0h0</v>
      </c>
      <c r="S262" s="138">
        <f t="shared" si="36"/>
        <v>0</v>
      </c>
      <c r="T262" s="129" t="str">
        <f t="shared" ref="T262:T325" si="44">ROUNDDOWN(S262/60, 0)&amp;"h"&amp;ROUNDUP((S262/60-ROUNDDOWN(S262/60, 0))*60,0)</f>
        <v>0h0</v>
      </c>
    </row>
    <row r="263" spans="2:20" x14ac:dyDescent="0.3">
      <c r="B263" s="128">
        <f t="shared" si="37"/>
        <v>46453</v>
      </c>
      <c r="C263" s="129" t="str">
        <f t="shared" si="41"/>
        <v>Sunday</v>
      </c>
      <c r="D263" s="138" t="s">
        <v>84</v>
      </c>
      <c r="E263" s="129"/>
      <c r="F263" s="129"/>
      <c r="G263" s="129">
        <f t="shared" si="38"/>
        <v>0</v>
      </c>
      <c r="H263" s="129" t="str">
        <f t="shared" ref="H263:H326" si="45">ROUNDDOWN(G263/60, 0)&amp;"h"&amp;ROUNDUP((G263/60-ROUNDDOWN(G263/60, 0))*60,0)</f>
        <v>0h0</v>
      </c>
      <c r="I263" s="138" t="s">
        <v>84</v>
      </c>
      <c r="J263" s="129"/>
      <c r="K263" s="129"/>
      <c r="L263" s="129">
        <f t="shared" si="39"/>
        <v>0</v>
      </c>
      <c r="M263" s="129" t="str">
        <f t="shared" si="42"/>
        <v>0h0</v>
      </c>
      <c r="N263" s="138" t="s">
        <v>84</v>
      </c>
      <c r="O263" s="129"/>
      <c r="P263" s="129"/>
      <c r="Q263" s="129">
        <f t="shared" si="40"/>
        <v>0</v>
      </c>
      <c r="R263" s="129" t="str">
        <f t="shared" si="43"/>
        <v>0h0</v>
      </c>
      <c r="S263" s="138">
        <f t="shared" ref="S263:S326" si="46">G263+L263+Q263</f>
        <v>0</v>
      </c>
      <c r="T263" s="129" t="str">
        <f t="shared" si="44"/>
        <v>0h0</v>
      </c>
    </row>
    <row r="264" spans="2:20" x14ac:dyDescent="0.3">
      <c r="B264" s="128">
        <f t="shared" ref="B264:B327" si="47">B263+1</f>
        <v>46454</v>
      </c>
      <c r="C264" s="129" t="str">
        <f t="shared" si="41"/>
        <v>Monday</v>
      </c>
      <c r="D264" s="138" t="s">
        <v>84</v>
      </c>
      <c r="E264" s="129"/>
      <c r="F264" s="129"/>
      <c r="G264" s="129">
        <f t="shared" ref="G264:G327" si="48">E264*25+F264</f>
        <v>0</v>
      </c>
      <c r="H264" s="129" t="str">
        <f t="shared" si="45"/>
        <v>0h0</v>
      </c>
      <c r="I264" s="138" t="s">
        <v>84</v>
      </c>
      <c r="J264" s="129"/>
      <c r="K264" s="129"/>
      <c r="L264" s="129">
        <f t="shared" ref="L264:L327" si="49">J264*25+K264</f>
        <v>0</v>
      </c>
      <c r="M264" s="129" t="str">
        <f t="shared" si="42"/>
        <v>0h0</v>
      </c>
      <c r="N264" s="138" t="s">
        <v>84</v>
      </c>
      <c r="O264" s="129"/>
      <c r="P264" s="129"/>
      <c r="Q264" s="129">
        <f t="shared" ref="Q264:Q327" si="50">O264*25+P264</f>
        <v>0</v>
      </c>
      <c r="R264" s="129" t="str">
        <f t="shared" si="43"/>
        <v>0h0</v>
      </c>
      <c r="S264" s="138">
        <f t="shared" si="46"/>
        <v>0</v>
      </c>
      <c r="T264" s="129" t="str">
        <f t="shared" si="44"/>
        <v>0h0</v>
      </c>
    </row>
    <row r="265" spans="2:20" x14ac:dyDescent="0.3">
      <c r="B265" s="128">
        <f t="shared" si="47"/>
        <v>46455</v>
      </c>
      <c r="C265" s="129" t="str">
        <f t="shared" si="41"/>
        <v>Tuesday</v>
      </c>
      <c r="D265" s="138" t="s">
        <v>84</v>
      </c>
      <c r="E265" s="129"/>
      <c r="F265" s="129"/>
      <c r="G265" s="129">
        <f t="shared" si="48"/>
        <v>0</v>
      </c>
      <c r="H265" s="129" t="str">
        <f t="shared" si="45"/>
        <v>0h0</v>
      </c>
      <c r="I265" s="138" t="s">
        <v>84</v>
      </c>
      <c r="J265" s="129"/>
      <c r="K265" s="129"/>
      <c r="L265" s="129">
        <f t="shared" si="49"/>
        <v>0</v>
      </c>
      <c r="M265" s="129" t="str">
        <f t="shared" si="42"/>
        <v>0h0</v>
      </c>
      <c r="N265" s="138" t="s">
        <v>84</v>
      </c>
      <c r="O265" s="129"/>
      <c r="P265" s="129"/>
      <c r="Q265" s="129">
        <f t="shared" si="50"/>
        <v>0</v>
      </c>
      <c r="R265" s="129" t="str">
        <f t="shared" si="43"/>
        <v>0h0</v>
      </c>
      <c r="S265" s="138">
        <f t="shared" si="46"/>
        <v>0</v>
      </c>
      <c r="T265" s="129" t="str">
        <f t="shared" si="44"/>
        <v>0h0</v>
      </c>
    </row>
    <row r="266" spans="2:20" x14ac:dyDescent="0.3">
      <c r="B266" s="128">
        <f t="shared" si="47"/>
        <v>46456</v>
      </c>
      <c r="C266" s="129" t="str">
        <f t="shared" si="41"/>
        <v>Wednesday</v>
      </c>
      <c r="D266" s="138" t="s">
        <v>84</v>
      </c>
      <c r="E266" s="129"/>
      <c r="F266" s="129"/>
      <c r="G266" s="129">
        <f t="shared" si="48"/>
        <v>0</v>
      </c>
      <c r="H266" s="129" t="str">
        <f t="shared" si="45"/>
        <v>0h0</v>
      </c>
      <c r="I266" s="138" t="s">
        <v>84</v>
      </c>
      <c r="J266" s="129"/>
      <c r="K266" s="129"/>
      <c r="L266" s="129">
        <f t="shared" si="49"/>
        <v>0</v>
      </c>
      <c r="M266" s="129" t="str">
        <f t="shared" si="42"/>
        <v>0h0</v>
      </c>
      <c r="N266" s="138" t="s">
        <v>84</v>
      </c>
      <c r="O266" s="129"/>
      <c r="P266" s="129"/>
      <c r="Q266" s="129">
        <f t="shared" si="50"/>
        <v>0</v>
      </c>
      <c r="R266" s="129" t="str">
        <f t="shared" si="43"/>
        <v>0h0</v>
      </c>
      <c r="S266" s="138">
        <f t="shared" si="46"/>
        <v>0</v>
      </c>
      <c r="T266" s="129" t="str">
        <f t="shared" si="44"/>
        <v>0h0</v>
      </c>
    </row>
    <row r="267" spans="2:20" x14ac:dyDescent="0.3">
      <c r="B267" s="128">
        <f t="shared" si="47"/>
        <v>46457</v>
      </c>
      <c r="C267" s="129" t="str">
        <f t="shared" si="41"/>
        <v>Thursday</v>
      </c>
      <c r="D267" s="138" t="s">
        <v>84</v>
      </c>
      <c r="E267" s="129"/>
      <c r="F267" s="129"/>
      <c r="G267" s="129">
        <f t="shared" si="48"/>
        <v>0</v>
      </c>
      <c r="H267" s="129" t="str">
        <f t="shared" si="45"/>
        <v>0h0</v>
      </c>
      <c r="I267" s="138" t="s">
        <v>84</v>
      </c>
      <c r="J267" s="129"/>
      <c r="K267" s="129"/>
      <c r="L267" s="129">
        <f t="shared" si="49"/>
        <v>0</v>
      </c>
      <c r="M267" s="129" t="str">
        <f t="shared" si="42"/>
        <v>0h0</v>
      </c>
      <c r="N267" s="138" t="s">
        <v>84</v>
      </c>
      <c r="O267" s="129"/>
      <c r="P267" s="129"/>
      <c r="Q267" s="129">
        <f t="shared" si="50"/>
        <v>0</v>
      </c>
      <c r="R267" s="129" t="str">
        <f t="shared" si="43"/>
        <v>0h0</v>
      </c>
      <c r="S267" s="138">
        <f t="shared" si="46"/>
        <v>0</v>
      </c>
      <c r="T267" s="129" t="str">
        <f t="shared" si="44"/>
        <v>0h0</v>
      </c>
    </row>
    <row r="268" spans="2:20" x14ac:dyDescent="0.3">
      <c r="B268" s="128">
        <f t="shared" si="47"/>
        <v>46458</v>
      </c>
      <c r="C268" s="129" t="str">
        <f t="shared" si="41"/>
        <v>Friday</v>
      </c>
      <c r="D268" s="138" t="s">
        <v>84</v>
      </c>
      <c r="E268" s="129"/>
      <c r="F268" s="129"/>
      <c r="G268" s="129">
        <f t="shared" si="48"/>
        <v>0</v>
      </c>
      <c r="H268" s="129" t="str">
        <f t="shared" si="45"/>
        <v>0h0</v>
      </c>
      <c r="I268" s="138" t="s">
        <v>84</v>
      </c>
      <c r="J268" s="129"/>
      <c r="K268" s="129"/>
      <c r="L268" s="129">
        <f t="shared" si="49"/>
        <v>0</v>
      </c>
      <c r="M268" s="129" t="str">
        <f t="shared" si="42"/>
        <v>0h0</v>
      </c>
      <c r="N268" s="138" t="s">
        <v>84</v>
      </c>
      <c r="O268" s="129"/>
      <c r="P268" s="129"/>
      <c r="Q268" s="129">
        <f t="shared" si="50"/>
        <v>0</v>
      </c>
      <c r="R268" s="129" t="str">
        <f t="shared" si="43"/>
        <v>0h0</v>
      </c>
      <c r="S268" s="138">
        <f t="shared" si="46"/>
        <v>0</v>
      </c>
      <c r="T268" s="129" t="str">
        <f t="shared" si="44"/>
        <v>0h0</v>
      </c>
    </row>
    <row r="269" spans="2:20" x14ac:dyDescent="0.3">
      <c r="B269" s="128">
        <f t="shared" si="47"/>
        <v>46459</v>
      </c>
      <c r="C269" s="129" t="str">
        <f t="shared" si="41"/>
        <v>Saturday</v>
      </c>
      <c r="D269" s="138" t="s">
        <v>84</v>
      </c>
      <c r="E269" s="129"/>
      <c r="F269" s="129"/>
      <c r="G269" s="129">
        <f t="shared" si="48"/>
        <v>0</v>
      </c>
      <c r="H269" s="129" t="str">
        <f t="shared" si="45"/>
        <v>0h0</v>
      </c>
      <c r="I269" s="138" t="s">
        <v>84</v>
      </c>
      <c r="J269" s="129"/>
      <c r="K269" s="129"/>
      <c r="L269" s="129">
        <f t="shared" si="49"/>
        <v>0</v>
      </c>
      <c r="M269" s="129" t="str">
        <f t="shared" si="42"/>
        <v>0h0</v>
      </c>
      <c r="N269" s="138" t="s">
        <v>84</v>
      </c>
      <c r="O269" s="129"/>
      <c r="P269" s="129"/>
      <c r="Q269" s="129">
        <f t="shared" si="50"/>
        <v>0</v>
      </c>
      <c r="R269" s="129" t="str">
        <f t="shared" si="43"/>
        <v>0h0</v>
      </c>
      <c r="S269" s="138">
        <f t="shared" si="46"/>
        <v>0</v>
      </c>
      <c r="T269" s="129" t="str">
        <f t="shared" si="44"/>
        <v>0h0</v>
      </c>
    </row>
    <row r="270" spans="2:20" x14ac:dyDescent="0.3">
      <c r="B270" s="128">
        <f t="shared" si="47"/>
        <v>46460</v>
      </c>
      <c r="C270" s="129" t="str">
        <f t="shared" si="41"/>
        <v>Sunday</v>
      </c>
      <c r="D270" s="138" t="s">
        <v>84</v>
      </c>
      <c r="E270" s="129"/>
      <c r="F270" s="129"/>
      <c r="G270" s="129">
        <f t="shared" si="48"/>
        <v>0</v>
      </c>
      <c r="H270" s="129" t="str">
        <f t="shared" si="45"/>
        <v>0h0</v>
      </c>
      <c r="I270" s="138" t="s">
        <v>84</v>
      </c>
      <c r="J270" s="129"/>
      <c r="K270" s="129"/>
      <c r="L270" s="129">
        <f t="shared" si="49"/>
        <v>0</v>
      </c>
      <c r="M270" s="129" t="str">
        <f t="shared" si="42"/>
        <v>0h0</v>
      </c>
      <c r="N270" s="138" t="s">
        <v>84</v>
      </c>
      <c r="O270" s="129"/>
      <c r="P270" s="129"/>
      <c r="Q270" s="129">
        <f t="shared" si="50"/>
        <v>0</v>
      </c>
      <c r="R270" s="129" t="str">
        <f t="shared" si="43"/>
        <v>0h0</v>
      </c>
      <c r="S270" s="138">
        <f t="shared" si="46"/>
        <v>0</v>
      </c>
      <c r="T270" s="129" t="str">
        <f t="shared" si="44"/>
        <v>0h0</v>
      </c>
    </row>
    <row r="271" spans="2:20" x14ac:dyDescent="0.3">
      <c r="B271" s="128">
        <f t="shared" si="47"/>
        <v>46461</v>
      </c>
      <c r="C271" s="129" t="str">
        <f t="shared" si="41"/>
        <v>Monday</v>
      </c>
      <c r="D271" s="138" t="s">
        <v>84</v>
      </c>
      <c r="E271" s="129"/>
      <c r="F271" s="129"/>
      <c r="G271" s="129">
        <f t="shared" si="48"/>
        <v>0</v>
      </c>
      <c r="H271" s="129" t="str">
        <f t="shared" si="45"/>
        <v>0h0</v>
      </c>
      <c r="I271" s="138" t="s">
        <v>84</v>
      </c>
      <c r="J271" s="129"/>
      <c r="K271" s="129"/>
      <c r="L271" s="129">
        <f t="shared" si="49"/>
        <v>0</v>
      </c>
      <c r="M271" s="129" t="str">
        <f t="shared" si="42"/>
        <v>0h0</v>
      </c>
      <c r="N271" s="138" t="s">
        <v>84</v>
      </c>
      <c r="O271" s="129"/>
      <c r="P271" s="129"/>
      <c r="Q271" s="129">
        <f t="shared" si="50"/>
        <v>0</v>
      </c>
      <c r="R271" s="129" t="str">
        <f t="shared" si="43"/>
        <v>0h0</v>
      </c>
      <c r="S271" s="138">
        <f t="shared" si="46"/>
        <v>0</v>
      </c>
      <c r="T271" s="129" t="str">
        <f t="shared" si="44"/>
        <v>0h0</v>
      </c>
    </row>
    <row r="272" spans="2:20" x14ac:dyDescent="0.3">
      <c r="B272" s="128">
        <f t="shared" si="47"/>
        <v>46462</v>
      </c>
      <c r="C272" s="129" t="str">
        <f t="shared" si="41"/>
        <v>Tuesday</v>
      </c>
      <c r="D272" s="138" t="s">
        <v>84</v>
      </c>
      <c r="E272" s="129"/>
      <c r="F272" s="129"/>
      <c r="G272" s="129">
        <f t="shared" si="48"/>
        <v>0</v>
      </c>
      <c r="H272" s="129" t="str">
        <f t="shared" si="45"/>
        <v>0h0</v>
      </c>
      <c r="I272" s="138" t="s">
        <v>84</v>
      </c>
      <c r="J272" s="129"/>
      <c r="K272" s="129"/>
      <c r="L272" s="129">
        <f t="shared" si="49"/>
        <v>0</v>
      </c>
      <c r="M272" s="129" t="str">
        <f t="shared" si="42"/>
        <v>0h0</v>
      </c>
      <c r="N272" s="138" t="s">
        <v>84</v>
      </c>
      <c r="O272" s="129"/>
      <c r="P272" s="129"/>
      <c r="Q272" s="129">
        <f t="shared" si="50"/>
        <v>0</v>
      </c>
      <c r="R272" s="129" t="str">
        <f t="shared" si="43"/>
        <v>0h0</v>
      </c>
      <c r="S272" s="138">
        <f t="shared" si="46"/>
        <v>0</v>
      </c>
      <c r="T272" s="129" t="str">
        <f t="shared" si="44"/>
        <v>0h0</v>
      </c>
    </row>
    <row r="273" spans="2:20" x14ac:dyDescent="0.3">
      <c r="B273" s="128">
        <f t="shared" si="47"/>
        <v>46463</v>
      </c>
      <c r="C273" s="129" t="str">
        <f t="shared" si="41"/>
        <v>Wednesday</v>
      </c>
      <c r="D273" s="138" t="s">
        <v>84</v>
      </c>
      <c r="E273" s="129"/>
      <c r="F273" s="129"/>
      <c r="G273" s="129">
        <f t="shared" si="48"/>
        <v>0</v>
      </c>
      <c r="H273" s="129" t="str">
        <f t="shared" si="45"/>
        <v>0h0</v>
      </c>
      <c r="I273" s="138" t="s">
        <v>84</v>
      </c>
      <c r="J273" s="129"/>
      <c r="K273" s="129"/>
      <c r="L273" s="129">
        <f t="shared" si="49"/>
        <v>0</v>
      </c>
      <c r="M273" s="129" t="str">
        <f t="shared" si="42"/>
        <v>0h0</v>
      </c>
      <c r="N273" s="138" t="s">
        <v>84</v>
      </c>
      <c r="O273" s="129"/>
      <c r="P273" s="129"/>
      <c r="Q273" s="129">
        <f t="shared" si="50"/>
        <v>0</v>
      </c>
      <c r="R273" s="129" t="str">
        <f t="shared" si="43"/>
        <v>0h0</v>
      </c>
      <c r="S273" s="138">
        <f t="shared" si="46"/>
        <v>0</v>
      </c>
      <c r="T273" s="129" t="str">
        <f t="shared" si="44"/>
        <v>0h0</v>
      </c>
    </row>
    <row r="274" spans="2:20" x14ac:dyDescent="0.3">
      <c r="B274" s="128">
        <f t="shared" si="47"/>
        <v>46464</v>
      </c>
      <c r="C274" s="129" t="str">
        <f t="shared" si="41"/>
        <v>Thursday</v>
      </c>
      <c r="D274" s="138" t="s">
        <v>84</v>
      </c>
      <c r="E274" s="129"/>
      <c r="F274" s="129"/>
      <c r="G274" s="129">
        <f t="shared" si="48"/>
        <v>0</v>
      </c>
      <c r="H274" s="129" t="str">
        <f t="shared" si="45"/>
        <v>0h0</v>
      </c>
      <c r="I274" s="138" t="s">
        <v>84</v>
      </c>
      <c r="J274" s="129"/>
      <c r="K274" s="129"/>
      <c r="L274" s="129">
        <f t="shared" si="49"/>
        <v>0</v>
      </c>
      <c r="M274" s="129" t="str">
        <f t="shared" si="42"/>
        <v>0h0</v>
      </c>
      <c r="N274" s="138" t="s">
        <v>84</v>
      </c>
      <c r="O274" s="129"/>
      <c r="P274" s="129"/>
      <c r="Q274" s="129">
        <f t="shared" si="50"/>
        <v>0</v>
      </c>
      <c r="R274" s="129" t="str">
        <f t="shared" si="43"/>
        <v>0h0</v>
      </c>
      <c r="S274" s="138">
        <f t="shared" si="46"/>
        <v>0</v>
      </c>
      <c r="T274" s="129" t="str">
        <f t="shared" si="44"/>
        <v>0h0</v>
      </c>
    </row>
    <row r="275" spans="2:20" x14ac:dyDescent="0.3">
      <c r="B275" s="128">
        <f t="shared" si="47"/>
        <v>46465</v>
      </c>
      <c r="C275" s="129" t="str">
        <f t="shared" si="41"/>
        <v>Friday</v>
      </c>
      <c r="D275" s="138" t="s">
        <v>84</v>
      </c>
      <c r="E275" s="129"/>
      <c r="F275" s="129"/>
      <c r="G275" s="129">
        <f t="shared" si="48"/>
        <v>0</v>
      </c>
      <c r="H275" s="129" t="str">
        <f t="shared" si="45"/>
        <v>0h0</v>
      </c>
      <c r="I275" s="138" t="s">
        <v>84</v>
      </c>
      <c r="J275" s="129"/>
      <c r="K275" s="129"/>
      <c r="L275" s="129">
        <f t="shared" si="49"/>
        <v>0</v>
      </c>
      <c r="M275" s="129" t="str">
        <f t="shared" si="42"/>
        <v>0h0</v>
      </c>
      <c r="N275" s="138" t="s">
        <v>84</v>
      </c>
      <c r="O275" s="129"/>
      <c r="P275" s="129"/>
      <c r="Q275" s="129">
        <f t="shared" si="50"/>
        <v>0</v>
      </c>
      <c r="R275" s="129" t="str">
        <f t="shared" si="43"/>
        <v>0h0</v>
      </c>
      <c r="S275" s="138">
        <f t="shared" si="46"/>
        <v>0</v>
      </c>
      <c r="T275" s="129" t="str">
        <f t="shared" si="44"/>
        <v>0h0</v>
      </c>
    </row>
    <row r="276" spans="2:20" x14ac:dyDescent="0.3">
      <c r="B276" s="128">
        <f t="shared" si="47"/>
        <v>46466</v>
      </c>
      <c r="C276" s="129" t="str">
        <f t="shared" si="41"/>
        <v>Saturday</v>
      </c>
      <c r="D276" s="138" t="s">
        <v>84</v>
      </c>
      <c r="E276" s="129"/>
      <c r="F276" s="129"/>
      <c r="G276" s="129">
        <f t="shared" si="48"/>
        <v>0</v>
      </c>
      <c r="H276" s="129" t="str">
        <f t="shared" si="45"/>
        <v>0h0</v>
      </c>
      <c r="I276" s="138" t="s">
        <v>84</v>
      </c>
      <c r="J276" s="129"/>
      <c r="K276" s="129"/>
      <c r="L276" s="129">
        <f t="shared" si="49"/>
        <v>0</v>
      </c>
      <c r="M276" s="129" t="str">
        <f t="shared" si="42"/>
        <v>0h0</v>
      </c>
      <c r="N276" s="138" t="s">
        <v>84</v>
      </c>
      <c r="O276" s="129"/>
      <c r="P276" s="129"/>
      <c r="Q276" s="129">
        <f t="shared" si="50"/>
        <v>0</v>
      </c>
      <c r="R276" s="129" t="str">
        <f t="shared" si="43"/>
        <v>0h0</v>
      </c>
      <c r="S276" s="138">
        <f t="shared" si="46"/>
        <v>0</v>
      </c>
      <c r="T276" s="129" t="str">
        <f t="shared" si="44"/>
        <v>0h0</v>
      </c>
    </row>
    <row r="277" spans="2:20" x14ac:dyDescent="0.3">
      <c r="B277" s="128">
        <f t="shared" si="47"/>
        <v>46467</v>
      </c>
      <c r="C277" s="129" t="str">
        <f t="shared" si="41"/>
        <v>Sunday</v>
      </c>
      <c r="D277" s="138" t="s">
        <v>84</v>
      </c>
      <c r="E277" s="129"/>
      <c r="F277" s="129"/>
      <c r="G277" s="129">
        <f t="shared" si="48"/>
        <v>0</v>
      </c>
      <c r="H277" s="129" t="str">
        <f t="shared" si="45"/>
        <v>0h0</v>
      </c>
      <c r="I277" s="138" t="s">
        <v>84</v>
      </c>
      <c r="J277" s="129"/>
      <c r="K277" s="129"/>
      <c r="L277" s="129">
        <f t="shared" si="49"/>
        <v>0</v>
      </c>
      <c r="M277" s="129" t="str">
        <f t="shared" si="42"/>
        <v>0h0</v>
      </c>
      <c r="N277" s="138" t="s">
        <v>84</v>
      </c>
      <c r="O277" s="129"/>
      <c r="P277" s="129"/>
      <c r="Q277" s="129">
        <f t="shared" si="50"/>
        <v>0</v>
      </c>
      <c r="R277" s="129" t="str">
        <f t="shared" si="43"/>
        <v>0h0</v>
      </c>
      <c r="S277" s="138">
        <f t="shared" si="46"/>
        <v>0</v>
      </c>
      <c r="T277" s="129" t="str">
        <f t="shared" si="44"/>
        <v>0h0</v>
      </c>
    </row>
    <row r="278" spans="2:20" x14ac:dyDescent="0.3">
      <c r="B278" s="128">
        <f t="shared" si="47"/>
        <v>46468</v>
      </c>
      <c r="C278" s="129" t="str">
        <f t="shared" si="41"/>
        <v>Monday</v>
      </c>
      <c r="D278" s="138" t="s">
        <v>84</v>
      </c>
      <c r="E278" s="129"/>
      <c r="F278" s="129"/>
      <c r="G278" s="129">
        <f t="shared" si="48"/>
        <v>0</v>
      </c>
      <c r="H278" s="129" t="str">
        <f t="shared" si="45"/>
        <v>0h0</v>
      </c>
      <c r="I278" s="138" t="s">
        <v>84</v>
      </c>
      <c r="J278" s="129"/>
      <c r="K278" s="129"/>
      <c r="L278" s="129">
        <f t="shared" si="49"/>
        <v>0</v>
      </c>
      <c r="M278" s="129" t="str">
        <f t="shared" si="42"/>
        <v>0h0</v>
      </c>
      <c r="N278" s="138" t="s">
        <v>84</v>
      </c>
      <c r="O278" s="129"/>
      <c r="P278" s="129"/>
      <c r="Q278" s="129">
        <f t="shared" si="50"/>
        <v>0</v>
      </c>
      <c r="R278" s="129" t="str">
        <f t="shared" si="43"/>
        <v>0h0</v>
      </c>
      <c r="S278" s="138">
        <f t="shared" si="46"/>
        <v>0</v>
      </c>
      <c r="T278" s="129" t="str">
        <f t="shared" si="44"/>
        <v>0h0</v>
      </c>
    </row>
    <row r="279" spans="2:20" x14ac:dyDescent="0.3">
      <c r="B279" s="128">
        <f t="shared" si="47"/>
        <v>46469</v>
      </c>
      <c r="C279" s="129" t="str">
        <f t="shared" si="41"/>
        <v>Tuesday</v>
      </c>
      <c r="D279" s="138" t="s">
        <v>84</v>
      </c>
      <c r="E279" s="129"/>
      <c r="F279" s="129"/>
      <c r="G279" s="129">
        <f t="shared" si="48"/>
        <v>0</v>
      </c>
      <c r="H279" s="129" t="str">
        <f t="shared" si="45"/>
        <v>0h0</v>
      </c>
      <c r="I279" s="138" t="s">
        <v>84</v>
      </c>
      <c r="J279" s="129"/>
      <c r="K279" s="129"/>
      <c r="L279" s="129">
        <f t="shared" si="49"/>
        <v>0</v>
      </c>
      <c r="M279" s="129" t="str">
        <f t="shared" si="42"/>
        <v>0h0</v>
      </c>
      <c r="N279" s="138" t="s">
        <v>84</v>
      </c>
      <c r="O279" s="129"/>
      <c r="P279" s="129"/>
      <c r="Q279" s="129">
        <f t="shared" si="50"/>
        <v>0</v>
      </c>
      <c r="R279" s="129" t="str">
        <f t="shared" si="43"/>
        <v>0h0</v>
      </c>
      <c r="S279" s="138">
        <f t="shared" si="46"/>
        <v>0</v>
      </c>
      <c r="T279" s="129" t="str">
        <f t="shared" si="44"/>
        <v>0h0</v>
      </c>
    </row>
    <row r="280" spans="2:20" x14ac:dyDescent="0.3">
      <c r="B280" s="128">
        <f t="shared" si="47"/>
        <v>46470</v>
      </c>
      <c r="C280" s="129" t="str">
        <f t="shared" si="41"/>
        <v>Wednesday</v>
      </c>
      <c r="D280" s="138" t="s">
        <v>84</v>
      </c>
      <c r="E280" s="129"/>
      <c r="F280" s="129"/>
      <c r="G280" s="129">
        <f t="shared" si="48"/>
        <v>0</v>
      </c>
      <c r="H280" s="129" t="str">
        <f t="shared" si="45"/>
        <v>0h0</v>
      </c>
      <c r="I280" s="138" t="s">
        <v>84</v>
      </c>
      <c r="J280" s="129"/>
      <c r="K280" s="129"/>
      <c r="L280" s="129">
        <f t="shared" si="49"/>
        <v>0</v>
      </c>
      <c r="M280" s="129" t="str">
        <f t="shared" si="42"/>
        <v>0h0</v>
      </c>
      <c r="N280" s="138" t="s">
        <v>84</v>
      </c>
      <c r="O280" s="129"/>
      <c r="P280" s="129"/>
      <c r="Q280" s="129">
        <f t="shared" si="50"/>
        <v>0</v>
      </c>
      <c r="R280" s="129" t="str">
        <f t="shared" si="43"/>
        <v>0h0</v>
      </c>
      <c r="S280" s="138">
        <f t="shared" si="46"/>
        <v>0</v>
      </c>
      <c r="T280" s="129" t="str">
        <f t="shared" si="44"/>
        <v>0h0</v>
      </c>
    </row>
    <row r="281" spans="2:20" x14ac:dyDescent="0.3">
      <c r="B281" s="128">
        <f t="shared" si="47"/>
        <v>46471</v>
      </c>
      <c r="C281" s="129" t="str">
        <f t="shared" si="41"/>
        <v>Thursday</v>
      </c>
      <c r="D281" s="138" t="s">
        <v>84</v>
      </c>
      <c r="E281" s="129"/>
      <c r="F281" s="129"/>
      <c r="G281" s="129">
        <f t="shared" si="48"/>
        <v>0</v>
      </c>
      <c r="H281" s="129" t="str">
        <f t="shared" si="45"/>
        <v>0h0</v>
      </c>
      <c r="I281" s="138" t="s">
        <v>84</v>
      </c>
      <c r="J281" s="129"/>
      <c r="K281" s="129"/>
      <c r="L281" s="129">
        <f t="shared" si="49"/>
        <v>0</v>
      </c>
      <c r="M281" s="129" t="str">
        <f t="shared" si="42"/>
        <v>0h0</v>
      </c>
      <c r="N281" s="138" t="s">
        <v>84</v>
      </c>
      <c r="O281" s="129"/>
      <c r="P281" s="129"/>
      <c r="Q281" s="129">
        <f t="shared" si="50"/>
        <v>0</v>
      </c>
      <c r="R281" s="129" t="str">
        <f t="shared" si="43"/>
        <v>0h0</v>
      </c>
      <c r="S281" s="138">
        <f t="shared" si="46"/>
        <v>0</v>
      </c>
      <c r="T281" s="129" t="str">
        <f t="shared" si="44"/>
        <v>0h0</v>
      </c>
    </row>
    <row r="282" spans="2:20" x14ac:dyDescent="0.3">
      <c r="B282" s="128">
        <f t="shared" si="47"/>
        <v>46472</v>
      </c>
      <c r="C282" s="129" t="str">
        <f t="shared" si="41"/>
        <v>Friday</v>
      </c>
      <c r="D282" s="138" t="s">
        <v>84</v>
      </c>
      <c r="E282" s="129"/>
      <c r="F282" s="129"/>
      <c r="G282" s="129">
        <f t="shared" si="48"/>
        <v>0</v>
      </c>
      <c r="H282" s="129" t="str">
        <f t="shared" si="45"/>
        <v>0h0</v>
      </c>
      <c r="I282" s="138" t="s">
        <v>84</v>
      </c>
      <c r="J282" s="129"/>
      <c r="K282" s="129"/>
      <c r="L282" s="129">
        <f t="shared" si="49"/>
        <v>0</v>
      </c>
      <c r="M282" s="129" t="str">
        <f t="shared" si="42"/>
        <v>0h0</v>
      </c>
      <c r="N282" s="138" t="s">
        <v>84</v>
      </c>
      <c r="O282" s="129"/>
      <c r="P282" s="129"/>
      <c r="Q282" s="129">
        <f t="shared" si="50"/>
        <v>0</v>
      </c>
      <c r="R282" s="129" t="str">
        <f t="shared" si="43"/>
        <v>0h0</v>
      </c>
      <c r="S282" s="138">
        <f t="shared" si="46"/>
        <v>0</v>
      </c>
      <c r="T282" s="129" t="str">
        <f t="shared" si="44"/>
        <v>0h0</v>
      </c>
    </row>
    <row r="283" spans="2:20" x14ac:dyDescent="0.3">
      <c r="B283" s="128">
        <f t="shared" si="47"/>
        <v>46473</v>
      </c>
      <c r="C283" s="129" t="str">
        <f t="shared" si="41"/>
        <v>Saturday</v>
      </c>
      <c r="D283" s="138" t="s">
        <v>84</v>
      </c>
      <c r="E283" s="129"/>
      <c r="F283" s="129"/>
      <c r="G283" s="129">
        <f t="shared" si="48"/>
        <v>0</v>
      </c>
      <c r="H283" s="129" t="str">
        <f t="shared" si="45"/>
        <v>0h0</v>
      </c>
      <c r="I283" s="138" t="s">
        <v>84</v>
      </c>
      <c r="J283" s="129"/>
      <c r="K283" s="129"/>
      <c r="L283" s="129">
        <f t="shared" si="49"/>
        <v>0</v>
      </c>
      <c r="M283" s="129" t="str">
        <f t="shared" si="42"/>
        <v>0h0</v>
      </c>
      <c r="N283" s="138" t="s">
        <v>84</v>
      </c>
      <c r="O283" s="129"/>
      <c r="P283" s="129"/>
      <c r="Q283" s="129">
        <f t="shared" si="50"/>
        <v>0</v>
      </c>
      <c r="R283" s="129" t="str">
        <f t="shared" si="43"/>
        <v>0h0</v>
      </c>
      <c r="S283" s="138">
        <f t="shared" si="46"/>
        <v>0</v>
      </c>
      <c r="T283" s="129" t="str">
        <f t="shared" si="44"/>
        <v>0h0</v>
      </c>
    </row>
    <row r="284" spans="2:20" x14ac:dyDescent="0.3">
      <c r="B284" s="128">
        <f t="shared" si="47"/>
        <v>46474</v>
      </c>
      <c r="C284" s="129" t="str">
        <f t="shared" si="41"/>
        <v>Sunday</v>
      </c>
      <c r="D284" s="138" t="s">
        <v>84</v>
      </c>
      <c r="E284" s="129"/>
      <c r="F284" s="129"/>
      <c r="G284" s="129">
        <f t="shared" si="48"/>
        <v>0</v>
      </c>
      <c r="H284" s="129" t="str">
        <f t="shared" si="45"/>
        <v>0h0</v>
      </c>
      <c r="I284" s="138" t="s">
        <v>84</v>
      </c>
      <c r="J284" s="129"/>
      <c r="K284" s="129"/>
      <c r="L284" s="129">
        <f t="shared" si="49"/>
        <v>0</v>
      </c>
      <c r="M284" s="129" t="str">
        <f t="shared" si="42"/>
        <v>0h0</v>
      </c>
      <c r="N284" s="138" t="s">
        <v>84</v>
      </c>
      <c r="O284" s="129"/>
      <c r="P284" s="129"/>
      <c r="Q284" s="129">
        <f t="shared" si="50"/>
        <v>0</v>
      </c>
      <c r="R284" s="129" t="str">
        <f t="shared" si="43"/>
        <v>0h0</v>
      </c>
      <c r="S284" s="138">
        <f t="shared" si="46"/>
        <v>0</v>
      </c>
      <c r="T284" s="129" t="str">
        <f t="shared" si="44"/>
        <v>0h0</v>
      </c>
    </row>
    <row r="285" spans="2:20" x14ac:dyDescent="0.3">
      <c r="B285" s="128">
        <f t="shared" si="47"/>
        <v>46475</v>
      </c>
      <c r="C285" s="129" t="str">
        <f t="shared" si="41"/>
        <v>Monday</v>
      </c>
      <c r="D285" s="138" t="s">
        <v>84</v>
      </c>
      <c r="E285" s="129"/>
      <c r="F285" s="129"/>
      <c r="G285" s="129">
        <f t="shared" si="48"/>
        <v>0</v>
      </c>
      <c r="H285" s="129" t="str">
        <f t="shared" si="45"/>
        <v>0h0</v>
      </c>
      <c r="I285" s="138" t="s">
        <v>84</v>
      </c>
      <c r="J285" s="129"/>
      <c r="K285" s="129"/>
      <c r="L285" s="129">
        <f t="shared" si="49"/>
        <v>0</v>
      </c>
      <c r="M285" s="129" t="str">
        <f t="shared" si="42"/>
        <v>0h0</v>
      </c>
      <c r="N285" s="138" t="s">
        <v>84</v>
      </c>
      <c r="O285" s="129"/>
      <c r="P285" s="129"/>
      <c r="Q285" s="129">
        <f t="shared" si="50"/>
        <v>0</v>
      </c>
      <c r="R285" s="129" t="str">
        <f t="shared" si="43"/>
        <v>0h0</v>
      </c>
      <c r="S285" s="138">
        <f t="shared" si="46"/>
        <v>0</v>
      </c>
      <c r="T285" s="129" t="str">
        <f t="shared" si="44"/>
        <v>0h0</v>
      </c>
    </row>
    <row r="286" spans="2:20" x14ac:dyDescent="0.3">
      <c r="B286" s="128">
        <f t="shared" si="47"/>
        <v>46476</v>
      </c>
      <c r="C286" s="129" t="str">
        <f t="shared" si="41"/>
        <v>Tuesday</v>
      </c>
      <c r="D286" s="138" t="s">
        <v>84</v>
      </c>
      <c r="E286" s="129"/>
      <c r="F286" s="129"/>
      <c r="G286" s="129">
        <f t="shared" si="48"/>
        <v>0</v>
      </c>
      <c r="H286" s="129" t="str">
        <f t="shared" si="45"/>
        <v>0h0</v>
      </c>
      <c r="I286" s="138" t="s">
        <v>84</v>
      </c>
      <c r="J286" s="129"/>
      <c r="K286" s="129"/>
      <c r="L286" s="129">
        <f t="shared" si="49"/>
        <v>0</v>
      </c>
      <c r="M286" s="129" t="str">
        <f t="shared" si="42"/>
        <v>0h0</v>
      </c>
      <c r="N286" s="138" t="s">
        <v>84</v>
      </c>
      <c r="O286" s="129"/>
      <c r="P286" s="129"/>
      <c r="Q286" s="129">
        <f t="shared" si="50"/>
        <v>0</v>
      </c>
      <c r="R286" s="129" t="str">
        <f t="shared" si="43"/>
        <v>0h0</v>
      </c>
      <c r="S286" s="138">
        <f t="shared" si="46"/>
        <v>0</v>
      </c>
      <c r="T286" s="129" t="str">
        <f t="shared" si="44"/>
        <v>0h0</v>
      </c>
    </row>
    <row r="287" spans="2:20" x14ac:dyDescent="0.3">
      <c r="B287" s="128">
        <f t="shared" si="47"/>
        <v>46477</v>
      </c>
      <c r="C287" s="129" t="str">
        <f t="shared" si="41"/>
        <v>Wednesday</v>
      </c>
      <c r="D287" s="138" t="s">
        <v>84</v>
      </c>
      <c r="E287" s="129"/>
      <c r="F287" s="129"/>
      <c r="G287" s="129">
        <f t="shared" si="48"/>
        <v>0</v>
      </c>
      <c r="H287" s="129" t="str">
        <f t="shared" si="45"/>
        <v>0h0</v>
      </c>
      <c r="I287" s="138" t="s">
        <v>84</v>
      </c>
      <c r="J287" s="129"/>
      <c r="K287" s="129"/>
      <c r="L287" s="129">
        <f t="shared" si="49"/>
        <v>0</v>
      </c>
      <c r="M287" s="129" t="str">
        <f t="shared" si="42"/>
        <v>0h0</v>
      </c>
      <c r="N287" s="138" t="s">
        <v>84</v>
      </c>
      <c r="O287" s="129"/>
      <c r="P287" s="129"/>
      <c r="Q287" s="129">
        <f t="shared" si="50"/>
        <v>0</v>
      </c>
      <c r="R287" s="129" t="str">
        <f t="shared" si="43"/>
        <v>0h0</v>
      </c>
      <c r="S287" s="138">
        <f t="shared" si="46"/>
        <v>0</v>
      </c>
      <c r="T287" s="129" t="str">
        <f t="shared" si="44"/>
        <v>0h0</v>
      </c>
    </row>
    <row r="288" spans="2:20" x14ac:dyDescent="0.3">
      <c r="B288" s="128">
        <f t="shared" si="47"/>
        <v>46478</v>
      </c>
      <c r="C288" s="129" t="str">
        <f t="shared" si="41"/>
        <v>Thursday</v>
      </c>
      <c r="D288" s="138" t="s">
        <v>84</v>
      </c>
      <c r="E288" s="129"/>
      <c r="F288" s="129"/>
      <c r="G288" s="129">
        <f t="shared" si="48"/>
        <v>0</v>
      </c>
      <c r="H288" s="129" t="str">
        <f t="shared" si="45"/>
        <v>0h0</v>
      </c>
      <c r="I288" s="138" t="s">
        <v>84</v>
      </c>
      <c r="J288" s="129"/>
      <c r="K288" s="129"/>
      <c r="L288" s="129">
        <f t="shared" si="49"/>
        <v>0</v>
      </c>
      <c r="M288" s="129" t="str">
        <f t="shared" si="42"/>
        <v>0h0</v>
      </c>
      <c r="N288" s="138" t="s">
        <v>84</v>
      </c>
      <c r="O288" s="129"/>
      <c r="P288" s="129"/>
      <c r="Q288" s="129">
        <f t="shared" si="50"/>
        <v>0</v>
      </c>
      <c r="R288" s="129" t="str">
        <f t="shared" si="43"/>
        <v>0h0</v>
      </c>
      <c r="S288" s="138">
        <f t="shared" si="46"/>
        <v>0</v>
      </c>
      <c r="T288" s="129" t="str">
        <f t="shared" si="44"/>
        <v>0h0</v>
      </c>
    </row>
    <row r="289" spans="2:20" x14ac:dyDescent="0.3">
      <c r="B289" s="128">
        <f t="shared" si="47"/>
        <v>46479</v>
      </c>
      <c r="C289" s="129" t="str">
        <f t="shared" si="41"/>
        <v>Friday</v>
      </c>
      <c r="D289" s="138" t="s">
        <v>84</v>
      </c>
      <c r="E289" s="129"/>
      <c r="F289" s="129"/>
      <c r="G289" s="129">
        <f t="shared" si="48"/>
        <v>0</v>
      </c>
      <c r="H289" s="129" t="str">
        <f t="shared" si="45"/>
        <v>0h0</v>
      </c>
      <c r="I289" s="138" t="s">
        <v>84</v>
      </c>
      <c r="J289" s="129"/>
      <c r="K289" s="129"/>
      <c r="L289" s="129">
        <f t="shared" si="49"/>
        <v>0</v>
      </c>
      <c r="M289" s="129" t="str">
        <f t="shared" si="42"/>
        <v>0h0</v>
      </c>
      <c r="N289" s="138" t="s">
        <v>84</v>
      </c>
      <c r="O289" s="129"/>
      <c r="P289" s="129"/>
      <c r="Q289" s="129">
        <f t="shared" si="50"/>
        <v>0</v>
      </c>
      <c r="R289" s="129" t="str">
        <f t="shared" si="43"/>
        <v>0h0</v>
      </c>
      <c r="S289" s="138">
        <f t="shared" si="46"/>
        <v>0</v>
      </c>
      <c r="T289" s="129" t="str">
        <f t="shared" si="44"/>
        <v>0h0</v>
      </c>
    </row>
    <row r="290" spans="2:20" x14ac:dyDescent="0.3">
      <c r="B290" s="128">
        <f t="shared" si="47"/>
        <v>46480</v>
      </c>
      <c r="C290" s="129" t="str">
        <f t="shared" si="41"/>
        <v>Saturday</v>
      </c>
      <c r="D290" s="138" t="s">
        <v>84</v>
      </c>
      <c r="E290" s="129"/>
      <c r="F290" s="129"/>
      <c r="G290" s="129">
        <f t="shared" si="48"/>
        <v>0</v>
      </c>
      <c r="H290" s="129" t="str">
        <f t="shared" si="45"/>
        <v>0h0</v>
      </c>
      <c r="I290" s="138" t="s">
        <v>84</v>
      </c>
      <c r="J290" s="129"/>
      <c r="K290" s="129"/>
      <c r="L290" s="129">
        <f t="shared" si="49"/>
        <v>0</v>
      </c>
      <c r="M290" s="129" t="str">
        <f t="shared" si="42"/>
        <v>0h0</v>
      </c>
      <c r="N290" s="138" t="s">
        <v>84</v>
      </c>
      <c r="O290" s="129"/>
      <c r="P290" s="129"/>
      <c r="Q290" s="129">
        <f t="shared" si="50"/>
        <v>0</v>
      </c>
      <c r="R290" s="129" t="str">
        <f t="shared" si="43"/>
        <v>0h0</v>
      </c>
      <c r="S290" s="138">
        <f t="shared" si="46"/>
        <v>0</v>
      </c>
      <c r="T290" s="129" t="str">
        <f t="shared" si="44"/>
        <v>0h0</v>
      </c>
    </row>
    <row r="291" spans="2:20" x14ac:dyDescent="0.3">
      <c r="B291" s="128">
        <f t="shared" si="47"/>
        <v>46481</v>
      </c>
      <c r="C291" s="129" t="str">
        <f t="shared" si="41"/>
        <v>Sunday</v>
      </c>
      <c r="D291" s="138" t="s">
        <v>84</v>
      </c>
      <c r="E291" s="129"/>
      <c r="F291" s="129"/>
      <c r="G291" s="129">
        <f t="shared" si="48"/>
        <v>0</v>
      </c>
      <c r="H291" s="129" t="str">
        <f t="shared" si="45"/>
        <v>0h0</v>
      </c>
      <c r="I291" s="138" t="s">
        <v>84</v>
      </c>
      <c r="J291" s="129"/>
      <c r="K291" s="129"/>
      <c r="L291" s="129">
        <f t="shared" si="49"/>
        <v>0</v>
      </c>
      <c r="M291" s="129" t="str">
        <f t="shared" si="42"/>
        <v>0h0</v>
      </c>
      <c r="N291" s="138" t="s">
        <v>84</v>
      </c>
      <c r="O291" s="129"/>
      <c r="P291" s="129"/>
      <c r="Q291" s="129">
        <f t="shared" si="50"/>
        <v>0</v>
      </c>
      <c r="R291" s="129" t="str">
        <f t="shared" si="43"/>
        <v>0h0</v>
      </c>
      <c r="S291" s="138">
        <f t="shared" si="46"/>
        <v>0</v>
      </c>
      <c r="T291" s="129" t="str">
        <f t="shared" si="44"/>
        <v>0h0</v>
      </c>
    </row>
    <row r="292" spans="2:20" x14ac:dyDescent="0.3">
      <c r="B292" s="128">
        <f t="shared" si="47"/>
        <v>46482</v>
      </c>
      <c r="C292" s="129" t="str">
        <f t="shared" si="41"/>
        <v>Monday</v>
      </c>
      <c r="D292" s="138" t="s">
        <v>84</v>
      </c>
      <c r="E292" s="129"/>
      <c r="F292" s="129"/>
      <c r="G292" s="129">
        <f t="shared" si="48"/>
        <v>0</v>
      </c>
      <c r="H292" s="129" t="str">
        <f t="shared" si="45"/>
        <v>0h0</v>
      </c>
      <c r="I292" s="138" t="s">
        <v>84</v>
      </c>
      <c r="J292" s="129"/>
      <c r="K292" s="129"/>
      <c r="L292" s="129">
        <f t="shared" si="49"/>
        <v>0</v>
      </c>
      <c r="M292" s="129" t="str">
        <f t="shared" si="42"/>
        <v>0h0</v>
      </c>
      <c r="N292" s="138" t="s">
        <v>84</v>
      </c>
      <c r="O292" s="129"/>
      <c r="P292" s="129"/>
      <c r="Q292" s="129">
        <f t="shared" si="50"/>
        <v>0</v>
      </c>
      <c r="R292" s="129" t="str">
        <f t="shared" si="43"/>
        <v>0h0</v>
      </c>
      <c r="S292" s="138">
        <f t="shared" si="46"/>
        <v>0</v>
      </c>
      <c r="T292" s="129" t="str">
        <f t="shared" si="44"/>
        <v>0h0</v>
      </c>
    </row>
    <row r="293" spans="2:20" x14ac:dyDescent="0.3">
      <c r="B293" s="128">
        <f t="shared" si="47"/>
        <v>46483</v>
      </c>
      <c r="C293" s="129" t="str">
        <f t="shared" si="41"/>
        <v>Tuesday</v>
      </c>
      <c r="D293" s="138" t="s">
        <v>84</v>
      </c>
      <c r="E293" s="129"/>
      <c r="F293" s="129"/>
      <c r="G293" s="129">
        <f t="shared" si="48"/>
        <v>0</v>
      </c>
      <c r="H293" s="129" t="str">
        <f t="shared" si="45"/>
        <v>0h0</v>
      </c>
      <c r="I293" s="138" t="s">
        <v>84</v>
      </c>
      <c r="J293" s="129"/>
      <c r="K293" s="129"/>
      <c r="L293" s="129">
        <f t="shared" si="49"/>
        <v>0</v>
      </c>
      <c r="M293" s="129" t="str">
        <f t="shared" si="42"/>
        <v>0h0</v>
      </c>
      <c r="N293" s="138" t="s">
        <v>84</v>
      </c>
      <c r="O293" s="129"/>
      <c r="P293" s="129"/>
      <c r="Q293" s="129">
        <f t="shared" si="50"/>
        <v>0</v>
      </c>
      <c r="R293" s="129" t="str">
        <f t="shared" si="43"/>
        <v>0h0</v>
      </c>
      <c r="S293" s="138">
        <f t="shared" si="46"/>
        <v>0</v>
      </c>
      <c r="T293" s="129" t="str">
        <f t="shared" si="44"/>
        <v>0h0</v>
      </c>
    </row>
    <row r="294" spans="2:20" x14ac:dyDescent="0.3">
      <c r="B294" s="128">
        <f t="shared" si="47"/>
        <v>46484</v>
      </c>
      <c r="C294" s="129" t="str">
        <f t="shared" si="41"/>
        <v>Wednesday</v>
      </c>
      <c r="D294" s="138" t="s">
        <v>84</v>
      </c>
      <c r="E294" s="129"/>
      <c r="F294" s="129"/>
      <c r="G294" s="129">
        <f t="shared" si="48"/>
        <v>0</v>
      </c>
      <c r="H294" s="129" t="str">
        <f t="shared" si="45"/>
        <v>0h0</v>
      </c>
      <c r="I294" s="138" t="s">
        <v>84</v>
      </c>
      <c r="J294" s="129"/>
      <c r="K294" s="129"/>
      <c r="L294" s="129">
        <f t="shared" si="49"/>
        <v>0</v>
      </c>
      <c r="M294" s="129" t="str">
        <f t="shared" si="42"/>
        <v>0h0</v>
      </c>
      <c r="N294" s="138" t="s">
        <v>84</v>
      </c>
      <c r="O294" s="129"/>
      <c r="P294" s="129"/>
      <c r="Q294" s="129">
        <f t="shared" si="50"/>
        <v>0</v>
      </c>
      <c r="R294" s="129" t="str">
        <f t="shared" si="43"/>
        <v>0h0</v>
      </c>
      <c r="S294" s="138">
        <f t="shared" si="46"/>
        <v>0</v>
      </c>
      <c r="T294" s="129" t="str">
        <f t="shared" si="44"/>
        <v>0h0</v>
      </c>
    </row>
    <row r="295" spans="2:20" x14ac:dyDescent="0.3">
      <c r="B295" s="128">
        <f t="shared" si="47"/>
        <v>46485</v>
      </c>
      <c r="C295" s="129" t="str">
        <f t="shared" si="41"/>
        <v>Thursday</v>
      </c>
      <c r="D295" s="138" t="s">
        <v>84</v>
      </c>
      <c r="E295" s="129"/>
      <c r="F295" s="129"/>
      <c r="G295" s="129">
        <f t="shared" si="48"/>
        <v>0</v>
      </c>
      <c r="H295" s="129" t="str">
        <f t="shared" si="45"/>
        <v>0h0</v>
      </c>
      <c r="I295" s="138" t="s">
        <v>84</v>
      </c>
      <c r="J295" s="129"/>
      <c r="K295" s="129"/>
      <c r="L295" s="129">
        <f t="shared" si="49"/>
        <v>0</v>
      </c>
      <c r="M295" s="129" t="str">
        <f t="shared" si="42"/>
        <v>0h0</v>
      </c>
      <c r="N295" s="138" t="s">
        <v>84</v>
      </c>
      <c r="O295" s="129"/>
      <c r="P295" s="129"/>
      <c r="Q295" s="129">
        <f t="shared" si="50"/>
        <v>0</v>
      </c>
      <c r="R295" s="129" t="str">
        <f t="shared" si="43"/>
        <v>0h0</v>
      </c>
      <c r="S295" s="138">
        <f t="shared" si="46"/>
        <v>0</v>
      </c>
      <c r="T295" s="129" t="str">
        <f t="shared" si="44"/>
        <v>0h0</v>
      </c>
    </row>
    <row r="296" spans="2:20" x14ac:dyDescent="0.3">
      <c r="B296" s="128">
        <f t="shared" si="47"/>
        <v>46486</v>
      </c>
      <c r="C296" s="129" t="str">
        <f t="shared" si="41"/>
        <v>Friday</v>
      </c>
      <c r="D296" s="138" t="s">
        <v>84</v>
      </c>
      <c r="E296" s="129"/>
      <c r="F296" s="129"/>
      <c r="G296" s="129">
        <f t="shared" si="48"/>
        <v>0</v>
      </c>
      <c r="H296" s="129" t="str">
        <f t="shared" si="45"/>
        <v>0h0</v>
      </c>
      <c r="I296" s="138" t="s">
        <v>84</v>
      </c>
      <c r="J296" s="129"/>
      <c r="K296" s="129"/>
      <c r="L296" s="129">
        <f t="shared" si="49"/>
        <v>0</v>
      </c>
      <c r="M296" s="129" t="str">
        <f t="shared" si="42"/>
        <v>0h0</v>
      </c>
      <c r="N296" s="138" t="s">
        <v>84</v>
      </c>
      <c r="O296" s="129"/>
      <c r="P296" s="129"/>
      <c r="Q296" s="129">
        <f t="shared" si="50"/>
        <v>0</v>
      </c>
      <c r="R296" s="129" t="str">
        <f t="shared" si="43"/>
        <v>0h0</v>
      </c>
      <c r="S296" s="138">
        <f t="shared" si="46"/>
        <v>0</v>
      </c>
      <c r="T296" s="129" t="str">
        <f t="shared" si="44"/>
        <v>0h0</v>
      </c>
    </row>
    <row r="297" spans="2:20" x14ac:dyDescent="0.3">
      <c r="B297" s="128">
        <f t="shared" si="47"/>
        <v>46487</v>
      </c>
      <c r="C297" s="129" t="str">
        <f t="shared" si="41"/>
        <v>Saturday</v>
      </c>
      <c r="D297" s="138" t="s">
        <v>84</v>
      </c>
      <c r="E297" s="129"/>
      <c r="F297" s="129"/>
      <c r="G297" s="129">
        <f t="shared" si="48"/>
        <v>0</v>
      </c>
      <c r="H297" s="129" t="str">
        <f t="shared" si="45"/>
        <v>0h0</v>
      </c>
      <c r="I297" s="138" t="s">
        <v>84</v>
      </c>
      <c r="J297" s="129"/>
      <c r="K297" s="129"/>
      <c r="L297" s="129">
        <f t="shared" si="49"/>
        <v>0</v>
      </c>
      <c r="M297" s="129" t="str">
        <f t="shared" si="42"/>
        <v>0h0</v>
      </c>
      <c r="N297" s="138" t="s">
        <v>84</v>
      </c>
      <c r="O297" s="129"/>
      <c r="P297" s="129"/>
      <c r="Q297" s="129">
        <f t="shared" si="50"/>
        <v>0</v>
      </c>
      <c r="R297" s="129" t="str">
        <f t="shared" si="43"/>
        <v>0h0</v>
      </c>
      <c r="S297" s="138">
        <f t="shared" si="46"/>
        <v>0</v>
      </c>
      <c r="T297" s="129" t="str">
        <f t="shared" si="44"/>
        <v>0h0</v>
      </c>
    </row>
    <row r="298" spans="2:20" x14ac:dyDescent="0.3">
      <c r="B298" s="128">
        <f t="shared" si="47"/>
        <v>46488</v>
      </c>
      <c r="C298" s="129" t="str">
        <f t="shared" si="41"/>
        <v>Sunday</v>
      </c>
      <c r="D298" s="138" t="s">
        <v>84</v>
      </c>
      <c r="E298" s="129"/>
      <c r="F298" s="129"/>
      <c r="G298" s="129">
        <f t="shared" si="48"/>
        <v>0</v>
      </c>
      <c r="H298" s="129" t="str">
        <f t="shared" si="45"/>
        <v>0h0</v>
      </c>
      <c r="I298" s="138" t="s">
        <v>84</v>
      </c>
      <c r="J298" s="129"/>
      <c r="K298" s="129"/>
      <c r="L298" s="129">
        <f t="shared" si="49"/>
        <v>0</v>
      </c>
      <c r="M298" s="129" t="str">
        <f t="shared" si="42"/>
        <v>0h0</v>
      </c>
      <c r="N298" s="138" t="s">
        <v>84</v>
      </c>
      <c r="O298" s="129"/>
      <c r="P298" s="129"/>
      <c r="Q298" s="129">
        <f t="shared" si="50"/>
        <v>0</v>
      </c>
      <c r="R298" s="129" t="str">
        <f t="shared" si="43"/>
        <v>0h0</v>
      </c>
      <c r="S298" s="138">
        <f t="shared" si="46"/>
        <v>0</v>
      </c>
      <c r="T298" s="129" t="str">
        <f t="shared" si="44"/>
        <v>0h0</v>
      </c>
    </row>
    <row r="299" spans="2:20" x14ac:dyDescent="0.3">
      <c r="B299" s="128">
        <f t="shared" si="47"/>
        <v>46489</v>
      </c>
      <c r="C299" s="129" t="str">
        <f t="shared" si="41"/>
        <v>Monday</v>
      </c>
      <c r="D299" s="138" t="s">
        <v>84</v>
      </c>
      <c r="E299" s="129"/>
      <c r="F299" s="129"/>
      <c r="G299" s="129">
        <f t="shared" si="48"/>
        <v>0</v>
      </c>
      <c r="H299" s="129" t="str">
        <f t="shared" si="45"/>
        <v>0h0</v>
      </c>
      <c r="I299" s="138" t="s">
        <v>84</v>
      </c>
      <c r="J299" s="129"/>
      <c r="K299" s="129"/>
      <c r="L299" s="129">
        <f t="shared" si="49"/>
        <v>0</v>
      </c>
      <c r="M299" s="129" t="str">
        <f t="shared" si="42"/>
        <v>0h0</v>
      </c>
      <c r="N299" s="138" t="s">
        <v>84</v>
      </c>
      <c r="O299" s="129"/>
      <c r="P299" s="129"/>
      <c r="Q299" s="129">
        <f t="shared" si="50"/>
        <v>0</v>
      </c>
      <c r="R299" s="129" t="str">
        <f t="shared" si="43"/>
        <v>0h0</v>
      </c>
      <c r="S299" s="138">
        <f t="shared" si="46"/>
        <v>0</v>
      </c>
      <c r="T299" s="129" t="str">
        <f t="shared" si="44"/>
        <v>0h0</v>
      </c>
    </row>
    <row r="300" spans="2:20" x14ac:dyDescent="0.3">
      <c r="B300" s="128">
        <f t="shared" si="47"/>
        <v>46490</v>
      </c>
      <c r="C300" s="129" t="str">
        <f t="shared" si="41"/>
        <v>Tuesday</v>
      </c>
      <c r="D300" s="138" t="s">
        <v>84</v>
      </c>
      <c r="E300" s="129"/>
      <c r="F300" s="129"/>
      <c r="G300" s="129">
        <f t="shared" si="48"/>
        <v>0</v>
      </c>
      <c r="H300" s="129" t="str">
        <f t="shared" si="45"/>
        <v>0h0</v>
      </c>
      <c r="I300" s="138" t="s">
        <v>84</v>
      </c>
      <c r="J300" s="129"/>
      <c r="K300" s="129"/>
      <c r="L300" s="129">
        <f t="shared" si="49"/>
        <v>0</v>
      </c>
      <c r="M300" s="129" t="str">
        <f t="shared" si="42"/>
        <v>0h0</v>
      </c>
      <c r="N300" s="138" t="s">
        <v>84</v>
      </c>
      <c r="O300" s="129"/>
      <c r="P300" s="129"/>
      <c r="Q300" s="129">
        <f t="shared" si="50"/>
        <v>0</v>
      </c>
      <c r="R300" s="129" t="str">
        <f t="shared" si="43"/>
        <v>0h0</v>
      </c>
      <c r="S300" s="138">
        <f t="shared" si="46"/>
        <v>0</v>
      </c>
      <c r="T300" s="129" t="str">
        <f t="shared" si="44"/>
        <v>0h0</v>
      </c>
    </row>
    <row r="301" spans="2:20" x14ac:dyDescent="0.3">
      <c r="B301" s="128">
        <f t="shared" si="47"/>
        <v>46491</v>
      </c>
      <c r="C301" s="129" t="str">
        <f t="shared" si="41"/>
        <v>Wednesday</v>
      </c>
      <c r="D301" s="138" t="s">
        <v>84</v>
      </c>
      <c r="E301" s="129"/>
      <c r="F301" s="129"/>
      <c r="G301" s="129">
        <f t="shared" si="48"/>
        <v>0</v>
      </c>
      <c r="H301" s="129" t="str">
        <f t="shared" si="45"/>
        <v>0h0</v>
      </c>
      <c r="I301" s="138" t="s">
        <v>84</v>
      </c>
      <c r="J301" s="129"/>
      <c r="K301" s="129"/>
      <c r="L301" s="129">
        <f t="shared" si="49"/>
        <v>0</v>
      </c>
      <c r="M301" s="129" t="str">
        <f t="shared" si="42"/>
        <v>0h0</v>
      </c>
      <c r="N301" s="138" t="s">
        <v>84</v>
      </c>
      <c r="O301" s="129"/>
      <c r="P301" s="129"/>
      <c r="Q301" s="129">
        <f t="shared" si="50"/>
        <v>0</v>
      </c>
      <c r="R301" s="129" t="str">
        <f t="shared" si="43"/>
        <v>0h0</v>
      </c>
      <c r="S301" s="138">
        <f t="shared" si="46"/>
        <v>0</v>
      </c>
      <c r="T301" s="129" t="str">
        <f t="shared" si="44"/>
        <v>0h0</v>
      </c>
    </row>
    <row r="302" spans="2:20" x14ac:dyDescent="0.3">
      <c r="B302" s="128">
        <f t="shared" si="47"/>
        <v>46492</v>
      </c>
      <c r="C302" s="129" t="str">
        <f t="shared" si="41"/>
        <v>Thursday</v>
      </c>
      <c r="D302" s="138" t="s">
        <v>84</v>
      </c>
      <c r="E302" s="129"/>
      <c r="F302" s="129"/>
      <c r="G302" s="129">
        <f t="shared" si="48"/>
        <v>0</v>
      </c>
      <c r="H302" s="129" t="str">
        <f t="shared" si="45"/>
        <v>0h0</v>
      </c>
      <c r="I302" s="138" t="s">
        <v>84</v>
      </c>
      <c r="J302" s="129"/>
      <c r="K302" s="129"/>
      <c r="L302" s="129">
        <f t="shared" si="49"/>
        <v>0</v>
      </c>
      <c r="M302" s="129" t="str">
        <f t="shared" si="42"/>
        <v>0h0</v>
      </c>
      <c r="N302" s="138" t="s">
        <v>84</v>
      </c>
      <c r="O302" s="129"/>
      <c r="P302" s="129"/>
      <c r="Q302" s="129">
        <f t="shared" si="50"/>
        <v>0</v>
      </c>
      <c r="R302" s="129" t="str">
        <f t="shared" si="43"/>
        <v>0h0</v>
      </c>
      <c r="S302" s="138">
        <f t="shared" si="46"/>
        <v>0</v>
      </c>
      <c r="T302" s="129" t="str">
        <f t="shared" si="44"/>
        <v>0h0</v>
      </c>
    </row>
    <row r="303" spans="2:20" x14ac:dyDescent="0.3">
      <c r="B303" s="128">
        <f t="shared" si="47"/>
        <v>46493</v>
      </c>
      <c r="C303" s="129" t="str">
        <f t="shared" si="41"/>
        <v>Friday</v>
      </c>
      <c r="D303" s="138" t="s">
        <v>84</v>
      </c>
      <c r="E303" s="129"/>
      <c r="F303" s="129"/>
      <c r="G303" s="129">
        <f t="shared" si="48"/>
        <v>0</v>
      </c>
      <c r="H303" s="129" t="str">
        <f t="shared" si="45"/>
        <v>0h0</v>
      </c>
      <c r="I303" s="138" t="s">
        <v>84</v>
      </c>
      <c r="J303" s="129"/>
      <c r="K303" s="129"/>
      <c r="L303" s="129">
        <f t="shared" si="49"/>
        <v>0</v>
      </c>
      <c r="M303" s="129" t="str">
        <f t="shared" si="42"/>
        <v>0h0</v>
      </c>
      <c r="N303" s="138" t="s">
        <v>84</v>
      </c>
      <c r="O303" s="129"/>
      <c r="P303" s="129"/>
      <c r="Q303" s="129">
        <f t="shared" si="50"/>
        <v>0</v>
      </c>
      <c r="R303" s="129" t="str">
        <f t="shared" si="43"/>
        <v>0h0</v>
      </c>
      <c r="S303" s="138">
        <f t="shared" si="46"/>
        <v>0</v>
      </c>
      <c r="T303" s="129" t="str">
        <f t="shared" si="44"/>
        <v>0h0</v>
      </c>
    </row>
    <row r="304" spans="2:20" x14ac:dyDescent="0.3">
      <c r="B304" s="128">
        <f t="shared" si="47"/>
        <v>46494</v>
      </c>
      <c r="C304" s="129" t="str">
        <f t="shared" si="41"/>
        <v>Saturday</v>
      </c>
      <c r="D304" s="138" t="s">
        <v>84</v>
      </c>
      <c r="E304" s="129"/>
      <c r="F304" s="129"/>
      <c r="G304" s="129">
        <f t="shared" si="48"/>
        <v>0</v>
      </c>
      <c r="H304" s="129" t="str">
        <f t="shared" si="45"/>
        <v>0h0</v>
      </c>
      <c r="I304" s="138" t="s">
        <v>84</v>
      </c>
      <c r="J304" s="129"/>
      <c r="K304" s="129"/>
      <c r="L304" s="129">
        <f t="shared" si="49"/>
        <v>0</v>
      </c>
      <c r="M304" s="129" t="str">
        <f t="shared" si="42"/>
        <v>0h0</v>
      </c>
      <c r="N304" s="138" t="s">
        <v>84</v>
      </c>
      <c r="O304" s="129"/>
      <c r="P304" s="129"/>
      <c r="Q304" s="129">
        <f t="shared" si="50"/>
        <v>0</v>
      </c>
      <c r="R304" s="129" t="str">
        <f t="shared" si="43"/>
        <v>0h0</v>
      </c>
      <c r="S304" s="138">
        <f t="shared" si="46"/>
        <v>0</v>
      </c>
      <c r="T304" s="129" t="str">
        <f t="shared" si="44"/>
        <v>0h0</v>
      </c>
    </row>
    <row r="305" spans="2:20" x14ac:dyDescent="0.3">
      <c r="B305" s="128">
        <f t="shared" si="47"/>
        <v>46495</v>
      </c>
      <c r="C305" s="129" t="str">
        <f t="shared" si="41"/>
        <v>Sunday</v>
      </c>
      <c r="D305" s="138" t="s">
        <v>84</v>
      </c>
      <c r="E305" s="129"/>
      <c r="F305" s="129"/>
      <c r="G305" s="129">
        <f t="shared" si="48"/>
        <v>0</v>
      </c>
      <c r="H305" s="129" t="str">
        <f t="shared" si="45"/>
        <v>0h0</v>
      </c>
      <c r="I305" s="138" t="s">
        <v>84</v>
      </c>
      <c r="J305" s="129"/>
      <c r="K305" s="129"/>
      <c r="L305" s="129">
        <f t="shared" si="49"/>
        <v>0</v>
      </c>
      <c r="M305" s="129" t="str">
        <f t="shared" si="42"/>
        <v>0h0</v>
      </c>
      <c r="N305" s="138" t="s">
        <v>84</v>
      </c>
      <c r="O305" s="129"/>
      <c r="P305" s="129"/>
      <c r="Q305" s="129">
        <f t="shared" si="50"/>
        <v>0</v>
      </c>
      <c r="R305" s="129" t="str">
        <f t="shared" si="43"/>
        <v>0h0</v>
      </c>
      <c r="S305" s="138">
        <f t="shared" si="46"/>
        <v>0</v>
      </c>
      <c r="T305" s="129" t="str">
        <f t="shared" si="44"/>
        <v>0h0</v>
      </c>
    </row>
    <row r="306" spans="2:20" x14ac:dyDescent="0.3">
      <c r="B306" s="128">
        <f t="shared" si="47"/>
        <v>46496</v>
      </c>
      <c r="C306" s="129" t="str">
        <f t="shared" si="41"/>
        <v>Monday</v>
      </c>
      <c r="D306" s="138" t="s">
        <v>84</v>
      </c>
      <c r="E306" s="129"/>
      <c r="F306" s="129"/>
      <c r="G306" s="129">
        <f t="shared" si="48"/>
        <v>0</v>
      </c>
      <c r="H306" s="129" t="str">
        <f t="shared" si="45"/>
        <v>0h0</v>
      </c>
      <c r="I306" s="138" t="s">
        <v>84</v>
      </c>
      <c r="J306" s="129"/>
      <c r="K306" s="129"/>
      <c r="L306" s="129">
        <f t="shared" si="49"/>
        <v>0</v>
      </c>
      <c r="M306" s="129" t="str">
        <f t="shared" si="42"/>
        <v>0h0</v>
      </c>
      <c r="N306" s="138" t="s">
        <v>84</v>
      </c>
      <c r="O306" s="129"/>
      <c r="P306" s="129"/>
      <c r="Q306" s="129">
        <f t="shared" si="50"/>
        <v>0</v>
      </c>
      <c r="R306" s="129" t="str">
        <f t="shared" si="43"/>
        <v>0h0</v>
      </c>
      <c r="S306" s="138">
        <f t="shared" si="46"/>
        <v>0</v>
      </c>
      <c r="T306" s="129" t="str">
        <f t="shared" si="44"/>
        <v>0h0</v>
      </c>
    </row>
    <row r="307" spans="2:20" x14ac:dyDescent="0.3">
      <c r="B307" s="128">
        <f t="shared" si="47"/>
        <v>46497</v>
      </c>
      <c r="C307" s="129" t="str">
        <f t="shared" si="41"/>
        <v>Tuesday</v>
      </c>
      <c r="D307" s="138" t="s">
        <v>84</v>
      </c>
      <c r="E307" s="129"/>
      <c r="F307" s="129"/>
      <c r="G307" s="129">
        <f t="shared" si="48"/>
        <v>0</v>
      </c>
      <c r="H307" s="129" t="str">
        <f t="shared" si="45"/>
        <v>0h0</v>
      </c>
      <c r="I307" s="138" t="s">
        <v>84</v>
      </c>
      <c r="J307" s="129"/>
      <c r="K307" s="129"/>
      <c r="L307" s="129">
        <f t="shared" si="49"/>
        <v>0</v>
      </c>
      <c r="M307" s="129" t="str">
        <f t="shared" si="42"/>
        <v>0h0</v>
      </c>
      <c r="N307" s="138" t="s">
        <v>84</v>
      </c>
      <c r="O307" s="129"/>
      <c r="P307" s="129"/>
      <c r="Q307" s="129">
        <f t="shared" si="50"/>
        <v>0</v>
      </c>
      <c r="R307" s="129" t="str">
        <f t="shared" si="43"/>
        <v>0h0</v>
      </c>
      <c r="S307" s="138">
        <f t="shared" si="46"/>
        <v>0</v>
      </c>
      <c r="T307" s="129" t="str">
        <f t="shared" si="44"/>
        <v>0h0</v>
      </c>
    </row>
    <row r="308" spans="2:20" x14ac:dyDescent="0.3">
      <c r="B308" s="128">
        <f t="shared" si="47"/>
        <v>46498</v>
      </c>
      <c r="C308" s="129" t="str">
        <f t="shared" si="41"/>
        <v>Wednesday</v>
      </c>
      <c r="D308" s="138" t="s">
        <v>84</v>
      </c>
      <c r="E308" s="129"/>
      <c r="F308" s="129"/>
      <c r="G308" s="129">
        <f t="shared" si="48"/>
        <v>0</v>
      </c>
      <c r="H308" s="129" t="str">
        <f t="shared" si="45"/>
        <v>0h0</v>
      </c>
      <c r="I308" s="138" t="s">
        <v>84</v>
      </c>
      <c r="J308" s="129"/>
      <c r="K308" s="129"/>
      <c r="L308" s="129">
        <f t="shared" si="49"/>
        <v>0</v>
      </c>
      <c r="M308" s="129" t="str">
        <f t="shared" si="42"/>
        <v>0h0</v>
      </c>
      <c r="N308" s="138" t="s">
        <v>84</v>
      </c>
      <c r="O308" s="129"/>
      <c r="P308" s="129"/>
      <c r="Q308" s="129">
        <f t="shared" si="50"/>
        <v>0</v>
      </c>
      <c r="R308" s="129" t="str">
        <f t="shared" si="43"/>
        <v>0h0</v>
      </c>
      <c r="S308" s="138">
        <f t="shared" si="46"/>
        <v>0</v>
      </c>
      <c r="T308" s="129" t="str">
        <f t="shared" si="44"/>
        <v>0h0</v>
      </c>
    </row>
    <row r="309" spans="2:20" x14ac:dyDescent="0.3">
      <c r="B309" s="128">
        <f t="shared" si="47"/>
        <v>46499</v>
      </c>
      <c r="C309" s="129" t="str">
        <f t="shared" si="41"/>
        <v>Thursday</v>
      </c>
      <c r="D309" s="138" t="s">
        <v>84</v>
      </c>
      <c r="E309" s="129"/>
      <c r="F309" s="129"/>
      <c r="G309" s="129">
        <f t="shared" si="48"/>
        <v>0</v>
      </c>
      <c r="H309" s="129" t="str">
        <f t="shared" si="45"/>
        <v>0h0</v>
      </c>
      <c r="I309" s="138" t="s">
        <v>84</v>
      </c>
      <c r="J309" s="129"/>
      <c r="K309" s="129"/>
      <c r="L309" s="129">
        <f t="shared" si="49"/>
        <v>0</v>
      </c>
      <c r="M309" s="129" t="str">
        <f t="shared" si="42"/>
        <v>0h0</v>
      </c>
      <c r="N309" s="138" t="s">
        <v>84</v>
      </c>
      <c r="O309" s="129"/>
      <c r="P309" s="129"/>
      <c r="Q309" s="129">
        <f t="shared" si="50"/>
        <v>0</v>
      </c>
      <c r="R309" s="129" t="str">
        <f t="shared" si="43"/>
        <v>0h0</v>
      </c>
      <c r="S309" s="138">
        <f t="shared" si="46"/>
        <v>0</v>
      </c>
      <c r="T309" s="129" t="str">
        <f t="shared" si="44"/>
        <v>0h0</v>
      </c>
    </row>
    <row r="310" spans="2:20" x14ac:dyDescent="0.3">
      <c r="B310" s="128">
        <f t="shared" si="47"/>
        <v>46500</v>
      </c>
      <c r="C310" s="129" t="str">
        <f t="shared" si="41"/>
        <v>Friday</v>
      </c>
      <c r="D310" s="138" t="s">
        <v>84</v>
      </c>
      <c r="E310" s="129"/>
      <c r="F310" s="129"/>
      <c r="G310" s="129">
        <f t="shared" si="48"/>
        <v>0</v>
      </c>
      <c r="H310" s="129" t="str">
        <f t="shared" si="45"/>
        <v>0h0</v>
      </c>
      <c r="I310" s="138" t="s">
        <v>84</v>
      </c>
      <c r="J310" s="129"/>
      <c r="K310" s="129"/>
      <c r="L310" s="129">
        <f t="shared" si="49"/>
        <v>0</v>
      </c>
      <c r="M310" s="129" t="str">
        <f t="shared" si="42"/>
        <v>0h0</v>
      </c>
      <c r="N310" s="138" t="s">
        <v>84</v>
      </c>
      <c r="O310" s="129"/>
      <c r="P310" s="129"/>
      <c r="Q310" s="129">
        <f t="shared" si="50"/>
        <v>0</v>
      </c>
      <c r="R310" s="129" t="str">
        <f t="shared" si="43"/>
        <v>0h0</v>
      </c>
      <c r="S310" s="138">
        <f t="shared" si="46"/>
        <v>0</v>
      </c>
      <c r="T310" s="129" t="str">
        <f t="shared" si="44"/>
        <v>0h0</v>
      </c>
    </row>
    <row r="311" spans="2:20" x14ac:dyDescent="0.3">
      <c r="B311" s="128">
        <f t="shared" si="47"/>
        <v>46501</v>
      </c>
      <c r="C311" s="129" t="str">
        <f t="shared" si="41"/>
        <v>Saturday</v>
      </c>
      <c r="D311" s="138" t="s">
        <v>84</v>
      </c>
      <c r="E311" s="129"/>
      <c r="F311" s="129"/>
      <c r="G311" s="129">
        <f t="shared" si="48"/>
        <v>0</v>
      </c>
      <c r="H311" s="129" t="str">
        <f t="shared" si="45"/>
        <v>0h0</v>
      </c>
      <c r="I311" s="138" t="s">
        <v>84</v>
      </c>
      <c r="J311" s="129"/>
      <c r="K311" s="129"/>
      <c r="L311" s="129">
        <f t="shared" si="49"/>
        <v>0</v>
      </c>
      <c r="M311" s="129" t="str">
        <f t="shared" si="42"/>
        <v>0h0</v>
      </c>
      <c r="N311" s="138" t="s">
        <v>84</v>
      </c>
      <c r="O311" s="129"/>
      <c r="P311" s="129"/>
      <c r="Q311" s="129">
        <f t="shared" si="50"/>
        <v>0</v>
      </c>
      <c r="R311" s="129" t="str">
        <f t="shared" si="43"/>
        <v>0h0</v>
      </c>
      <c r="S311" s="138">
        <f t="shared" si="46"/>
        <v>0</v>
      </c>
      <c r="T311" s="129" t="str">
        <f t="shared" si="44"/>
        <v>0h0</v>
      </c>
    </row>
    <row r="312" spans="2:20" x14ac:dyDescent="0.3">
      <c r="B312" s="128">
        <f t="shared" si="47"/>
        <v>46502</v>
      </c>
      <c r="C312" s="129" t="str">
        <f t="shared" si="41"/>
        <v>Sunday</v>
      </c>
      <c r="D312" s="138" t="s">
        <v>84</v>
      </c>
      <c r="E312" s="129"/>
      <c r="F312" s="129"/>
      <c r="G312" s="129">
        <f t="shared" si="48"/>
        <v>0</v>
      </c>
      <c r="H312" s="129" t="str">
        <f t="shared" si="45"/>
        <v>0h0</v>
      </c>
      <c r="I312" s="138" t="s">
        <v>84</v>
      </c>
      <c r="J312" s="129"/>
      <c r="K312" s="129"/>
      <c r="L312" s="129">
        <f t="shared" si="49"/>
        <v>0</v>
      </c>
      <c r="M312" s="129" t="str">
        <f t="shared" si="42"/>
        <v>0h0</v>
      </c>
      <c r="N312" s="138" t="s">
        <v>84</v>
      </c>
      <c r="O312" s="129"/>
      <c r="P312" s="129"/>
      <c r="Q312" s="129">
        <f t="shared" si="50"/>
        <v>0</v>
      </c>
      <c r="R312" s="129" t="str">
        <f t="shared" si="43"/>
        <v>0h0</v>
      </c>
      <c r="S312" s="138">
        <f t="shared" si="46"/>
        <v>0</v>
      </c>
      <c r="T312" s="129" t="str">
        <f t="shared" si="44"/>
        <v>0h0</v>
      </c>
    </row>
    <row r="313" spans="2:20" x14ac:dyDescent="0.3">
      <c r="B313" s="128">
        <f t="shared" si="47"/>
        <v>46503</v>
      </c>
      <c r="C313" s="129" t="str">
        <f t="shared" si="41"/>
        <v>Monday</v>
      </c>
      <c r="D313" s="138" t="s">
        <v>84</v>
      </c>
      <c r="E313" s="129"/>
      <c r="F313" s="129"/>
      <c r="G313" s="129">
        <f t="shared" si="48"/>
        <v>0</v>
      </c>
      <c r="H313" s="129" t="str">
        <f t="shared" si="45"/>
        <v>0h0</v>
      </c>
      <c r="I313" s="138" t="s">
        <v>84</v>
      </c>
      <c r="J313" s="129"/>
      <c r="K313" s="129"/>
      <c r="L313" s="129">
        <f t="shared" si="49"/>
        <v>0</v>
      </c>
      <c r="M313" s="129" t="str">
        <f t="shared" si="42"/>
        <v>0h0</v>
      </c>
      <c r="N313" s="138" t="s">
        <v>84</v>
      </c>
      <c r="O313" s="129"/>
      <c r="P313" s="129"/>
      <c r="Q313" s="129">
        <f t="shared" si="50"/>
        <v>0</v>
      </c>
      <c r="R313" s="129" t="str">
        <f t="shared" si="43"/>
        <v>0h0</v>
      </c>
      <c r="S313" s="138">
        <f t="shared" si="46"/>
        <v>0</v>
      </c>
      <c r="T313" s="129" t="str">
        <f t="shared" si="44"/>
        <v>0h0</v>
      </c>
    </row>
    <row r="314" spans="2:20" x14ac:dyDescent="0.3">
      <c r="B314" s="128">
        <f t="shared" si="47"/>
        <v>46504</v>
      </c>
      <c r="C314" s="129" t="str">
        <f t="shared" si="41"/>
        <v>Tuesday</v>
      </c>
      <c r="D314" s="138" t="s">
        <v>84</v>
      </c>
      <c r="E314" s="129"/>
      <c r="F314" s="129"/>
      <c r="G314" s="129">
        <f t="shared" si="48"/>
        <v>0</v>
      </c>
      <c r="H314" s="129" t="str">
        <f t="shared" si="45"/>
        <v>0h0</v>
      </c>
      <c r="I314" s="138" t="s">
        <v>84</v>
      </c>
      <c r="J314" s="129"/>
      <c r="K314" s="129"/>
      <c r="L314" s="129">
        <f t="shared" si="49"/>
        <v>0</v>
      </c>
      <c r="M314" s="129" t="str">
        <f t="shared" si="42"/>
        <v>0h0</v>
      </c>
      <c r="N314" s="138" t="s">
        <v>84</v>
      </c>
      <c r="O314" s="129"/>
      <c r="P314" s="129"/>
      <c r="Q314" s="129">
        <f t="shared" si="50"/>
        <v>0</v>
      </c>
      <c r="R314" s="129" t="str">
        <f t="shared" si="43"/>
        <v>0h0</v>
      </c>
      <c r="S314" s="138">
        <f t="shared" si="46"/>
        <v>0</v>
      </c>
      <c r="T314" s="129" t="str">
        <f t="shared" si="44"/>
        <v>0h0</v>
      </c>
    </row>
    <row r="315" spans="2:20" x14ac:dyDescent="0.3">
      <c r="B315" s="128">
        <f t="shared" si="47"/>
        <v>46505</v>
      </c>
      <c r="C315" s="129" t="str">
        <f t="shared" si="41"/>
        <v>Wednesday</v>
      </c>
      <c r="D315" s="138" t="s">
        <v>84</v>
      </c>
      <c r="E315" s="129"/>
      <c r="F315" s="129"/>
      <c r="G315" s="129">
        <f t="shared" si="48"/>
        <v>0</v>
      </c>
      <c r="H315" s="129" t="str">
        <f t="shared" si="45"/>
        <v>0h0</v>
      </c>
      <c r="I315" s="138" t="s">
        <v>84</v>
      </c>
      <c r="J315" s="129"/>
      <c r="K315" s="129"/>
      <c r="L315" s="129">
        <f t="shared" si="49"/>
        <v>0</v>
      </c>
      <c r="M315" s="129" t="str">
        <f t="shared" si="42"/>
        <v>0h0</v>
      </c>
      <c r="N315" s="138" t="s">
        <v>84</v>
      </c>
      <c r="O315" s="129"/>
      <c r="P315" s="129"/>
      <c r="Q315" s="129">
        <f t="shared" si="50"/>
        <v>0</v>
      </c>
      <c r="R315" s="129" t="str">
        <f t="shared" si="43"/>
        <v>0h0</v>
      </c>
      <c r="S315" s="138">
        <f t="shared" si="46"/>
        <v>0</v>
      </c>
      <c r="T315" s="129" t="str">
        <f t="shared" si="44"/>
        <v>0h0</v>
      </c>
    </row>
    <row r="316" spans="2:20" x14ac:dyDescent="0.3">
      <c r="B316" s="128">
        <f t="shared" si="47"/>
        <v>46506</v>
      </c>
      <c r="C316" s="129" t="str">
        <f t="shared" si="41"/>
        <v>Thursday</v>
      </c>
      <c r="D316" s="138" t="s">
        <v>84</v>
      </c>
      <c r="E316" s="129"/>
      <c r="F316" s="129"/>
      <c r="G316" s="129">
        <f t="shared" si="48"/>
        <v>0</v>
      </c>
      <c r="H316" s="129" t="str">
        <f t="shared" si="45"/>
        <v>0h0</v>
      </c>
      <c r="I316" s="138" t="s">
        <v>84</v>
      </c>
      <c r="J316" s="129"/>
      <c r="K316" s="129"/>
      <c r="L316" s="129">
        <f t="shared" si="49"/>
        <v>0</v>
      </c>
      <c r="M316" s="129" t="str">
        <f t="shared" si="42"/>
        <v>0h0</v>
      </c>
      <c r="N316" s="138" t="s">
        <v>84</v>
      </c>
      <c r="O316" s="129"/>
      <c r="P316" s="129"/>
      <c r="Q316" s="129">
        <f t="shared" si="50"/>
        <v>0</v>
      </c>
      <c r="R316" s="129" t="str">
        <f t="shared" si="43"/>
        <v>0h0</v>
      </c>
      <c r="S316" s="138">
        <f t="shared" si="46"/>
        <v>0</v>
      </c>
      <c r="T316" s="129" t="str">
        <f t="shared" si="44"/>
        <v>0h0</v>
      </c>
    </row>
    <row r="317" spans="2:20" x14ac:dyDescent="0.3">
      <c r="B317" s="128">
        <f t="shared" si="47"/>
        <v>46507</v>
      </c>
      <c r="C317" s="129" t="str">
        <f t="shared" si="41"/>
        <v>Friday</v>
      </c>
      <c r="D317" s="138" t="s">
        <v>84</v>
      </c>
      <c r="E317" s="129"/>
      <c r="F317" s="129"/>
      <c r="G317" s="129">
        <f t="shared" si="48"/>
        <v>0</v>
      </c>
      <c r="H317" s="129" t="str">
        <f t="shared" si="45"/>
        <v>0h0</v>
      </c>
      <c r="I317" s="138" t="s">
        <v>84</v>
      </c>
      <c r="J317" s="129"/>
      <c r="K317" s="129"/>
      <c r="L317" s="129">
        <f t="shared" si="49"/>
        <v>0</v>
      </c>
      <c r="M317" s="129" t="str">
        <f t="shared" si="42"/>
        <v>0h0</v>
      </c>
      <c r="N317" s="138" t="s">
        <v>84</v>
      </c>
      <c r="O317" s="129"/>
      <c r="P317" s="129"/>
      <c r="Q317" s="129">
        <f t="shared" si="50"/>
        <v>0</v>
      </c>
      <c r="R317" s="129" t="str">
        <f t="shared" si="43"/>
        <v>0h0</v>
      </c>
      <c r="S317" s="138">
        <f t="shared" si="46"/>
        <v>0</v>
      </c>
      <c r="T317" s="129" t="str">
        <f t="shared" si="44"/>
        <v>0h0</v>
      </c>
    </row>
    <row r="318" spans="2:20" x14ac:dyDescent="0.3">
      <c r="B318" s="128">
        <f t="shared" si="47"/>
        <v>46508</v>
      </c>
      <c r="C318" s="129" t="str">
        <f t="shared" si="41"/>
        <v>Saturday</v>
      </c>
      <c r="D318" s="138" t="s">
        <v>84</v>
      </c>
      <c r="E318" s="129"/>
      <c r="F318" s="129"/>
      <c r="G318" s="129">
        <f t="shared" si="48"/>
        <v>0</v>
      </c>
      <c r="H318" s="129" t="str">
        <f t="shared" si="45"/>
        <v>0h0</v>
      </c>
      <c r="I318" s="138" t="s">
        <v>84</v>
      </c>
      <c r="J318" s="129"/>
      <c r="K318" s="129"/>
      <c r="L318" s="129">
        <f t="shared" si="49"/>
        <v>0</v>
      </c>
      <c r="M318" s="129" t="str">
        <f t="shared" si="42"/>
        <v>0h0</v>
      </c>
      <c r="N318" s="138" t="s">
        <v>84</v>
      </c>
      <c r="O318" s="129"/>
      <c r="P318" s="129"/>
      <c r="Q318" s="129">
        <f t="shared" si="50"/>
        <v>0</v>
      </c>
      <c r="R318" s="129" t="str">
        <f t="shared" si="43"/>
        <v>0h0</v>
      </c>
      <c r="S318" s="138">
        <f t="shared" si="46"/>
        <v>0</v>
      </c>
      <c r="T318" s="129" t="str">
        <f t="shared" si="44"/>
        <v>0h0</v>
      </c>
    </row>
    <row r="319" spans="2:20" x14ac:dyDescent="0.3">
      <c r="B319" s="128">
        <f t="shared" si="47"/>
        <v>46509</v>
      </c>
      <c r="C319" s="129" t="str">
        <f t="shared" si="41"/>
        <v>Sunday</v>
      </c>
      <c r="D319" s="138" t="s">
        <v>84</v>
      </c>
      <c r="E319" s="129"/>
      <c r="F319" s="129"/>
      <c r="G319" s="129">
        <f t="shared" si="48"/>
        <v>0</v>
      </c>
      <c r="H319" s="129" t="str">
        <f t="shared" si="45"/>
        <v>0h0</v>
      </c>
      <c r="I319" s="138" t="s">
        <v>84</v>
      </c>
      <c r="J319" s="129"/>
      <c r="K319" s="129"/>
      <c r="L319" s="129">
        <f t="shared" si="49"/>
        <v>0</v>
      </c>
      <c r="M319" s="129" t="str">
        <f t="shared" si="42"/>
        <v>0h0</v>
      </c>
      <c r="N319" s="138" t="s">
        <v>84</v>
      </c>
      <c r="O319" s="129"/>
      <c r="P319" s="129"/>
      <c r="Q319" s="129">
        <f t="shared" si="50"/>
        <v>0</v>
      </c>
      <c r="R319" s="129" t="str">
        <f t="shared" si="43"/>
        <v>0h0</v>
      </c>
      <c r="S319" s="138">
        <f t="shared" si="46"/>
        <v>0</v>
      </c>
      <c r="T319" s="129" t="str">
        <f t="shared" si="44"/>
        <v>0h0</v>
      </c>
    </row>
    <row r="320" spans="2:20" x14ac:dyDescent="0.3">
      <c r="B320" s="128">
        <f t="shared" si="47"/>
        <v>46510</v>
      </c>
      <c r="C320" s="129" t="str">
        <f t="shared" si="41"/>
        <v>Monday</v>
      </c>
      <c r="D320" s="138" t="s">
        <v>84</v>
      </c>
      <c r="E320" s="129"/>
      <c r="F320" s="129"/>
      <c r="G320" s="129">
        <f t="shared" si="48"/>
        <v>0</v>
      </c>
      <c r="H320" s="129" t="str">
        <f t="shared" si="45"/>
        <v>0h0</v>
      </c>
      <c r="I320" s="138" t="s">
        <v>84</v>
      </c>
      <c r="J320" s="129"/>
      <c r="K320" s="129"/>
      <c r="L320" s="129">
        <f t="shared" si="49"/>
        <v>0</v>
      </c>
      <c r="M320" s="129" t="str">
        <f t="shared" si="42"/>
        <v>0h0</v>
      </c>
      <c r="N320" s="138" t="s">
        <v>84</v>
      </c>
      <c r="O320" s="129"/>
      <c r="P320" s="129"/>
      <c r="Q320" s="129">
        <f t="shared" si="50"/>
        <v>0</v>
      </c>
      <c r="R320" s="129" t="str">
        <f t="shared" si="43"/>
        <v>0h0</v>
      </c>
      <c r="S320" s="138">
        <f t="shared" si="46"/>
        <v>0</v>
      </c>
      <c r="T320" s="129" t="str">
        <f t="shared" si="44"/>
        <v>0h0</v>
      </c>
    </row>
    <row r="321" spans="2:20" x14ac:dyDescent="0.3">
      <c r="B321" s="128">
        <f t="shared" si="47"/>
        <v>46511</v>
      </c>
      <c r="C321" s="129" t="str">
        <f t="shared" si="41"/>
        <v>Tuesday</v>
      </c>
      <c r="D321" s="138" t="s">
        <v>84</v>
      </c>
      <c r="E321" s="129"/>
      <c r="F321" s="129"/>
      <c r="G321" s="129">
        <f t="shared" si="48"/>
        <v>0</v>
      </c>
      <c r="H321" s="129" t="str">
        <f t="shared" si="45"/>
        <v>0h0</v>
      </c>
      <c r="I321" s="138" t="s">
        <v>84</v>
      </c>
      <c r="J321" s="129"/>
      <c r="K321" s="129"/>
      <c r="L321" s="129">
        <f t="shared" si="49"/>
        <v>0</v>
      </c>
      <c r="M321" s="129" t="str">
        <f t="shared" si="42"/>
        <v>0h0</v>
      </c>
      <c r="N321" s="138" t="s">
        <v>84</v>
      </c>
      <c r="O321" s="129"/>
      <c r="P321" s="129"/>
      <c r="Q321" s="129">
        <f t="shared" si="50"/>
        <v>0</v>
      </c>
      <c r="R321" s="129" t="str">
        <f t="shared" si="43"/>
        <v>0h0</v>
      </c>
      <c r="S321" s="138">
        <f t="shared" si="46"/>
        <v>0</v>
      </c>
      <c r="T321" s="129" t="str">
        <f t="shared" si="44"/>
        <v>0h0</v>
      </c>
    </row>
    <row r="322" spans="2:20" x14ac:dyDescent="0.3">
      <c r="B322" s="128">
        <f t="shared" si="47"/>
        <v>46512</v>
      </c>
      <c r="C322" s="129" t="str">
        <f t="shared" si="41"/>
        <v>Wednesday</v>
      </c>
      <c r="D322" s="138" t="s">
        <v>84</v>
      </c>
      <c r="E322" s="129"/>
      <c r="F322" s="129"/>
      <c r="G322" s="129">
        <f t="shared" si="48"/>
        <v>0</v>
      </c>
      <c r="H322" s="129" t="str">
        <f t="shared" si="45"/>
        <v>0h0</v>
      </c>
      <c r="I322" s="138" t="s">
        <v>84</v>
      </c>
      <c r="J322" s="129"/>
      <c r="K322" s="129"/>
      <c r="L322" s="129">
        <f t="shared" si="49"/>
        <v>0</v>
      </c>
      <c r="M322" s="129" t="str">
        <f t="shared" si="42"/>
        <v>0h0</v>
      </c>
      <c r="N322" s="138" t="s">
        <v>84</v>
      </c>
      <c r="O322" s="129"/>
      <c r="P322" s="129"/>
      <c r="Q322" s="129">
        <f t="shared" si="50"/>
        <v>0</v>
      </c>
      <c r="R322" s="129" t="str">
        <f t="shared" si="43"/>
        <v>0h0</v>
      </c>
      <c r="S322" s="138">
        <f t="shared" si="46"/>
        <v>0</v>
      </c>
      <c r="T322" s="129" t="str">
        <f t="shared" si="44"/>
        <v>0h0</v>
      </c>
    </row>
    <row r="323" spans="2:20" x14ac:dyDescent="0.3">
      <c r="B323" s="128">
        <f t="shared" si="47"/>
        <v>46513</v>
      </c>
      <c r="C323" s="129" t="str">
        <f t="shared" si="41"/>
        <v>Thursday</v>
      </c>
      <c r="D323" s="138" t="s">
        <v>84</v>
      </c>
      <c r="E323" s="129"/>
      <c r="F323" s="129"/>
      <c r="G323" s="129">
        <f t="shared" si="48"/>
        <v>0</v>
      </c>
      <c r="H323" s="129" t="str">
        <f t="shared" si="45"/>
        <v>0h0</v>
      </c>
      <c r="I323" s="138" t="s">
        <v>84</v>
      </c>
      <c r="J323" s="129"/>
      <c r="K323" s="129"/>
      <c r="L323" s="129">
        <f t="shared" si="49"/>
        <v>0</v>
      </c>
      <c r="M323" s="129" t="str">
        <f t="shared" si="42"/>
        <v>0h0</v>
      </c>
      <c r="N323" s="138" t="s">
        <v>84</v>
      </c>
      <c r="O323" s="129"/>
      <c r="P323" s="129"/>
      <c r="Q323" s="129">
        <f t="shared" si="50"/>
        <v>0</v>
      </c>
      <c r="R323" s="129" t="str">
        <f t="shared" si="43"/>
        <v>0h0</v>
      </c>
      <c r="S323" s="138">
        <f t="shared" si="46"/>
        <v>0</v>
      </c>
      <c r="T323" s="129" t="str">
        <f t="shared" si="44"/>
        <v>0h0</v>
      </c>
    </row>
    <row r="324" spans="2:20" x14ac:dyDescent="0.3">
      <c r="B324" s="128">
        <f t="shared" si="47"/>
        <v>46514</v>
      </c>
      <c r="C324" s="129" t="str">
        <f t="shared" si="41"/>
        <v>Friday</v>
      </c>
      <c r="D324" s="138" t="s">
        <v>84</v>
      </c>
      <c r="E324" s="129"/>
      <c r="F324" s="129"/>
      <c r="G324" s="129">
        <f t="shared" si="48"/>
        <v>0</v>
      </c>
      <c r="H324" s="129" t="str">
        <f t="shared" si="45"/>
        <v>0h0</v>
      </c>
      <c r="I324" s="138" t="s">
        <v>84</v>
      </c>
      <c r="J324" s="129"/>
      <c r="K324" s="129"/>
      <c r="L324" s="129">
        <f t="shared" si="49"/>
        <v>0</v>
      </c>
      <c r="M324" s="129" t="str">
        <f t="shared" si="42"/>
        <v>0h0</v>
      </c>
      <c r="N324" s="138" t="s">
        <v>84</v>
      </c>
      <c r="O324" s="129"/>
      <c r="P324" s="129"/>
      <c r="Q324" s="129">
        <f t="shared" si="50"/>
        <v>0</v>
      </c>
      <c r="R324" s="129" t="str">
        <f t="shared" si="43"/>
        <v>0h0</v>
      </c>
      <c r="S324" s="138">
        <f t="shared" si="46"/>
        <v>0</v>
      </c>
      <c r="T324" s="129" t="str">
        <f t="shared" si="44"/>
        <v>0h0</v>
      </c>
    </row>
    <row r="325" spans="2:20" x14ac:dyDescent="0.3">
      <c r="B325" s="128">
        <f t="shared" si="47"/>
        <v>46515</v>
      </c>
      <c r="C325" s="129" t="str">
        <f t="shared" si="41"/>
        <v>Saturday</v>
      </c>
      <c r="D325" s="138" t="s">
        <v>84</v>
      </c>
      <c r="E325" s="129"/>
      <c r="F325" s="129"/>
      <c r="G325" s="129">
        <f t="shared" si="48"/>
        <v>0</v>
      </c>
      <c r="H325" s="129" t="str">
        <f t="shared" si="45"/>
        <v>0h0</v>
      </c>
      <c r="I325" s="138" t="s">
        <v>84</v>
      </c>
      <c r="J325" s="129"/>
      <c r="K325" s="129"/>
      <c r="L325" s="129">
        <f t="shared" si="49"/>
        <v>0</v>
      </c>
      <c r="M325" s="129" t="str">
        <f t="shared" si="42"/>
        <v>0h0</v>
      </c>
      <c r="N325" s="138" t="s">
        <v>84</v>
      </c>
      <c r="O325" s="129"/>
      <c r="P325" s="129"/>
      <c r="Q325" s="129">
        <f t="shared" si="50"/>
        <v>0</v>
      </c>
      <c r="R325" s="129" t="str">
        <f t="shared" si="43"/>
        <v>0h0</v>
      </c>
      <c r="S325" s="138">
        <f t="shared" si="46"/>
        <v>0</v>
      </c>
      <c r="T325" s="129" t="str">
        <f t="shared" si="44"/>
        <v>0h0</v>
      </c>
    </row>
    <row r="326" spans="2:20" x14ac:dyDescent="0.3">
      <c r="B326" s="128">
        <f t="shared" si="47"/>
        <v>46516</v>
      </c>
      <c r="C326" s="129" t="str">
        <f t="shared" ref="C326:C372" si="51">CHOOSE(WEEKDAY(B326,2),"Monday","Tuesday","Wednesday","Thursday","Friday","Saturday","Sunday")</f>
        <v>Sunday</v>
      </c>
      <c r="D326" s="138" t="s">
        <v>84</v>
      </c>
      <c r="E326" s="129"/>
      <c r="F326" s="129"/>
      <c r="G326" s="129">
        <f t="shared" si="48"/>
        <v>0</v>
      </c>
      <c r="H326" s="129" t="str">
        <f t="shared" si="45"/>
        <v>0h0</v>
      </c>
      <c r="I326" s="138" t="s">
        <v>84</v>
      </c>
      <c r="J326" s="129"/>
      <c r="K326" s="129"/>
      <c r="L326" s="129">
        <f t="shared" si="49"/>
        <v>0</v>
      </c>
      <c r="M326" s="129" t="str">
        <f t="shared" ref="M326:M372" si="52">ROUNDDOWN(L326/60, 0)&amp;"h"&amp;ROUNDUP((L326/60-ROUNDDOWN(L326/60, 0))*60,0)</f>
        <v>0h0</v>
      </c>
      <c r="N326" s="138" t="s">
        <v>84</v>
      </c>
      <c r="O326" s="129"/>
      <c r="P326" s="129"/>
      <c r="Q326" s="129">
        <f t="shared" si="50"/>
        <v>0</v>
      </c>
      <c r="R326" s="129" t="str">
        <f t="shared" ref="R326:R372" si="53">ROUNDDOWN(Q326/60, 0)&amp;"h"&amp;ROUNDUP((Q326/60-ROUNDDOWN(Q326/60, 0))*60,0)</f>
        <v>0h0</v>
      </c>
      <c r="S326" s="138">
        <f t="shared" si="46"/>
        <v>0</v>
      </c>
      <c r="T326" s="129" t="str">
        <f t="shared" ref="T326:T372" si="54">ROUNDDOWN(S326/60, 0)&amp;"h"&amp;ROUNDUP((S326/60-ROUNDDOWN(S326/60, 0))*60,0)</f>
        <v>0h0</v>
      </c>
    </row>
    <row r="327" spans="2:20" x14ac:dyDescent="0.3">
      <c r="B327" s="128">
        <f t="shared" si="47"/>
        <v>46517</v>
      </c>
      <c r="C327" s="129" t="str">
        <f t="shared" si="51"/>
        <v>Monday</v>
      </c>
      <c r="D327" s="138" t="s">
        <v>84</v>
      </c>
      <c r="E327" s="129"/>
      <c r="F327" s="129"/>
      <c r="G327" s="129">
        <f t="shared" si="48"/>
        <v>0</v>
      </c>
      <c r="H327" s="129" t="str">
        <f t="shared" ref="H327:H372" si="55">ROUNDDOWN(G327/60, 0)&amp;"h"&amp;ROUNDUP((G327/60-ROUNDDOWN(G327/60, 0))*60,0)</f>
        <v>0h0</v>
      </c>
      <c r="I327" s="138" t="s">
        <v>84</v>
      </c>
      <c r="J327" s="129"/>
      <c r="K327" s="129"/>
      <c r="L327" s="129">
        <f t="shared" si="49"/>
        <v>0</v>
      </c>
      <c r="M327" s="129" t="str">
        <f t="shared" si="52"/>
        <v>0h0</v>
      </c>
      <c r="N327" s="138" t="s">
        <v>84</v>
      </c>
      <c r="O327" s="129"/>
      <c r="P327" s="129"/>
      <c r="Q327" s="129">
        <f t="shared" si="50"/>
        <v>0</v>
      </c>
      <c r="R327" s="129" t="str">
        <f t="shared" si="53"/>
        <v>0h0</v>
      </c>
      <c r="S327" s="138">
        <f t="shared" ref="S327:S372" si="56">G327+L327+Q327</f>
        <v>0</v>
      </c>
      <c r="T327" s="129" t="str">
        <f t="shared" si="54"/>
        <v>0h0</v>
      </c>
    </row>
    <row r="328" spans="2:20" x14ac:dyDescent="0.3">
      <c r="B328" s="128">
        <f t="shared" ref="B328:B372" si="57">B327+1</f>
        <v>46518</v>
      </c>
      <c r="C328" s="129" t="str">
        <f t="shared" si="51"/>
        <v>Tuesday</v>
      </c>
      <c r="D328" s="138" t="s">
        <v>84</v>
      </c>
      <c r="E328" s="129"/>
      <c r="F328" s="129"/>
      <c r="G328" s="129">
        <f t="shared" ref="G328:G372" si="58">E328*25+F328</f>
        <v>0</v>
      </c>
      <c r="H328" s="129" t="str">
        <f t="shared" si="55"/>
        <v>0h0</v>
      </c>
      <c r="I328" s="138" t="s">
        <v>84</v>
      </c>
      <c r="J328" s="129"/>
      <c r="K328" s="129"/>
      <c r="L328" s="129">
        <f t="shared" ref="L328:L372" si="59">J328*25+K328</f>
        <v>0</v>
      </c>
      <c r="M328" s="129" t="str">
        <f t="shared" si="52"/>
        <v>0h0</v>
      </c>
      <c r="N328" s="138" t="s">
        <v>84</v>
      </c>
      <c r="O328" s="129"/>
      <c r="P328" s="129"/>
      <c r="Q328" s="129">
        <f t="shared" ref="Q328:Q372" si="60">O328*25+P328</f>
        <v>0</v>
      </c>
      <c r="R328" s="129" t="str">
        <f t="shared" si="53"/>
        <v>0h0</v>
      </c>
      <c r="S328" s="138">
        <f t="shared" si="56"/>
        <v>0</v>
      </c>
      <c r="T328" s="129" t="str">
        <f t="shared" si="54"/>
        <v>0h0</v>
      </c>
    </row>
    <row r="329" spans="2:20" x14ac:dyDescent="0.3">
      <c r="B329" s="128">
        <f t="shared" si="57"/>
        <v>46519</v>
      </c>
      <c r="C329" s="129" t="str">
        <f t="shared" si="51"/>
        <v>Wednesday</v>
      </c>
      <c r="D329" s="138" t="s">
        <v>84</v>
      </c>
      <c r="E329" s="129"/>
      <c r="F329" s="129"/>
      <c r="G329" s="129">
        <f t="shared" si="58"/>
        <v>0</v>
      </c>
      <c r="H329" s="129" t="str">
        <f t="shared" si="55"/>
        <v>0h0</v>
      </c>
      <c r="I329" s="138" t="s">
        <v>84</v>
      </c>
      <c r="J329" s="129"/>
      <c r="K329" s="129"/>
      <c r="L329" s="129">
        <f t="shared" si="59"/>
        <v>0</v>
      </c>
      <c r="M329" s="129" t="str">
        <f t="shared" si="52"/>
        <v>0h0</v>
      </c>
      <c r="N329" s="138" t="s">
        <v>84</v>
      </c>
      <c r="O329" s="129"/>
      <c r="P329" s="129"/>
      <c r="Q329" s="129">
        <f t="shared" si="60"/>
        <v>0</v>
      </c>
      <c r="R329" s="129" t="str">
        <f t="shared" si="53"/>
        <v>0h0</v>
      </c>
      <c r="S329" s="138">
        <f t="shared" si="56"/>
        <v>0</v>
      </c>
      <c r="T329" s="129" t="str">
        <f t="shared" si="54"/>
        <v>0h0</v>
      </c>
    </row>
    <row r="330" spans="2:20" x14ac:dyDescent="0.3">
      <c r="B330" s="128">
        <f t="shared" si="57"/>
        <v>46520</v>
      </c>
      <c r="C330" s="129" t="str">
        <f t="shared" si="51"/>
        <v>Thursday</v>
      </c>
      <c r="D330" s="138" t="s">
        <v>84</v>
      </c>
      <c r="E330" s="129"/>
      <c r="F330" s="129"/>
      <c r="G330" s="129">
        <f t="shared" si="58"/>
        <v>0</v>
      </c>
      <c r="H330" s="129" t="str">
        <f t="shared" si="55"/>
        <v>0h0</v>
      </c>
      <c r="I330" s="138" t="s">
        <v>84</v>
      </c>
      <c r="J330" s="129"/>
      <c r="K330" s="129"/>
      <c r="L330" s="129">
        <f t="shared" si="59"/>
        <v>0</v>
      </c>
      <c r="M330" s="129" t="str">
        <f t="shared" si="52"/>
        <v>0h0</v>
      </c>
      <c r="N330" s="138" t="s">
        <v>84</v>
      </c>
      <c r="O330" s="129"/>
      <c r="P330" s="129"/>
      <c r="Q330" s="129">
        <f t="shared" si="60"/>
        <v>0</v>
      </c>
      <c r="R330" s="129" t="str">
        <f t="shared" si="53"/>
        <v>0h0</v>
      </c>
      <c r="S330" s="138">
        <f t="shared" si="56"/>
        <v>0</v>
      </c>
      <c r="T330" s="129" t="str">
        <f t="shared" si="54"/>
        <v>0h0</v>
      </c>
    </row>
    <row r="331" spans="2:20" x14ac:dyDescent="0.3">
      <c r="B331" s="128">
        <f t="shared" si="57"/>
        <v>46521</v>
      </c>
      <c r="C331" s="129" t="str">
        <f t="shared" si="51"/>
        <v>Friday</v>
      </c>
      <c r="D331" s="138" t="s">
        <v>84</v>
      </c>
      <c r="E331" s="129"/>
      <c r="F331" s="129"/>
      <c r="G331" s="129">
        <f t="shared" si="58"/>
        <v>0</v>
      </c>
      <c r="H331" s="129" t="str">
        <f t="shared" si="55"/>
        <v>0h0</v>
      </c>
      <c r="I331" s="138" t="s">
        <v>84</v>
      </c>
      <c r="J331" s="129"/>
      <c r="K331" s="129"/>
      <c r="L331" s="129">
        <f t="shared" si="59"/>
        <v>0</v>
      </c>
      <c r="M331" s="129" t="str">
        <f t="shared" si="52"/>
        <v>0h0</v>
      </c>
      <c r="N331" s="138" t="s">
        <v>84</v>
      </c>
      <c r="O331" s="129"/>
      <c r="P331" s="129"/>
      <c r="Q331" s="129">
        <f t="shared" si="60"/>
        <v>0</v>
      </c>
      <c r="R331" s="129" t="str">
        <f t="shared" si="53"/>
        <v>0h0</v>
      </c>
      <c r="S331" s="138">
        <f t="shared" si="56"/>
        <v>0</v>
      </c>
      <c r="T331" s="129" t="str">
        <f t="shared" si="54"/>
        <v>0h0</v>
      </c>
    </row>
    <row r="332" spans="2:20" x14ac:dyDescent="0.3">
      <c r="B332" s="128">
        <f t="shared" si="57"/>
        <v>46522</v>
      </c>
      <c r="C332" s="129" t="str">
        <f t="shared" si="51"/>
        <v>Saturday</v>
      </c>
      <c r="D332" s="138" t="s">
        <v>84</v>
      </c>
      <c r="E332" s="129"/>
      <c r="F332" s="129"/>
      <c r="G332" s="129">
        <f t="shared" si="58"/>
        <v>0</v>
      </c>
      <c r="H332" s="129" t="str">
        <f t="shared" si="55"/>
        <v>0h0</v>
      </c>
      <c r="I332" s="138" t="s">
        <v>84</v>
      </c>
      <c r="J332" s="129"/>
      <c r="K332" s="129"/>
      <c r="L332" s="129">
        <f t="shared" si="59"/>
        <v>0</v>
      </c>
      <c r="M332" s="129" t="str">
        <f t="shared" si="52"/>
        <v>0h0</v>
      </c>
      <c r="N332" s="138" t="s">
        <v>84</v>
      </c>
      <c r="O332" s="129"/>
      <c r="P332" s="129"/>
      <c r="Q332" s="129">
        <f t="shared" si="60"/>
        <v>0</v>
      </c>
      <c r="R332" s="129" t="str">
        <f t="shared" si="53"/>
        <v>0h0</v>
      </c>
      <c r="S332" s="138">
        <f t="shared" si="56"/>
        <v>0</v>
      </c>
      <c r="T332" s="129" t="str">
        <f t="shared" si="54"/>
        <v>0h0</v>
      </c>
    </row>
    <row r="333" spans="2:20" x14ac:dyDescent="0.3">
      <c r="B333" s="128">
        <f t="shared" si="57"/>
        <v>46523</v>
      </c>
      <c r="C333" s="129" t="str">
        <f t="shared" si="51"/>
        <v>Sunday</v>
      </c>
      <c r="D333" s="138" t="s">
        <v>84</v>
      </c>
      <c r="E333" s="129"/>
      <c r="F333" s="129"/>
      <c r="G333" s="129">
        <f t="shared" si="58"/>
        <v>0</v>
      </c>
      <c r="H333" s="129" t="str">
        <f t="shared" si="55"/>
        <v>0h0</v>
      </c>
      <c r="I333" s="138" t="s">
        <v>84</v>
      </c>
      <c r="J333" s="129"/>
      <c r="K333" s="129"/>
      <c r="L333" s="129">
        <f t="shared" si="59"/>
        <v>0</v>
      </c>
      <c r="M333" s="129" t="str">
        <f t="shared" si="52"/>
        <v>0h0</v>
      </c>
      <c r="N333" s="138" t="s">
        <v>84</v>
      </c>
      <c r="O333" s="129"/>
      <c r="P333" s="129"/>
      <c r="Q333" s="129">
        <f t="shared" si="60"/>
        <v>0</v>
      </c>
      <c r="R333" s="129" t="str">
        <f t="shared" si="53"/>
        <v>0h0</v>
      </c>
      <c r="S333" s="138">
        <f t="shared" si="56"/>
        <v>0</v>
      </c>
      <c r="T333" s="129" t="str">
        <f t="shared" si="54"/>
        <v>0h0</v>
      </c>
    </row>
    <row r="334" spans="2:20" x14ac:dyDescent="0.3">
      <c r="B334" s="128">
        <f t="shared" si="57"/>
        <v>46524</v>
      </c>
      <c r="C334" s="129" t="str">
        <f t="shared" si="51"/>
        <v>Monday</v>
      </c>
      <c r="D334" s="138" t="s">
        <v>84</v>
      </c>
      <c r="E334" s="129"/>
      <c r="F334" s="129"/>
      <c r="G334" s="129">
        <f t="shared" si="58"/>
        <v>0</v>
      </c>
      <c r="H334" s="129" t="str">
        <f t="shared" si="55"/>
        <v>0h0</v>
      </c>
      <c r="I334" s="138" t="s">
        <v>84</v>
      </c>
      <c r="J334" s="129"/>
      <c r="K334" s="129"/>
      <c r="L334" s="129">
        <f t="shared" si="59"/>
        <v>0</v>
      </c>
      <c r="M334" s="129" t="str">
        <f t="shared" si="52"/>
        <v>0h0</v>
      </c>
      <c r="N334" s="138" t="s">
        <v>84</v>
      </c>
      <c r="O334" s="129"/>
      <c r="P334" s="129"/>
      <c r="Q334" s="129">
        <f t="shared" si="60"/>
        <v>0</v>
      </c>
      <c r="R334" s="129" t="str">
        <f t="shared" si="53"/>
        <v>0h0</v>
      </c>
      <c r="S334" s="138">
        <f t="shared" si="56"/>
        <v>0</v>
      </c>
      <c r="T334" s="129" t="str">
        <f t="shared" si="54"/>
        <v>0h0</v>
      </c>
    </row>
    <row r="335" spans="2:20" x14ac:dyDescent="0.3">
      <c r="B335" s="128">
        <f t="shared" si="57"/>
        <v>46525</v>
      </c>
      <c r="C335" s="129" t="str">
        <f t="shared" si="51"/>
        <v>Tuesday</v>
      </c>
      <c r="D335" s="138" t="s">
        <v>84</v>
      </c>
      <c r="E335" s="129"/>
      <c r="F335" s="129"/>
      <c r="G335" s="129">
        <f t="shared" si="58"/>
        <v>0</v>
      </c>
      <c r="H335" s="129" t="str">
        <f t="shared" si="55"/>
        <v>0h0</v>
      </c>
      <c r="I335" s="138" t="s">
        <v>84</v>
      </c>
      <c r="J335" s="129"/>
      <c r="K335" s="129"/>
      <c r="L335" s="129">
        <f t="shared" si="59"/>
        <v>0</v>
      </c>
      <c r="M335" s="129" t="str">
        <f t="shared" si="52"/>
        <v>0h0</v>
      </c>
      <c r="N335" s="138" t="s">
        <v>84</v>
      </c>
      <c r="O335" s="129"/>
      <c r="P335" s="129"/>
      <c r="Q335" s="129">
        <f t="shared" si="60"/>
        <v>0</v>
      </c>
      <c r="R335" s="129" t="str">
        <f t="shared" si="53"/>
        <v>0h0</v>
      </c>
      <c r="S335" s="138">
        <f t="shared" si="56"/>
        <v>0</v>
      </c>
      <c r="T335" s="129" t="str">
        <f t="shared" si="54"/>
        <v>0h0</v>
      </c>
    </row>
    <row r="336" spans="2:20" x14ac:dyDescent="0.3">
      <c r="B336" s="128">
        <f t="shared" si="57"/>
        <v>46526</v>
      </c>
      <c r="C336" s="129" t="str">
        <f t="shared" si="51"/>
        <v>Wednesday</v>
      </c>
      <c r="D336" s="138" t="s">
        <v>84</v>
      </c>
      <c r="E336" s="129"/>
      <c r="F336" s="129"/>
      <c r="G336" s="129">
        <f t="shared" si="58"/>
        <v>0</v>
      </c>
      <c r="H336" s="129" t="str">
        <f t="shared" si="55"/>
        <v>0h0</v>
      </c>
      <c r="I336" s="138" t="s">
        <v>84</v>
      </c>
      <c r="J336" s="129"/>
      <c r="K336" s="129"/>
      <c r="L336" s="129">
        <f t="shared" si="59"/>
        <v>0</v>
      </c>
      <c r="M336" s="129" t="str">
        <f t="shared" si="52"/>
        <v>0h0</v>
      </c>
      <c r="N336" s="138" t="s">
        <v>84</v>
      </c>
      <c r="O336" s="129"/>
      <c r="P336" s="129"/>
      <c r="Q336" s="129">
        <f t="shared" si="60"/>
        <v>0</v>
      </c>
      <c r="R336" s="129" t="str">
        <f t="shared" si="53"/>
        <v>0h0</v>
      </c>
      <c r="S336" s="138">
        <f t="shared" si="56"/>
        <v>0</v>
      </c>
      <c r="T336" s="129" t="str">
        <f t="shared" si="54"/>
        <v>0h0</v>
      </c>
    </row>
    <row r="337" spans="2:20" x14ac:dyDescent="0.3">
      <c r="B337" s="128">
        <f t="shared" si="57"/>
        <v>46527</v>
      </c>
      <c r="C337" s="129" t="str">
        <f t="shared" si="51"/>
        <v>Thursday</v>
      </c>
      <c r="D337" s="138" t="s">
        <v>84</v>
      </c>
      <c r="E337" s="129"/>
      <c r="F337" s="129"/>
      <c r="G337" s="129">
        <f t="shared" si="58"/>
        <v>0</v>
      </c>
      <c r="H337" s="129" t="str">
        <f t="shared" si="55"/>
        <v>0h0</v>
      </c>
      <c r="I337" s="138" t="s">
        <v>84</v>
      </c>
      <c r="J337" s="129"/>
      <c r="K337" s="129"/>
      <c r="L337" s="129">
        <f t="shared" si="59"/>
        <v>0</v>
      </c>
      <c r="M337" s="129" t="str">
        <f t="shared" si="52"/>
        <v>0h0</v>
      </c>
      <c r="N337" s="138" t="s">
        <v>84</v>
      </c>
      <c r="O337" s="129"/>
      <c r="P337" s="129"/>
      <c r="Q337" s="129">
        <f t="shared" si="60"/>
        <v>0</v>
      </c>
      <c r="R337" s="129" t="str">
        <f t="shared" si="53"/>
        <v>0h0</v>
      </c>
      <c r="S337" s="138">
        <f t="shared" si="56"/>
        <v>0</v>
      </c>
      <c r="T337" s="129" t="str">
        <f t="shared" si="54"/>
        <v>0h0</v>
      </c>
    </row>
    <row r="338" spans="2:20" x14ac:dyDescent="0.3">
      <c r="B338" s="128">
        <f t="shared" si="57"/>
        <v>46528</v>
      </c>
      <c r="C338" s="129" t="str">
        <f t="shared" si="51"/>
        <v>Friday</v>
      </c>
      <c r="D338" s="138" t="s">
        <v>84</v>
      </c>
      <c r="E338" s="129"/>
      <c r="F338" s="129"/>
      <c r="G338" s="129">
        <f t="shared" si="58"/>
        <v>0</v>
      </c>
      <c r="H338" s="129" t="str">
        <f t="shared" si="55"/>
        <v>0h0</v>
      </c>
      <c r="I338" s="138" t="s">
        <v>84</v>
      </c>
      <c r="J338" s="129"/>
      <c r="K338" s="129"/>
      <c r="L338" s="129">
        <f t="shared" si="59"/>
        <v>0</v>
      </c>
      <c r="M338" s="129" t="str">
        <f t="shared" si="52"/>
        <v>0h0</v>
      </c>
      <c r="N338" s="138" t="s">
        <v>84</v>
      </c>
      <c r="O338" s="129"/>
      <c r="P338" s="129"/>
      <c r="Q338" s="129">
        <f t="shared" si="60"/>
        <v>0</v>
      </c>
      <c r="R338" s="129" t="str">
        <f t="shared" si="53"/>
        <v>0h0</v>
      </c>
      <c r="S338" s="138">
        <f t="shared" si="56"/>
        <v>0</v>
      </c>
      <c r="T338" s="129" t="str">
        <f t="shared" si="54"/>
        <v>0h0</v>
      </c>
    </row>
    <row r="339" spans="2:20" x14ac:dyDescent="0.3">
      <c r="B339" s="128">
        <f t="shared" si="57"/>
        <v>46529</v>
      </c>
      <c r="C339" s="129" t="str">
        <f t="shared" si="51"/>
        <v>Saturday</v>
      </c>
      <c r="D339" s="138" t="s">
        <v>84</v>
      </c>
      <c r="E339" s="129"/>
      <c r="F339" s="129"/>
      <c r="G339" s="129">
        <f t="shared" si="58"/>
        <v>0</v>
      </c>
      <c r="H339" s="129" t="str">
        <f t="shared" si="55"/>
        <v>0h0</v>
      </c>
      <c r="I339" s="138" t="s">
        <v>84</v>
      </c>
      <c r="J339" s="129"/>
      <c r="K339" s="129"/>
      <c r="L339" s="129">
        <f t="shared" si="59"/>
        <v>0</v>
      </c>
      <c r="M339" s="129" t="str">
        <f t="shared" si="52"/>
        <v>0h0</v>
      </c>
      <c r="N339" s="138" t="s">
        <v>84</v>
      </c>
      <c r="O339" s="129"/>
      <c r="P339" s="129"/>
      <c r="Q339" s="129">
        <f t="shared" si="60"/>
        <v>0</v>
      </c>
      <c r="R339" s="129" t="str">
        <f t="shared" si="53"/>
        <v>0h0</v>
      </c>
      <c r="S339" s="138">
        <f t="shared" si="56"/>
        <v>0</v>
      </c>
      <c r="T339" s="129" t="str">
        <f t="shared" si="54"/>
        <v>0h0</v>
      </c>
    </row>
    <row r="340" spans="2:20" x14ac:dyDescent="0.3">
      <c r="B340" s="128">
        <f t="shared" si="57"/>
        <v>46530</v>
      </c>
      <c r="C340" s="129" t="str">
        <f t="shared" si="51"/>
        <v>Sunday</v>
      </c>
      <c r="D340" s="138" t="s">
        <v>84</v>
      </c>
      <c r="E340" s="129"/>
      <c r="F340" s="129"/>
      <c r="G340" s="129">
        <f t="shared" si="58"/>
        <v>0</v>
      </c>
      <c r="H340" s="129" t="str">
        <f t="shared" si="55"/>
        <v>0h0</v>
      </c>
      <c r="I340" s="138" t="s">
        <v>84</v>
      </c>
      <c r="J340" s="129"/>
      <c r="K340" s="129"/>
      <c r="L340" s="129">
        <f t="shared" si="59"/>
        <v>0</v>
      </c>
      <c r="M340" s="129" t="str">
        <f t="shared" si="52"/>
        <v>0h0</v>
      </c>
      <c r="N340" s="138" t="s">
        <v>84</v>
      </c>
      <c r="O340" s="129"/>
      <c r="P340" s="129"/>
      <c r="Q340" s="129">
        <f t="shared" si="60"/>
        <v>0</v>
      </c>
      <c r="R340" s="129" t="str">
        <f t="shared" si="53"/>
        <v>0h0</v>
      </c>
      <c r="S340" s="138">
        <f t="shared" si="56"/>
        <v>0</v>
      </c>
      <c r="T340" s="129" t="str">
        <f t="shared" si="54"/>
        <v>0h0</v>
      </c>
    </row>
    <row r="341" spans="2:20" x14ac:dyDescent="0.3">
      <c r="B341" s="128">
        <f t="shared" si="57"/>
        <v>46531</v>
      </c>
      <c r="C341" s="129" t="str">
        <f t="shared" si="51"/>
        <v>Monday</v>
      </c>
      <c r="D341" s="138" t="s">
        <v>84</v>
      </c>
      <c r="E341" s="129"/>
      <c r="F341" s="129"/>
      <c r="G341" s="129">
        <f t="shared" si="58"/>
        <v>0</v>
      </c>
      <c r="H341" s="129" t="str">
        <f t="shared" si="55"/>
        <v>0h0</v>
      </c>
      <c r="I341" s="138" t="s">
        <v>84</v>
      </c>
      <c r="J341" s="129"/>
      <c r="K341" s="129"/>
      <c r="L341" s="129">
        <f t="shared" si="59"/>
        <v>0</v>
      </c>
      <c r="M341" s="129" t="str">
        <f t="shared" si="52"/>
        <v>0h0</v>
      </c>
      <c r="N341" s="138" t="s">
        <v>84</v>
      </c>
      <c r="O341" s="129"/>
      <c r="P341" s="129"/>
      <c r="Q341" s="129">
        <f t="shared" si="60"/>
        <v>0</v>
      </c>
      <c r="R341" s="129" t="str">
        <f t="shared" si="53"/>
        <v>0h0</v>
      </c>
      <c r="S341" s="138">
        <f t="shared" si="56"/>
        <v>0</v>
      </c>
      <c r="T341" s="129" t="str">
        <f t="shared" si="54"/>
        <v>0h0</v>
      </c>
    </row>
    <row r="342" spans="2:20" x14ac:dyDescent="0.3">
      <c r="B342" s="128">
        <f t="shared" si="57"/>
        <v>46532</v>
      </c>
      <c r="C342" s="129" t="str">
        <f t="shared" si="51"/>
        <v>Tuesday</v>
      </c>
      <c r="D342" s="138" t="s">
        <v>84</v>
      </c>
      <c r="E342" s="129"/>
      <c r="F342" s="129"/>
      <c r="G342" s="129">
        <f t="shared" si="58"/>
        <v>0</v>
      </c>
      <c r="H342" s="129" t="str">
        <f t="shared" si="55"/>
        <v>0h0</v>
      </c>
      <c r="I342" s="138" t="s">
        <v>84</v>
      </c>
      <c r="J342" s="129"/>
      <c r="K342" s="129"/>
      <c r="L342" s="129">
        <f t="shared" si="59"/>
        <v>0</v>
      </c>
      <c r="M342" s="129" t="str">
        <f t="shared" si="52"/>
        <v>0h0</v>
      </c>
      <c r="N342" s="138" t="s">
        <v>84</v>
      </c>
      <c r="O342" s="129"/>
      <c r="P342" s="129"/>
      <c r="Q342" s="129">
        <f t="shared" si="60"/>
        <v>0</v>
      </c>
      <c r="R342" s="129" t="str">
        <f t="shared" si="53"/>
        <v>0h0</v>
      </c>
      <c r="S342" s="138">
        <f t="shared" si="56"/>
        <v>0</v>
      </c>
      <c r="T342" s="129" t="str">
        <f t="shared" si="54"/>
        <v>0h0</v>
      </c>
    </row>
    <row r="343" spans="2:20" x14ac:dyDescent="0.3">
      <c r="B343" s="128">
        <f t="shared" si="57"/>
        <v>46533</v>
      </c>
      <c r="C343" s="129" t="str">
        <f t="shared" si="51"/>
        <v>Wednesday</v>
      </c>
      <c r="D343" s="138" t="s">
        <v>84</v>
      </c>
      <c r="E343" s="129"/>
      <c r="F343" s="129"/>
      <c r="G343" s="129">
        <f t="shared" si="58"/>
        <v>0</v>
      </c>
      <c r="H343" s="129" t="str">
        <f t="shared" si="55"/>
        <v>0h0</v>
      </c>
      <c r="I343" s="138" t="s">
        <v>84</v>
      </c>
      <c r="J343" s="129"/>
      <c r="K343" s="129"/>
      <c r="L343" s="129">
        <f t="shared" si="59"/>
        <v>0</v>
      </c>
      <c r="M343" s="129" t="str">
        <f t="shared" si="52"/>
        <v>0h0</v>
      </c>
      <c r="N343" s="138" t="s">
        <v>84</v>
      </c>
      <c r="O343" s="129"/>
      <c r="P343" s="129"/>
      <c r="Q343" s="129">
        <f t="shared" si="60"/>
        <v>0</v>
      </c>
      <c r="R343" s="129" t="str">
        <f t="shared" si="53"/>
        <v>0h0</v>
      </c>
      <c r="S343" s="138">
        <f t="shared" si="56"/>
        <v>0</v>
      </c>
      <c r="T343" s="129" t="str">
        <f t="shared" si="54"/>
        <v>0h0</v>
      </c>
    </row>
    <row r="344" spans="2:20" x14ac:dyDescent="0.3">
      <c r="B344" s="128">
        <f t="shared" si="57"/>
        <v>46534</v>
      </c>
      <c r="C344" s="129" t="str">
        <f t="shared" si="51"/>
        <v>Thursday</v>
      </c>
      <c r="D344" s="138" t="s">
        <v>84</v>
      </c>
      <c r="E344" s="129"/>
      <c r="F344" s="129"/>
      <c r="G344" s="129">
        <f t="shared" si="58"/>
        <v>0</v>
      </c>
      <c r="H344" s="129" t="str">
        <f t="shared" si="55"/>
        <v>0h0</v>
      </c>
      <c r="I344" s="138" t="s">
        <v>84</v>
      </c>
      <c r="J344" s="129"/>
      <c r="K344" s="129"/>
      <c r="L344" s="129">
        <f t="shared" si="59"/>
        <v>0</v>
      </c>
      <c r="M344" s="129" t="str">
        <f t="shared" si="52"/>
        <v>0h0</v>
      </c>
      <c r="N344" s="138" t="s">
        <v>84</v>
      </c>
      <c r="O344" s="129"/>
      <c r="P344" s="129"/>
      <c r="Q344" s="129">
        <f t="shared" si="60"/>
        <v>0</v>
      </c>
      <c r="R344" s="129" t="str">
        <f t="shared" si="53"/>
        <v>0h0</v>
      </c>
      <c r="S344" s="138">
        <f t="shared" si="56"/>
        <v>0</v>
      </c>
      <c r="T344" s="129" t="str">
        <f t="shared" si="54"/>
        <v>0h0</v>
      </c>
    </row>
    <row r="345" spans="2:20" x14ac:dyDescent="0.3">
      <c r="B345" s="128">
        <f t="shared" si="57"/>
        <v>46535</v>
      </c>
      <c r="C345" s="129" t="str">
        <f t="shared" si="51"/>
        <v>Friday</v>
      </c>
      <c r="D345" s="138" t="s">
        <v>84</v>
      </c>
      <c r="E345" s="129"/>
      <c r="F345" s="129"/>
      <c r="G345" s="129">
        <f t="shared" si="58"/>
        <v>0</v>
      </c>
      <c r="H345" s="129" t="str">
        <f t="shared" si="55"/>
        <v>0h0</v>
      </c>
      <c r="I345" s="138" t="s">
        <v>84</v>
      </c>
      <c r="J345" s="129"/>
      <c r="K345" s="129"/>
      <c r="L345" s="129">
        <f t="shared" si="59"/>
        <v>0</v>
      </c>
      <c r="M345" s="129" t="str">
        <f t="shared" si="52"/>
        <v>0h0</v>
      </c>
      <c r="N345" s="138" t="s">
        <v>84</v>
      </c>
      <c r="O345" s="129"/>
      <c r="P345" s="129"/>
      <c r="Q345" s="129">
        <f t="shared" si="60"/>
        <v>0</v>
      </c>
      <c r="R345" s="129" t="str">
        <f t="shared" si="53"/>
        <v>0h0</v>
      </c>
      <c r="S345" s="138">
        <f t="shared" si="56"/>
        <v>0</v>
      </c>
      <c r="T345" s="129" t="str">
        <f t="shared" si="54"/>
        <v>0h0</v>
      </c>
    </row>
    <row r="346" spans="2:20" x14ac:dyDescent="0.3">
      <c r="B346" s="128">
        <f t="shared" si="57"/>
        <v>46536</v>
      </c>
      <c r="C346" s="129" t="str">
        <f t="shared" si="51"/>
        <v>Saturday</v>
      </c>
      <c r="D346" s="138" t="s">
        <v>84</v>
      </c>
      <c r="E346" s="129"/>
      <c r="F346" s="129"/>
      <c r="G346" s="129">
        <f t="shared" si="58"/>
        <v>0</v>
      </c>
      <c r="H346" s="129" t="str">
        <f t="shared" si="55"/>
        <v>0h0</v>
      </c>
      <c r="I346" s="138" t="s">
        <v>84</v>
      </c>
      <c r="J346" s="129"/>
      <c r="K346" s="129"/>
      <c r="L346" s="129">
        <f t="shared" si="59"/>
        <v>0</v>
      </c>
      <c r="M346" s="129" t="str">
        <f t="shared" si="52"/>
        <v>0h0</v>
      </c>
      <c r="N346" s="138" t="s">
        <v>84</v>
      </c>
      <c r="O346" s="129"/>
      <c r="P346" s="129"/>
      <c r="Q346" s="129">
        <f t="shared" si="60"/>
        <v>0</v>
      </c>
      <c r="R346" s="129" t="str">
        <f t="shared" si="53"/>
        <v>0h0</v>
      </c>
      <c r="S346" s="138">
        <f t="shared" si="56"/>
        <v>0</v>
      </c>
      <c r="T346" s="129" t="str">
        <f t="shared" si="54"/>
        <v>0h0</v>
      </c>
    </row>
    <row r="347" spans="2:20" x14ac:dyDescent="0.3">
      <c r="B347" s="128">
        <f t="shared" si="57"/>
        <v>46537</v>
      </c>
      <c r="C347" s="129" t="str">
        <f t="shared" si="51"/>
        <v>Sunday</v>
      </c>
      <c r="D347" s="138" t="s">
        <v>84</v>
      </c>
      <c r="E347" s="129"/>
      <c r="F347" s="129"/>
      <c r="G347" s="129">
        <f t="shared" si="58"/>
        <v>0</v>
      </c>
      <c r="H347" s="129" t="str">
        <f t="shared" si="55"/>
        <v>0h0</v>
      </c>
      <c r="I347" s="138" t="s">
        <v>84</v>
      </c>
      <c r="J347" s="129"/>
      <c r="K347" s="129"/>
      <c r="L347" s="129">
        <f t="shared" si="59"/>
        <v>0</v>
      </c>
      <c r="M347" s="129" t="str">
        <f t="shared" si="52"/>
        <v>0h0</v>
      </c>
      <c r="N347" s="138" t="s">
        <v>84</v>
      </c>
      <c r="O347" s="129"/>
      <c r="P347" s="129"/>
      <c r="Q347" s="129">
        <f t="shared" si="60"/>
        <v>0</v>
      </c>
      <c r="R347" s="129" t="str">
        <f t="shared" si="53"/>
        <v>0h0</v>
      </c>
      <c r="S347" s="138">
        <f t="shared" si="56"/>
        <v>0</v>
      </c>
      <c r="T347" s="129" t="str">
        <f t="shared" si="54"/>
        <v>0h0</v>
      </c>
    </row>
    <row r="348" spans="2:20" x14ac:dyDescent="0.3">
      <c r="B348" s="128">
        <f t="shared" si="57"/>
        <v>46538</v>
      </c>
      <c r="C348" s="129" t="str">
        <f t="shared" si="51"/>
        <v>Monday</v>
      </c>
      <c r="D348" s="138" t="s">
        <v>84</v>
      </c>
      <c r="E348" s="129"/>
      <c r="F348" s="129"/>
      <c r="G348" s="129">
        <f t="shared" si="58"/>
        <v>0</v>
      </c>
      <c r="H348" s="129" t="str">
        <f t="shared" si="55"/>
        <v>0h0</v>
      </c>
      <c r="I348" s="138" t="s">
        <v>84</v>
      </c>
      <c r="J348" s="129"/>
      <c r="K348" s="129"/>
      <c r="L348" s="129">
        <f t="shared" si="59"/>
        <v>0</v>
      </c>
      <c r="M348" s="129" t="str">
        <f t="shared" si="52"/>
        <v>0h0</v>
      </c>
      <c r="N348" s="138" t="s">
        <v>84</v>
      </c>
      <c r="O348" s="129"/>
      <c r="P348" s="129"/>
      <c r="Q348" s="129">
        <f t="shared" si="60"/>
        <v>0</v>
      </c>
      <c r="R348" s="129" t="str">
        <f t="shared" si="53"/>
        <v>0h0</v>
      </c>
      <c r="S348" s="138">
        <f t="shared" si="56"/>
        <v>0</v>
      </c>
      <c r="T348" s="129" t="str">
        <f t="shared" si="54"/>
        <v>0h0</v>
      </c>
    </row>
    <row r="349" spans="2:20" x14ac:dyDescent="0.3">
      <c r="B349" s="128">
        <f t="shared" si="57"/>
        <v>46539</v>
      </c>
      <c r="C349" s="129" t="str">
        <f t="shared" si="51"/>
        <v>Tuesday</v>
      </c>
      <c r="D349" s="138" t="s">
        <v>84</v>
      </c>
      <c r="E349" s="129"/>
      <c r="F349" s="129"/>
      <c r="G349" s="129">
        <f t="shared" si="58"/>
        <v>0</v>
      </c>
      <c r="H349" s="129" t="str">
        <f t="shared" si="55"/>
        <v>0h0</v>
      </c>
      <c r="I349" s="138" t="s">
        <v>84</v>
      </c>
      <c r="J349" s="129"/>
      <c r="K349" s="129"/>
      <c r="L349" s="129">
        <f t="shared" si="59"/>
        <v>0</v>
      </c>
      <c r="M349" s="129" t="str">
        <f t="shared" si="52"/>
        <v>0h0</v>
      </c>
      <c r="N349" s="138" t="s">
        <v>84</v>
      </c>
      <c r="O349" s="129"/>
      <c r="P349" s="129"/>
      <c r="Q349" s="129">
        <f t="shared" si="60"/>
        <v>0</v>
      </c>
      <c r="R349" s="129" t="str">
        <f t="shared" si="53"/>
        <v>0h0</v>
      </c>
      <c r="S349" s="138">
        <f t="shared" si="56"/>
        <v>0</v>
      </c>
      <c r="T349" s="129" t="str">
        <f t="shared" si="54"/>
        <v>0h0</v>
      </c>
    </row>
    <row r="350" spans="2:20" x14ac:dyDescent="0.3">
      <c r="B350" s="128">
        <f t="shared" si="57"/>
        <v>46540</v>
      </c>
      <c r="C350" s="129" t="str">
        <f t="shared" si="51"/>
        <v>Wednesday</v>
      </c>
      <c r="D350" s="138" t="s">
        <v>84</v>
      </c>
      <c r="E350" s="129"/>
      <c r="F350" s="129"/>
      <c r="G350" s="129">
        <f t="shared" si="58"/>
        <v>0</v>
      </c>
      <c r="H350" s="129" t="str">
        <f t="shared" si="55"/>
        <v>0h0</v>
      </c>
      <c r="I350" s="138" t="s">
        <v>84</v>
      </c>
      <c r="J350" s="129"/>
      <c r="K350" s="129"/>
      <c r="L350" s="129">
        <f t="shared" si="59"/>
        <v>0</v>
      </c>
      <c r="M350" s="129" t="str">
        <f t="shared" si="52"/>
        <v>0h0</v>
      </c>
      <c r="N350" s="138" t="s">
        <v>84</v>
      </c>
      <c r="O350" s="129"/>
      <c r="P350" s="129"/>
      <c r="Q350" s="129">
        <f t="shared" si="60"/>
        <v>0</v>
      </c>
      <c r="R350" s="129" t="str">
        <f t="shared" si="53"/>
        <v>0h0</v>
      </c>
      <c r="S350" s="138">
        <f t="shared" si="56"/>
        <v>0</v>
      </c>
      <c r="T350" s="129" t="str">
        <f t="shared" si="54"/>
        <v>0h0</v>
      </c>
    </row>
    <row r="351" spans="2:20" x14ac:dyDescent="0.3">
      <c r="B351" s="128">
        <f t="shared" si="57"/>
        <v>46541</v>
      </c>
      <c r="C351" s="129" t="str">
        <f t="shared" si="51"/>
        <v>Thursday</v>
      </c>
      <c r="D351" s="138" t="s">
        <v>84</v>
      </c>
      <c r="E351" s="129"/>
      <c r="F351" s="129"/>
      <c r="G351" s="129">
        <f t="shared" si="58"/>
        <v>0</v>
      </c>
      <c r="H351" s="129" t="str">
        <f t="shared" si="55"/>
        <v>0h0</v>
      </c>
      <c r="I351" s="138" t="s">
        <v>84</v>
      </c>
      <c r="J351" s="129"/>
      <c r="K351" s="129"/>
      <c r="L351" s="129">
        <f t="shared" si="59"/>
        <v>0</v>
      </c>
      <c r="M351" s="129" t="str">
        <f t="shared" si="52"/>
        <v>0h0</v>
      </c>
      <c r="N351" s="138" t="s">
        <v>84</v>
      </c>
      <c r="O351" s="129"/>
      <c r="P351" s="129"/>
      <c r="Q351" s="129">
        <f t="shared" si="60"/>
        <v>0</v>
      </c>
      <c r="R351" s="129" t="str">
        <f t="shared" si="53"/>
        <v>0h0</v>
      </c>
      <c r="S351" s="138">
        <f t="shared" si="56"/>
        <v>0</v>
      </c>
      <c r="T351" s="129" t="str">
        <f t="shared" si="54"/>
        <v>0h0</v>
      </c>
    </row>
    <row r="352" spans="2:20" x14ac:dyDescent="0.3">
      <c r="B352" s="128">
        <f t="shared" si="57"/>
        <v>46542</v>
      </c>
      <c r="C352" s="129" t="str">
        <f t="shared" si="51"/>
        <v>Friday</v>
      </c>
      <c r="D352" s="138" t="s">
        <v>84</v>
      </c>
      <c r="E352" s="129"/>
      <c r="F352" s="129"/>
      <c r="G352" s="129">
        <f t="shared" si="58"/>
        <v>0</v>
      </c>
      <c r="H352" s="129" t="str">
        <f t="shared" si="55"/>
        <v>0h0</v>
      </c>
      <c r="I352" s="138" t="s">
        <v>84</v>
      </c>
      <c r="J352" s="129"/>
      <c r="K352" s="129"/>
      <c r="L352" s="129">
        <f t="shared" si="59"/>
        <v>0</v>
      </c>
      <c r="M352" s="129" t="str">
        <f t="shared" si="52"/>
        <v>0h0</v>
      </c>
      <c r="N352" s="138" t="s">
        <v>84</v>
      </c>
      <c r="O352" s="129"/>
      <c r="P352" s="129"/>
      <c r="Q352" s="129">
        <f t="shared" si="60"/>
        <v>0</v>
      </c>
      <c r="R352" s="129" t="str">
        <f t="shared" si="53"/>
        <v>0h0</v>
      </c>
      <c r="S352" s="138">
        <f t="shared" si="56"/>
        <v>0</v>
      </c>
      <c r="T352" s="129" t="str">
        <f t="shared" si="54"/>
        <v>0h0</v>
      </c>
    </row>
    <row r="353" spans="2:20" x14ac:dyDescent="0.3">
      <c r="B353" s="128">
        <f t="shared" si="57"/>
        <v>46543</v>
      </c>
      <c r="C353" s="129" t="str">
        <f t="shared" si="51"/>
        <v>Saturday</v>
      </c>
      <c r="D353" s="138" t="s">
        <v>84</v>
      </c>
      <c r="E353" s="129"/>
      <c r="F353" s="129"/>
      <c r="G353" s="129">
        <f t="shared" si="58"/>
        <v>0</v>
      </c>
      <c r="H353" s="129" t="str">
        <f t="shared" si="55"/>
        <v>0h0</v>
      </c>
      <c r="I353" s="138" t="s">
        <v>84</v>
      </c>
      <c r="J353" s="129"/>
      <c r="K353" s="129"/>
      <c r="L353" s="129">
        <f t="shared" si="59"/>
        <v>0</v>
      </c>
      <c r="M353" s="129" t="str">
        <f t="shared" si="52"/>
        <v>0h0</v>
      </c>
      <c r="N353" s="138" t="s">
        <v>84</v>
      </c>
      <c r="O353" s="129"/>
      <c r="P353" s="129"/>
      <c r="Q353" s="129">
        <f t="shared" si="60"/>
        <v>0</v>
      </c>
      <c r="R353" s="129" t="str">
        <f t="shared" si="53"/>
        <v>0h0</v>
      </c>
      <c r="S353" s="138">
        <f t="shared" si="56"/>
        <v>0</v>
      </c>
      <c r="T353" s="129" t="str">
        <f t="shared" si="54"/>
        <v>0h0</v>
      </c>
    </row>
    <row r="354" spans="2:20" x14ac:dyDescent="0.3">
      <c r="B354" s="128">
        <f t="shared" si="57"/>
        <v>46544</v>
      </c>
      <c r="C354" s="129" t="str">
        <f t="shared" si="51"/>
        <v>Sunday</v>
      </c>
      <c r="D354" s="138" t="s">
        <v>84</v>
      </c>
      <c r="E354" s="129"/>
      <c r="F354" s="129"/>
      <c r="G354" s="129">
        <f t="shared" si="58"/>
        <v>0</v>
      </c>
      <c r="H354" s="129" t="str">
        <f t="shared" si="55"/>
        <v>0h0</v>
      </c>
      <c r="I354" s="138" t="s">
        <v>84</v>
      </c>
      <c r="J354" s="129"/>
      <c r="K354" s="129"/>
      <c r="L354" s="129">
        <f t="shared" si="59"/>
        <v>0</v>
      </c>
      <c r="M354" s="129" t="str">
        <f t="shared" si="52"/>
        <v>0h0</v>
      </c>
      <c r="N354" s="138" t="s">
        <v>84</v>
      </c>
      <c r="O354" s="129"/>
      <c r="P354" s="129"/>
      <c r="Q354" s="129">
        <f t="shared" si="60"/>
        <v>0</v>
      </c>
      <c r="R354" s="129" t="str">
        <f t="shared" si="53"/>
        <v>0h0</v>
      </c>
      <c r="S354" s="138">
        <f t="shared" si="56"/>
        <v>0</v>
      </c>
      <c r="T354" s="129" t="str">
        <f t="shared" si="54"/>
        <v>0h0</v>
      </c>
    </row>
    <row r="355" spans="2:20" x14ac:dyDescent="0.3">
      <c r="B355" s="128">
        <f t="shared" si="57"/>
        <v>46545</v>
      </c>
      <c r="C355" s="129" t="str">
        <f t="shared" si="51"/>
        <v>Monday</v>
      </c>
      <c r="D355" s="138" t="s">
        <v>84</v>
      </c>
      <c r="E355" s="129"/>
      <c r="F355" s="129"/>
      <c r="G355" s="129">
        <f t="shared" si="58"/>
        <v>0</v>
      </c>
      <c r="H355" s="129" t="str">
        <f t="shared" si="55"/>
        <v>0h0</v>
      </c>
      <c r="I355" s="138" t="s">
        <v>84</v>
      </c>
      <c r="J355" s="129"/>
      <c r="K355" s="129"/>
      <c r="L355" s="129">
        <f t="shared" si="59"/>
        <v>0</v>
      </c>
      <c r="M355" s="129" t="str">
        <f t="shared" si="52"/>
        <v>0h0</v>
      </c>
      <c r="N355" s="138" t="s">
        <v>84</v>
      </c>
      <c r="O355" s="129"/>
      <c r="P355" s="129"/>
      <c r="Q355" s="129">
        <f t="shared" si="60"/>
        <v>0</v>
      </c>
      <c r="R355" s="129" t="str">
        <f t="shared" si="53"/>
        <v>0h0</v>
      </c>
      <c r="S355" s="138">
        <f t="shared" si="56"/>
        <v>0</v>
      </c>
      <c r="T355" s="129" t="str">
        <f t="shared" si="54"/>
        <v>0h0</v>
      </c>
    </row>
    <row r="356" spans="2:20" x14ac:dyDescent="0.3">
      <c r="B356" s="128">
        <f t="shared" si="57"/>
        <v>46546</v>
      </c>
      <c r="C356" s="129" t="str">
        <f t="shared" si="51"/>
        <v>Tuesday</v>
      </c>
      <c r="D356" s="138" t="s">
        <v>84</v>
      </c>
      <c r="E356" s="129"/>
      <c r="F356" s="129"/>
      <c r="G356" s="129">
        <f t="shared" si="58"/>
        <v>0</v>
      </c>
      <c r="H356" s="129" t="str">
        <f t="shared" si="55"/>
        <v>0h0</v>
      </c>
      <c r="I356" s="138" t="s">
        <v>84</v>
      </c>
      <c r="J356" s="129"/>
      <c r="K356" s="129"/>
      <c r="L356" s="129">
        <f t="shared" si="59"/>
        <v>0</v>
      </c>
      <c r="M356" s="129" t="str">
        <f t="shared" si="52"/>
        <v>0h0</v>
      </c>
      <c r="N356" s="138" t="s">
        <v>84</v>
      </c>
      <c r="O356" s="129"/>
      <c r="P356" s="129"/>
      <c r="Q356" s="129">
        <f t="shared" si="60"/>
        <v>0</v>
      </c>
      <c r="R356" s="129" t="str">
        <f t="shared" si="53"/>
        <v>0h0</v>
      </c>
      <c r="S356" s="138">
        <f t="shared" si="56"/>
        <v>0</v>
      </c>
      <c r="T356" s="129" t="str">
        <f t="shared" si="54"/>
        <v>0h0</v>
      </c>
    </row>
    <row r="357" spans="2:20" x14ac:dyDescent="0.3">
      <c r="B357" s="128">
        <f t="shared" si="57"/>
        <v>46547</v>
      </c>
      <c r="C357" s="129" t="str">
        <f t="shared" si="51"/>
        <v>Wednesday</v>
      </c>
      <c r="D357" s="138" t="s">
        <v>84</v>
      </c>
      <c r="E357" s="129"/>
      <c r="F357" s="129"/>
      <c r="G357" s="129">
        <f t="shared" si="58"/>
        <v>0</v>
      </c>
      <c r="H357" s="129" t="str">
        <f t="shared" si="55"/>
        <v>0h0</v>
      </c>
      <c r="I357" s="138" t="s">
        <v>84</v>
      </c>
      <c r="J357" s="129"/>
      <c r="K357" s="129"/>
      <c r="L357" s="129">
        <f t="shared" si="59"/>
        <v>0</v>
      </c>
      <c r="M357" s="129" t="str">
        <f t="shared" si="52"/>
        <v>0h0</v>
      </c>
      <c r="N357" s="138" t="s">
        <v>84</v>
      </c>
      <c r="O357" s="129"/>
      <c r="P357" s="129"/>
      <c r="Q357" s="129">
        <f t="shared" si="60"/>
        <v>0</v>
      </c>
      <c r="R357" s="129" t="str">
        <f t="shared" si="53"/>
        <v>0h0</v>
      </c>
      <c r="S357" s="138">
        <f t="shared" si="56"/>
        <v>0</v>
      </c>
      <c r="T357" s="129" t="str">
        <f t="shared" si="54"/>
        <v>0h0</v>
      </c>
    </row>
    <row r="358" spans="2:20" x14ac:dyDescent="0.3">
      <c r="B358" s="128">
        <f t="shared" si="57"/>
        <v>46548</v>
      </c>
      <c r="C358" s="129" t="str">
        <f t="shared" si="51"/>
        <v>Thursday</v>
      </c>
      <c r="D358" s="138" t="s">
        <v>84</v>
      </c>
      <c r="E358" s="129"/>
      <c r="F358" s="129"/>
      <c r="G358" s="129">
        <f t="shared" si="58"/>
        <v>0</v>
      </c>
      <c r="H358" s="129" t="str">
        <f t="shared" si="55"/>
        <v>0h0</v>
      </c>
      <c r="I358" s="138" t="s">
        <v>84</v>
      </c>
      <c r="J358" s="129"/>
      <c r="K358" s="129"/>
      <c r="L358" s="129">
        <f t="shared" si="59"/>
        <v>0</v>
      </c>
      <c r="M358" s="129" t="str">
        <f t="shared" si="52"/>
        <v>0h0</v>
      </c>
      <c r="N358" s="138" t="s">
        <v>84</v>
      </c>
      <c r="O358" s="129"/>
      <c r="P358" s="129"/>
      <c r="Q358" s="129">
        <f t="shared" si="60"/>
        <v>0</v>
      </c>
      <c r="R358" s="129" t="str">
        <f t="shared" si="53"/>
        <v>0h0</v>
      </c>
      <c r="S358" s="138">
        <f t="shared" si="56"/>
        <v>0</v>
      </c>
      <c r="T358" s="129" t="str">
        <f t="shared" si="54"/>
        <v>0h0</v>
      </c>
    </row>
    <row r="359" spans="2:20" x14ac:dyDescent="0.3">
      <c r="B359" s="128">
        <f t="shared" si="57"/>
        <v>46549</v>
      </c>
      <c r="C359" s="129" t="str">
        <f t="shared" si="51"/>
        <v>Friday</v>
      </c>
      <c r="D359" s="138" t="s">
        <v>84</v>
      </c>
      <c r="E359" s="129"/>
      <c r="F359" s="129"/>
      <c r="G359" s="129">
        <f t="shared" si="58"/>
        <v>0</v>
      </c>
      <c r="H359" s="129" t="str">
        <f t="shared" si="55"/>
        <v>0h0</v>
      </c>
      <c r="I359" s="138" t="s">
        <v>84</v>
      </c>
      <c r="J359" s="129"/>
      <c r="K359" s="129"/>
      <c r="L359" s="129">
        <f t="shared" si="59"/>
        <v>0</v>
      </c>
      <c r="M359" s="129" t="str">
        <f t="shared" si="52"/>
        <v>0h0</v>
      </c>
      <c r="N359" s="138" t="s">
        <v>84</v>
      </c>
      <c r="O359" s="129"/>
      <c r="P359" s="129"/>
      <c r="Q359" s="129">
        <f t="shared" si="60"/>
        <v>0</v>
      </c>
      <c r="R359" s="129" t="str">
        <f t="shared" si="53"/>
        <v>0h0</v>
      </c>
      <c r="S359" s="138">
        <f t="shared" si="56"/>
        <v>0</v>
      </c>
      <c r="T359" s="129" t="str">
        <f t="shared" si="54"/>
        <v>0h0</v>
      </c>
    </row>
    <row r="360" spans="2:20" x14ac:dyDescent="0.3">
      <c r="B360" s="128">
        <f t="shared" si="57"/>
        <v>46550</v>
      </c>
      <c r="C360" s="129" t="str">
        <f t="shared" si="51"/>
        <v>Saturday</v>
      </c>
      <c r="D360" s="138" t="s">
        <v>84</v>
      </c>
      <c r="E360" s="129"/>
      <c r="F360" s="129"/>
      <c r="G360" s="129">
        <f t="shared" si="58"/>
        <v>0</v>
      </c>
      <c r="H360" s="129" t="str">
        <f t="shared" si="55"/>
        <v>0h0</v>
      </c>
      <c r="I360" s="138" t="s">
        <v>84</v>
      </c>
      <c r="J360" s="129"/>
      <c r="K360" s="129"/>
      <c r="L360" s="129">
        <f t="shared" si="59"/>
        <v>0</v>
      </c>
      <c r="M360" s="129" t="str">
        <f t="shared" si="52"/>
        <v>0h0</v>
      </c>
      <c r="N360" s="138" t="s">
        <v>84</v>
      </c>
      <c r="O360" s="129"/>
      <c r="P360" s="129"/>
      <c r="Q360" s="129">
        <f t="shared" si="60"/>
        <v>0</v>
      </c>
      <c r="R360" s="129" t="str">
        <f t="shared" si="53"/>
        <v>0h0</v>
      </c>
      <c r="S360" s="138">
        <f t="shared" si="56"/>
        <v>0</v>
      </c>
      <c r="T360" s="129" t="str">
        <f t="shared" si="54"/>
        <v>0h0</v>
      </c>
    </row>
    <row r="361" spans="2:20" x14ac:dyDescent="0.3">
      <c r="B361" s="128">
        <f t="shared" si="57"/>
        <v>46551</v>
      </c>
      <c r="C361" s="129" t="str">
        <f t="shared" si="51"/>
        <v>Sunday</v>
      </c>
      <c r="D361" s="138" t="s">
        <v>84</v>
      </c>
      <c r="E361" s="129"/>
      <c r="F361" s="129"/>
      <c r="G361" s="129">
        <f t="shared" si="58"/>
        <v>0</v>
      </c>
      <c r="H361" s="129" t="str">
        <f t="shared" si="55"/>
        <v>0h0</v>
      </c>
      <c r="I361" s="138" t="s">
        <v>84</v>
      </c>
      <c r="J361" s="129"/>
      <c r="K361" s="129"/>
      <c r="L361" s="129">
        <f t="shared" si="59"/>
        <v>0</v>
      </c>
      <c r="M361" s="129" t="str">
        <f t="shared" si="52"/>
        <v>0h0</v>
      </c>
      <c r="N361" s="138" t="s">
        <v>84</v>
      </c>
      <c r="O361" s="129"/>
      <c r="P361" s="129"/>
      <c r="Q361" s="129">
        <f t="shared" si="60"/>
        <v>0</v>
      </c>
      <c r="R361" s="129" t="str">
        <f t="shared" si="53"/>
        <v>0h0</v>
      </c>
      <c r="S361" s="138">
        <f t="shared" si="56"/>
        <v>0</v>
      </c>
      <c r="T361" s="129" t="str">
        <f t="shared" si="54"/>
        <v>0h0</v>
      </c>
    </row>
    <row r="362" spans="2:20" x14ac:dyDescent="0.3">
      <c r="B362" s="128">
        <f t="shared" si="57"/>
        <v>46552</v>
      </c>
      <c r="C362" s="129" t="str">
        <f t="shared" si="51"/>
        <v>Monday</v>
      </c>
      <c r="D362" s="138" t="s">
        <v>84</v>
      </c>
      <c r="E362" s="129"/>
      <c r="F362" s="129"/>
      <c r="G362" s="129">
        <f t="shared" si="58"/>
        <v>0</v>
      </c>
      <c r="H362" s="129" t="str">
        <f t="shared" si="55"/>
        <v>0h0</v>
      </c>
      <c r="I362" s="138" t="s">
        <v>84</v>
      </c>
      <c r="J362" s="129"/>
      <c r="K362" s="129"/>
      <c r="L362" s="129">
        <f t="shared" si="59"/>
        <v>0</v>
      </c>
      <c r="M362" s="129" t="str">
        <f t="shared" si="52"/>
        <v>0h0</v>
      </c>
      <c r="N362" s="138" t="s">
        <v>84</v>
      </c>
      <c r="O362" s="129"/>
      <c r="P362" s="129"/>
      <c r="Q362" s="129">
        <f t="shared" si="60"/>
        <v>0</v>
      </c>
      <c r="R362" s="129" t="str">
        <f t="shared" si="53"/>
        <v>0h0</v>
      </c>
      <c r="S362" s="138">
        <f t="shared" si="56"/>
        <v>0</v>
      </c>
      <c r="T362" s="129" t="str">
        <f t="shared" si="54"/>
        <v>0h0</v>
      </c>
    </row>
    <row r="363" spans="2:20" x14ac:dyDescent="0.3">
      <c r="B363" s="128">
        <f t="shared" si="57"/>
        <v>46553</v>
      </c>
      <c r="C363" s="129" t="str">
        <f t="shared" si="51"/>
        <v>Tuesday</v>
      </c>
      <c r="D363" s="138" t="s">
        <v>84</v>
      </c>
      <c r="E363" s="129"/>
      <c r="F363" s="129"/>
      <c r="G363" s="129">
        <f t="shared" si="58"/>
        <v>0</v>
      </c>
      <c r="H363" s="129" t="str">
        <f t="shared" si="55"/>
        <v>0h0</v>
      </c>
      <c r="I363" s="138" t="s">
        <v>84</v>
      </c>
      <c r="J363" s="129"/>
      <c r="K363" s="129"/>
      <c r="L363" s="129">
        <f t="shared" si="59"/>
        <v>0</v>
      </c>
      <c r="M363" s="129" t="str">
        <f t="shared" si="52"/>
        <v>0h0</v>
      </c>
      <c r="N363" s="138" t="s">
        <v>84</v>
      </c>
      <c r="O363" s="129"/>
      <c r="P363" s="129"/>
      <c r="Q363" s="129">
        <f t="shared" si="60"/>
        <v>0</v>
      </c>
      <c r="R363" s="129" t="str">
        <f t="shared" si="53"/>
        <v>0h0</v>
      </c>
      <c r="S363" s="138">
        <f t="shared" si="56"/>
        <v>0</v>
      </c>
      <c r="T363" s="129" t="str">
        <f t="shared" si="54"/>
        <v>0h0</v>
      </c>
    </row>
    <row r="364" spans="2:20" x14ac:dyDescent="0.3">
      <c r="B364" s="128">
        <f t="shared" si="57"/>
        <v>46554</v>
      </c>
      <c r="C364" s="129" t="str">
        <f t="shared" si="51"/>
        <v>Wednesday</v>
      </c>
      <c r="D364" s="138" t="s">
        <v>84</v>
      </c>
      <c r="E364" s="129"/>
      <c r="F364" s="129"/>
      <c r="G364" s="129">
        <f t="shared" si="58"/>
        <v>0</v>
      </c>
      <c r="H364" s="129" t="str">
        <f t="shared" si="55"/>
        <v>0h0</v>
      </c>
      <c r="I364" s="138" t="s">
        <v>84</v>
      </c>
      <c r="J364" s="129"/>
      <c r="K364" s="129"/>
      <c r="L364" s="129">
        <f t="shared" si="59"/>
        <v>0</v>
      </c>
      <c r="M364" s="129" t="str">
        <f t="shared" si="52"/>
        <v>0h0</v>
      </c>
      <c r="N364" s="138" t="s">
        <v>84</v>
      </c>
      <c r="O364" s="129"/>
      <c r="P364" s="129"/>
      <c r="Q364" s="129">
        <f t="shared" si="60"/>
        <v>0</v>
      </c>
      <c r="R364" s="129" t="str">
        <f t="shared" si="53"/>
        <v>0h0</v>
      </c>
      <c r="S364" s="138">
        <f t="shared" si="56"/>
        <v>0</v>
      </c>
      <c r="T364" s="129" t="str">
        <f t="shared" si="54"/>
        <v>0h0</v>
      </c>
    </row>
    <row r="365" spans="2:20" x14ac:dyDescent="0.3">
      <c r="B365" s="128">
        <f t="shared" si="57"/>
        <v>46555</v>
      </c>
      <c r="C365" s="129" t="str">
        <f t="shared" si="51"/>
        <v>Thursday</v>
      </c>
      <c r="D365" s="138" t="s">
        <v>84</v>
      </c>
      <c r="E365" s="129"/>
      <c r="F365" s="129"/>
      <c r="G365" s="129">
        <f t="shared" si="58"/>
        <v>0</v>
      </c>
      <c r="H365" s="129" t="str">
        <f t="shared" si="55"/>
        <v>0h0</v>
      </c>
      <c r="I365" s="138" t="s">
        <v>84</v>
      </c>
      <c r="J365" s="129"/>
      <c r="K365" s="129"/>
      <c r="L365" s="129">
        <f t="shared" si="59"/>
        <v>0</v>
      </c>
      <c r="M365" s="129" t="str">
        <f t="shared" si="52"/>
        <v>0h0</v>
      </c>
      <c r="N365" s="138" t="s">
        <v>84</v>
      </c>
      <c r="O365" s="129"/>
      <c r="P365" s="129"/>
      <c r="Q365" s="129">
        <f t="shared" si="60"/>
        <v>0</v>
      </c>
      <c r="R365" s="129" t="str">
        <f t="shared" si="53"/>
        <v>0h0</v>
      </c>
      <c r="S365" s="138">
        <f t="shared" si="56"/>
        <v>0</v>
      </c>
      <c r="T365" s="129" t="str">
        <f t="shared" si="54"/>
        <v>0h0</v>
      </c>
    </row>
    <row r="366" spans="2:20" x14ac:dyDescent="0.3">
      <c r="B366" s="128">
        <f t="shared" si="57"/>
        <v>46556</v>
      </c>
      <c r="C366" s="129" t="str">
        <f t="shared" si="51"/>
        <v>Friday</v>
      </c>
      <c r="D366" s="138" t="s">
        <v>84</v>
      </c>
      <c r="E366" s="129"/>
      <c r="F366" s="129"/>
      <c r="G366" s="129">
        <f t="shared" si="58"/>
        <v>0</v>
      </c>
      <c r="H366" s="129" t="str">
        <f t="shared" si="55"/>
        <v>0h0</v>
      </c>
      <c r="I366" s="138" t="s">
        <v>84</v>
      </c>
      <c r="J366" s="129"/>
      <c r="K366" s="129"/>
      <c r="L366" s="129">
        <f t="shared" si="59"/>
        <v>0</v>
      </c>
      <c r="M366" s="129" t="str">
        <f t="shared" si="52"/>
        <v>0h0</v>
      </c>
      <c r="N366" s="138" t="s">
        <v>84</v>
      </c>
      <c r="O366" s="129"/>
      <c r="P366" s="129"/>
      <c r="Q366" s="129">
        <f t="shared" si="60"/>
        <v>0</v>
      </c>
      <c r="R366" s="129" t="str">
        <f t="shared" si="53"/>
        <v>0h0</v>
      </c>
      <c r="S366" s="138">
        <f t="shared" si="56"/>
        <v>0</v>
      </c>
      <c r="T366" s="129" t="str">
        <f t="shared" si="54"/>
        <v>0h0</v>
      </c>
    </row>
    <row r="367" spans="2:20" x14ac:dyDescent="0.3">
      <c r="B367" s="128">
        <f t="shared" si="57"/>
        <v>46557</v>
      </c>
      <c r="C367" s="129" t="str">
        <f t="shared" si="51"/>
        <v>Saturday</v>
      </c>
      <c r="D367" s="138" t="s">
        <v>84</v>
      </c>
      <c r="E367" s="129"/>
      <c r="F367" s="129"/>
      <c r="G367" s="129">
        <f t="shared" si="58"/>
        <v>0</v>
      </c>
      <c r="H367" s="129" t="str">
        <f t="shared" si="55"/>
        <v>0h0</v>
      </c>
      <c r="I367" s="138" t="s">
        <v>84</v>
      </c>
      <c r="J367" s="129"/>
      <c r="K367" s="129"/>
      <c r="L367" s="129">
        <f t="shared" si="59"/>
        <v>0</v>
      </c>
      <c r="M367" s="129" t="str">
        <f t="shared" si="52"/>
        <v>0h0</v>
      </c>
      <c r="N367" s="138" t="s">
        <v>84</v>
      </c>
      <c r="O367" s="129"/>
      <c r="P367" s="129"/>
      <c r="Q367" s="129">
        <f t="shared" si="60"/>
        <v>0</v>
      </c>
      <c r="R367" s="129" t="str">
        <f t="shared" si="53"/>
        <v>0h0</v>
      </c>
      <c r="S367" s="138">
        <f t="shared" si="56"/>
        <v>0</v>
      </c>
      <c r="T367" s="129" t="str">
        <f t="shared" si="54"/>
        <v>0h0</v>
      </c>
    </row>
    <row r="368" spans="2:20" x14ac:dyDescent="0.3">
      <c r="B368" s="128">
        <f t="shared" si="57"/>
        <v>46558</v>
      </c>
      <c r="C368" s="129" t="str">
        <f t="shared" si="51"/>
        <v>Sunday</v>
      </c>
      <c r="D368" s="138" t="s">
        <v>84</v>
      </c>
      <c r="E368" s="129"/>
      <c r="F368" s="129"/>
      <c r="G368" s="129">
        <f t="shared" si="58"/>
        <v>0</v>
      </c>
      <c r="H368" s="129" t="str">
        <f t="shared" si="55"/>
        <v>0h0</v>
      </c>
      <c r="I368" s="138" t="s">
        <v>84</v>
      </c>
      <c r="J368" s="129"/>
      <c r="K368" s="129"/>
      <c r="L368" s="129">
        <f t="shared" si="59"/>
        <v>0</v>
      </c>
      <c r="M368" s="129" t="str">
        <f t="shared" si="52"/>
        <v>0h0</v>
      </c>
      <c r="N368" s="138" t="s">
        <v>84</v>
      </c>
      <c r="O368" s="129"/>
      <c r="P368" s="129"/>
      <c r="Q368" s="129">
        <f t="shared" si="60"/>
        <v>0</v>
      </c>
      <c r="R368" s="129" t="str">
        <f t="shared" si="53"/>
        <v>0h0</v>
      </c>
      <c r="S368" s="138">
        <f t="shared" si="56"/>
        <v>0</v>
      </c>
      <c r="T368" s="129" t="str">
        <f t="shared" si="54"/>
        <v>0h0</v>
      </c>
    </row>
    <row r="369" spans="2:20" x14ac:dyDescent="0.3">
      <c r="B369" s="128">
        <f t="shared" si="57"/>
        <v>46559</v>
      </c>
      <c r="C369" s="129" t="str">
        <f t="shared" si="51"/>
        <v>Monday</v>
      </c>
      <c r="D369" s="138" t="s">
        <v>84</v>
      </c>
      <c r="E369" s="129"/>
      <c r="F369" s="129"/>
      <c r="G369" s="129">
        <f t="shared" si="58"/>
        <v>0</v>
      </c>
      <c r="H369" s="129" t="str">
        <f t="shared" si="55"/>
        <v>0h0</v>
      </c>
      <c r="I369" s="138" t="s">
        <v>84</v>
      </c>
      <c r="J369" s="129"/>
      <c r="K369" s="129"/>
      <c r="L369" s="129">
        <f t="shared" si="59"/>
        <v>0</v>
      </c>
      <c r="M369" s="129" t="str">
        <f t="shared" si="52"/>
        <v>0h0</v>
      </c>
      <c r="N369" s="138" t="s">
        <v>84</v>
      </c>
      <c r="O369" s="129"/>
      <c r="P369" s="129"/>
      <c r="Q369" s="129">
        <f t="shared" si="60"/>
        <v>0</v>
      </c>
      <c r="R369" s="129" t="str">
        <f t="shared" si="53"/>
        <v>0h0</v>
      </c>
      <c r="S369" s="138">
        <f t="shared" si="56"/>
        <v>0</v>
      </c>
      <c r="T369" s="129" t="str">
        <f t="shared" si="54"/>
        <v>0h0</v>
      </c>
    </row>
    <row r="370" spans="2:20" x14ac:dyDescent="0.3">
      <c r="B370" s="128">
        <f t="shared" si="57"/>
        <v>46560</v>
      </c>
      <c r="C370" s="129" t="str">
        <f t="shared" si="51"/>
        <v>Tuesday</v>
      </c>
      <c r="D370" s="138" t="s">
        <v>84</v>
      </c>
      <c r="E370" s="129"/>
      <c r="F370" s="129"/>
      <c r="G370" s="129">
        <f t="shared" si="58"/>
        <v>0</v>
      </c>
      <c r="H370" s="129" t="str">
        <f t="shared" si="55"/>
        <v>0h0</v>
      </c>
      <c r="I370" s="138" t="s">
        <v>84</v>
      </c>
      <c r="J370" s="129"/>
      <c r="K370" s="129"/>
      <c r="L370" s="129">
        <f t="shared" si="59"/>
        <v>0</v>
      </c>
      <c r="M370" s="129" t="str">
        <f t="shared" si="52"/>
        <v>0h0</v>
      </c>
      <c r="N370" s="138" t="s">
        <v>84</v>
      </c>
      <c r="O370" s="129"/>
      <c r="P370" s="129"/>
      <c r="Q370" s="129">
        <f t="shared" si="60"/>
        <v>0</v>
      </c>
      <c r="R370" s="129" t="str">
        <f t="shared" si="53"/>
        <v>0h0</v>
      </c>
      <c r="S370" s="138">
        <f t="shared" si="56"/>
        <v>0</v>
      </c>
      <c r="T370" s="129" t="str">
        <f t="shared" si="54"/>
        <v>0h0</v>
      </c>
    </row>
    <row r="371" spans="2:20" x14ac:dyDescent="0.3">
      <c r="B371" s="128">
        <f t="shared" si="57"/>
        <v>46561</v>
      </c>
      <c r="C371" s="129" t="str">
        <f t="shared" si="51"/>
        <v>Wednesday</v>
      </c>
      <c r="D371" s="138" t="s">
        <v>84</v>
      </c>
      <c r="E371" s="129"/>
      <c r="F371" s="129"/>
      <c r="G371" s="129">
        <f t="shared" si="58"/>
        <v>0</v>
      </c>
      <c r="H371" s="129" t="str">
        <f t="shared" si="55"/>
        <v>0h0</v>
      </c>
      <c r="I371" s="138" t="s">
        <v>84</v>
      </c>
      <c r="J371" s="129"/>
      <c r="K371" s="129"/>
      <c r="L371" s="129">
        <f t="shared" si="59"/>
        <v>0</v>
      </c>
      <c r="M371" s="129" t="str">
        <f t="shared" si="52"/>
        <v>0h0</v>
      </c>
      <c r="N371" s="138" t="s">
        <v>84</v>
      </c>
      <c r="O371" s="129"/>
      <c r="P371" s="129"/>
      <c r="Q371" s="129">
        <f t="shared" si="60"/>
        <v>0</v>
      </c>
      <c r="R371" s="129" t="str">
        <f t="shared" si="53"/>
        <v>0h0</v>
      </c>
      <c r="S371" s="138">
        <f t="shared" si="56"/>
        <v>0</v>
      </c>
      <c r="T371" s="129" t="str">
        <f t="shared" si="54"/>
        <v>0h0</v>
      </c>
    </row>
    <row r="372" spans="2:20" x14ac:dyDescent="0.3">
      <c r="B372" s="128">
        <f t="shared" si="57"/>
        <v>46562</v>
      </c>
      <c r="C372" s="130" t="str">
        <f t="shared" si="51"/>
        <v>Thursday</v>
      </c>
      <c r="D372" s="138" t="s">
        <v>84</v>
      </c>
      <c r="E372" s="129"/>
      <c r="F372" s="129"/>
      <c r="G372" s="129">
        <f t="shared" si="58"/>
        <v>0</v>
      </c>
      <c r="H372" s="129" t="str">
        <f t="shared" si="55"/>
        <v>0h0</v>
      </c>
      <c r="I372" s="138" t="s">
        <v>84</v>
      </c>
      <c r="J372" s="129"/>
      <c r="K372" s="129"/>
      <c r="L372" s="129">
        <f t="shared" si="59"/>
        <v>0</v>
      </c>
      <c r="M372" s="129" t="str">
        <f t="shared" si="52"/>
        <v>0h0</v>
      </c>
      <c r="N372" s="138" t="s">
        <v>84</v>
      </c>
      <c r="O372" s="129"/>
      <c r="P372" s="129"/>
      <c r="Q372" s="129">
        <f t="shared" si="60"/>
        <v>0</v>
      </c>
      <c r="R372" s="129" t="str">
        <f t="shared" si="53"/>
        <v>0h0</v>
      </c>
      <c r="S372" s="138">
        <f t="shared" si="56"/>
        <v>0</v>
      </c>
      <c r="T372" s="129" t="str">
        <f t="shared" si="54"/>
        <v>0h0</v>
      </c>
    </row>
  </sheetData>
  <mergeCells count="37">
    <mergeCell ref="D4:H4"/>
    <mergeCell ref="V2:X2"/>
    <mergeCell ref="Y2:AA2"/>
    <mergeCell ref="AE2:AG2"/>
    <mergeCell ref="N4:R4"/>
    <mergeCell ref="CP2:CR2"/>
    <mergeCell ref="CS2:CU2"/>
    <mergeCell ref="CV2:CX2"/>
    <mergeCell ref="CY2:DA2"/>
    <mergeCell ref="I4:M4"/>
    <mergeCell ref="AW2:AY2"/>
    <mergeCell ref="AZ2:BB2"/>
    <mergeCell ref="BC2:BE2"/>
    <mergeCell ref="BF2:BH2"/>
    <mergeCell ref="BR2:BT2"/>
    <mergeCell ref="AT2:AV2"/>
    <mergeCell ref="AB2:AD2"/>
    <mergeCell ref="AH2:AJ2"/>
    <mergeCell ref="AK2:AM2"/>
    <mergeCell ref="AN2:AP2"/>
    <mergeCell ref="AQ2:AS2"/>
    <mergeCell ref="GC2:GE2"/>
    <mergeCell ref="FZ2:GB2"/>
    <mergeCell ref="BI2:BK2"/>
    <mergeCell ref="BL2:BN2"/>
    <mergeCell ref="BO2:BQ2"/>
    <mergeCell ref="CG2:CI2"/>
    <mergeCell ref="BU2:BW2"/>
    <mergeCell ref="BX2:BZ2"/>
    <mergeCell ref="CA2:CC2"/>
    <mergeCell ref="CD2:CF2"/>
    <mergeCell ref="DB2:DD2"/>
    <mergeCell ref="DE2:DG2"/>
    <mergeCell ref="DH2:DJ2"/>
    <mergeCell ref="DK2:DM2"/>
    <mergeCell ref="CJ2:CL2"/>
    <mergeCell ref="CM2:CO2"/>
  </mergeCells>
  <phoneticPr fontId="12" type="noConversion"/>
  <conditionalFormatting sqref="M6:M372 R6:R372 H6:H372">
    <cfRule type="expression" priority="15" stopIfTrue="1">
      <formula>IF(D6="Deutsch", FALSE, TRUE)</formula>
    </cfRule>
    <cfRule type="expression" dxfId="7" priority="16" stopIfTrue="1">
      <formula>IF(OR($C$6="Tuesday", $C$6="Wednesday"), IF(ROUNDDOWN(G6/60,0)&gt;=2,TRUE,FALSE),IF(ROUNDDOWN(G6/60,0)&gt;=3,TRUE,FALSE))</formula>
    </cfRule>
    <cfRule type="expression" dxfId="6" priority="17">
      <formula>TRUE</formula>
    </cfRule>
  </conditionalFormatting>
  <conditionalFormatting sqref="T6:T372">
    <cfRule type="expression" priority="47" stopIfTrue="1">
      <formula>IF(N6="Deutsch", FALSE, TRUE)</formula>
    </cfRule>
    <cfRule type="expression" dxfId="5" priority="48" stopIfTrue="1">
      <formula>IF(OR(C6="Tuesday", C6="Wednesday"), IF(ROUNDDOWN(S6/60,0)&gt;=2,TRUE,FALSE),IF(ROUNDDOWN(S6/60,0)&gt;=3,TRUE,FALSE))</formula>
    </cfRule>
    <cfRule type="expression" dxfId="4" priority="49">
      <formula>TRUE</formula>
    </cfRule>
  </conditionalFormatting>
  <dataValidations count="2">
    <dataValidation type="list" allowBlank="1" showInputMessage="1" showErrorMessage="1" sqref="N6:N372 I6:I372" xr:uid="{723ABB41-4FEE-4A10-9BB3-F9507F272F8E}">
      <formula1>"-, Deutsch, Deutsch: Flashcards, AWS Certification"</formula1>
    </dataValidation>
    <dataValidation type="list" allowBlank="1" showInputMessage="1" showErrorMessage="1" sqref="D6:D63 D65:D372" xr:uid="{5BE66621-04C9-4702-A4F5-E840E2700371}">
      <formula1>"-, Deutsch, Deutsch: Flashcards, Product Training, AWS Certification"</formula1>
    </dataValidation>
  </dataValidations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51E1D-DBE7-4755-87BC-2A6AA08117A0}">
  <sheetPr codeName="Sheet11"/>
  <dimension ref="C3:G57"/>
  <sheetViews>
    <sheetView workbookViewId="0">
      <selection activeCell="C6" sqref="C6"/>
    </sheetView>
  </sheetViews>
  <sheetFormatPr defaultRowHeight="14.4" x14ac:dyDescent="0.3"/>
  <cols>
    <col min="3" max="3" width="17.44140625" customWidth="1"/>
    <col min="4" max="4" width="12.33203125" bestFit="1" customWidth="1"/>
    <col min="5" max="5" width="22.44140625" bestFit="1" customWidth="1"/>
    <col min="6" max="6" width="19.5546875" bestFit="1" customWidth="1"/>
    <col min="7" max="7" width="20.6640625" bestFit="1" customWidth="1"/>
  </cols>
  <sheetData>
    <row r="3" spans="3:7" x14ac:dyDescent="0.3">
      <c r="C3" s="198" t="s">
        <v>201</v>
      </c>
      <c r="D3" s="198"/>
      <c r="E3" s="198"/>
      <c r="F3" s="198"/>
      <c r="G3" s="198"/>
    </row>
    <row r="4" spans="3:7" x14ac:dyDescent="0.3">
      <c r="C4" s="131" t="s">
        <v>200</v>
      </c>
      <c r="D4" s="79" t="s">
        <v>199</v>
      </c>
      <c r="E4" s="79" t="s">
        <v>222</v>
      </c>
      <c r="F4" s="132" t="s">
        <v>223</v>
      </c>
      <c r="G4" s="79" t="s">
        <v>224</v>
      </c>
    </row>
    <row r="5" spans="3:7" x14ac:dyDescent="0.3">
      <c r="C5" s="133" t="str" cm="1">
        <f t="array" aca="1" ref="C5" ca="1">IFERROR(IF(6+(ROW()-6)*7&gt;372,"",_xlfn.LET(_xlpm.s,6+(ROW()-6)*7,_xlpm.e,MIN(_xlpm.s+6,372),TEXT(INDIRECT("B"&amp;_xlpm.s),"mm/dd/yy")&amp;"-"&amp;TEXT(INDIRECT("B"&amp;_xlpm.e),"mm/dd/yy"))),"")</f>
        <v/>
      </c>
      <c r="D5" s="57" t="str">
        <f t="shared" ref="D5:D36" ca="1" si="0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/>
      </c>
      <c r="E5" s="57" t="str">
        <f t="shared" ref="E5:E36" ca="1" si="1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/>
      </c>
      <c r="F5" s="134" t="str">
        <f t="shared" ref="F5:F36" ca="1" si="2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/>
      </c>
      <c r="G5" s="134" t="str">
        <f t="shared" ref="G5:G36" ca="1" si="3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/>
      </c>
    </row>
    <row r="6" spans="3:7" x14ac:dyDescent="0.3">
      <c r="C6" s="133" t="str" cm="1">
        <f t="array" aca="1" ref="C6" ca="1">IFERROR(IF(6+(ROW()-6)*7&gt;372,"",_xlfn.LET(_xlpm.s,6+(ROW()-6)*7,_xlpm.e,MIN(_xlpm.s+6,372),TEXT(INDIRECT("B"&amp;_xlpm.s),"mm/dd/yy")&amp;"-"&amp;TEXT(INDIRECT("B"&amp;_xlpm.e),"mm/dd/yy"))),"")</f>
        <v>01/00/00-01/00/00</v>
      </c>
      <c r="D6" s="57" t="str">
        <f t="shared" ca="1" si="0"/>
        <v>0h0</v>
      </c>
      <c r="E6" s="57" t="str">
        <f t="shared" ca="1" si="1"/>
        <v>0h0</v>
      </c>
      <c r="F6" s="134" t="str">
        <f t="shared" ca="1" si="2"/>
        <v>2h47</v>
      </c>
      <c r="G6" s="134" t="str">
        <f t="shared" ca="1" si="3"/>
        <v>0h0</v>
      </c>
    </row>
    <row r="7" spans="3:7" x14ac:dyDescent="0.3">
      <c r="C7" s="133" t="str" cm="1">
        <f t="array" aca="1" ref="C7" ca="1">IFERROR(IF(6+(ROW()-6)*7&gt;372,"",_xlfn.LET(_xlpm.s,6+(ROW()-6)*7,_xlpm.e,MIN(_xlpm.s+6,372),TEXT(INDIRECT("B"&amp;_xlpm.s),"mm/dd/yy")&amp;"-"&amp;TEXT(INDIRECT("B"&amp;_xlpm.e),"mm/dd/yy"))),"")</f>
        <v>01/00/00-01/00/00</v>
      </c>
      <c r="D7" s="57" t="str">
        <f t="shared" ca="1" si="0"/>
        <v>0h0</v>
      </c>
      <c r="E7" s="57" t="str">
        <f t="shared" ca="1" si="1"/>
        <v>0h0</v>
      </c>
      <c r="F7" s="134" t="str">
        <f t="shared" ca="1" si="2"/>
        <v>0h0</v>
      </c>
      <c r="G7" s="134" t="str">
        <f t="shared" ca="1" si="3"/>
        <v>0h0</v>
      </c>
    </row>
    <row r="8" spans="3:7" x14ac:dyDescent="0.3">
      <c r="C8" s="133" t="str" cm="1">
        <f t="array" aca="1" ref="C8" ca="1">IFERROR(IF(6+(ROW()-6)*7&gt;372,"",_xlfn.LET(_xlpm.s,6+(ROW()-6)*7,_xlpm.e,MIN(_xlpm.s+6,372),TEXT(INDIRECT("B"&amp;_xlpm.s),"mm/dd/yy")&amp;"-"&amp;TEXT(INDIRECT("B"&amp;_xlpm.e),"mm/dd/yy"))),"")</f>
        <v>01/00/00-01/00/00</v>
      </c>
      <c r="D8" s="57" t="str">
        <f t="shared" ca="1" si="0"/>
        <v>0h0</v>
      </c>
      <c r="E8" s="57" t="str">
        <f t="shared" ca="1" si="1"/>
        <v>0h0</v>
      </c>
      <c r="F8" s="134" t="str">
        <f t="shared" ca="1" si="2"/>
        <v>0h0</v>
      </c>
      <c r="G8" s="134" t="str">
        <f t="shared" ca="1" si="3"/>
        <v>0h0</v>
      </c>
    </row>
    <row r="9" spans="3:7" x14ac:dyDescent="0.3">
      <c r="C9" s="133" t="str" cm="1">
        <f t="array" aca="1" ref="C9" ca="1">IFERROR(IF(6+(ROW()-6)*7&gt;372,"",_xlfn.LET(_xlpm.s,6+(ROW()-6)*7,_xlpm.e,MIN(_xlpm.s+6,372),TEXT(INDIRECT("B"&amp;_xlpm.s),"mm/dd/yy")&amp;"-"&amp;TEXT(INDIRECT("B"&amp;_xlpm.e),"mm/dd/yy"))),"")</f>
        <v>01/00/00-01/00/00</v>
      </c>
      <c r="D9" s="57" t="str">
        <f t="shared" ca="1" si="0"/>
        <v>0h0</v>
      </c>
      <c r="E9" s="57" t="str">
        <f t="shared" ca="1" si="1"/>
        <v>0h0</v>
      </c>
      <c r="F9" s="134" t="str">
        <f t="shared" ca="1" si="2"/>
        <v>0h0</v>
      </c>
      <c r="G9" s="134" t="str">
        <f t="shared" ca="1" si="3"/>
        <v>0h0</v>
      </c>
    </row>
    <row r="10" spans="3:7" x14ac:dyDescent="0.3">
      <c r="C10" s="133" t="str" cm="1">
        <f t="array" aca="1" ref="C10" ca="1">IFERROR(IF(6+(ROW()-6)*7&gt;372,"",_xlfn.LET(_xlpm.s,6+(ROW()-6)*7,_xlpm.e,MIN(_xlpm.s+6,372),TEXT(INDIRECT("B"&amp;_xlpm.s),"mm/dd/yy")&amp;"-"&amp;TEXT(INDIRECT("B"&amp;_xlpm.e),"mm/dd/yy"))),"")</f>
        <v>01/00/00-01/00/00</v>
      </c>
      <c r="D10" s="57" t="str">
        <f t="shared" ca="1" si="0"/>
        <v>0h0</v>
      </c>
      <c r="E10" s="57" t="str">
        <f t="shared" ca="1" si="1"/>
        <v>0h0</v>
      </c>
      <c r="F10" s="134" t="str">
        <f t="shared" ca="1" si="2"/>
        <v>0h0</v>
      </c>
      <c r="G10" s="134" t="str">
        <f t="shared" ca="1" si="3"/>
        <v>0h0</v>
      </c>
    </row>
    <row r="11" spans="3:7" x14ac:dyDescent="0.3">
      <c r="C11" s="133" t="str" cm="1">
        <f t="array" aca="1" ref="C11" ca="1">IFERROR(IF(6+(ROW()-6)*7&gt;372,"",_xlfn.LET(_xlpm.s,6+(ROW()-6)*7,_xlpm.e,MIN(_xlpm.s+6,372),TEXT(INDIRECT("B"&amp;_xlpm.s),"mm/dd/yy")&amp;"-"&amp;TEXT(INDIRECT("B"&amp;_xlpm.e),"mm/dd/yy"))),"")</f>
        <v>01/00/00-01/00/00</v>
      </c>
      <c r="D11" s="57" t="str">
        <f t="shared" ca="1" si="0"/>
        <v>0h0</v>
      </c>
      <c r="E11" s="57" t="str">
        <f t="shared" ca="1" si="1"/>
        <v>0h0</v>
      </c>
      <c r="F11" s="134" t="str">
        <f t="shared" ca="1" si="2"/>
        <v>0h0</v>
      </c>
      <c r="G11" s="134" t="str">
        <f t="shared" ca="1" si="3"/>
        <v>0h0</v>
      </c>
    </row>
    <row r="12" spans="3:7" x14ac:dyDescent="0.3">
      <c r="C12" s="133" t="str" cm="1">
        <f t="array" aca="1" ref="C12" ca="1">IFERROR(IF(6+(ROW()-6)*7&gt;372,"",_xlfn.LET(_xlpm.s,6+(ROW()-6)*7,_xlpm.e,MIN(_xlpm.s+6,372),TEXT(INDIRECT("B"&amp;_xlpm.s),"mm/dd/yy")&amp;"-"&amp;TEXT(INDIRECT("B"&amp;_xlpm.e),"mm/dd/yy"))),"")</f>
        <v>01/00/00-01/00/00</v>
      </c>
      <c r="D12" s="57" t="str">
        <f t="shared" ca="1" si="0"/>
        <v>0h0</v>
      </c>
      <c r="E12" s="57" t="str">
        <f t="shared" ca="1" si="1"/>
        <v>0h0</v>
      </c>
      <c r="F12" s="134" t="str">
        <f t="shared" ca="1" si="2"/>
        <v>0h0</v>
      </c>
      <c r="G12" s="134" t="str">
        <f t="shared" ca="1" si="3"/>
        <v>0h0</v>
      </c>
    </row>
    <row r="13" spans="3:7" x14ac:dyDescent="0.3">
      <c r="C13" s="133" t="str" cm="1">
        <f t="array" aca="1" ref="C13" ca="1">IFERROR(IF(6+(ROW()-6)*7&gt;372,"",_xlfn.LET(_xlpm.s,6+(ROW()-6)*7,_xlpm.e,MIN(_xlpm.s+6,372),TEXT(INDIRECT("B"&amp;_xlpm.s),"mm/dd/yy")&amp;"-"&amp;TEXT(INDIRECT("B"&amp;_xlpm.e),"mm/dd/yy"))),"")</f>
        <v>01/00/00-01/00/00</v>
      </c>
      <c r="D13" s="57" t="str">
        <f t="shared" ca="1" si="0"/>
        <v>0h0</v>
      </c>
      <c r="E13" s="57" t="str">
        <f t="shared" ca="1" si="1"/>
        <v>0h0</v>
      </c>
      <c r="F13" s="134" t="str">
        <f t="shared" ca="1" si="2"/>
        <v>0h0</v>
      </c>
      <c r="G13" s="134" t="str">
        <f t="shared" ca="1" si="3"/>
        <v>0h0</v>
      </c>
    </row>
    <row r="14" spans="3:7" x14ac:dyDescent="0.3">
      <c r="C14" s="133" t="str" cm="1">
        <f t="array" aca="1" ref="C14" ca="1">IFERROR(IF(6+(ROW()-6)*7&gt;372,"",_xlfn.LET(_xlpm.s,6+(ROW()-6)*7,_xlpm.e,MIN(_xlpm.s+6,372),TEXT(INDIRECT("B"&amp;_xlpm.s),"mm/dd/yy")&amp;"-"&amp;TEXT(INDIRECT("B"&amp;_xlpm.e),"mm/dd/yy"))),"")</f>
        <v>01/00/00-01/00/00</v>
      </c>
      <c r="D14" s="57" t="str">
        <f t="shared" ca="1" si="0"/>
        <v>0h0</v>
      </c>
      <c r="E14" s="57" t="str">
        <f t="shared" ca="1" si="1"/>
        <v>0h0</v>
      </c>
      <c r="F14" s="134" t="str">
        <f t="shared" ca="1" si="2"/>
        <v>0h0</v>
      </c>
      <c r="G14" s="134" t="str">
        <f t="shared" ca="1" si="3"/>
        <v>0h0</v>
      </c>
    </row>
    <row r="15" spans="3:7" x14ac:dyDescent="0.3">
      <c r="C15" s="133" t="str" cm="1">
        <f t="array" aca="1" ref="C15" ca="1">IFERROR(IF(6+(ROW()-6)*7&gt;372,"",_xlfn.LET(_xlpm.s,6+(ROW()-6)*7,_xlpm.e,MIN(_xlpm.s+6,372),TEXT(INDIRECT("B"&amp;_xlpm.s),"mm/dd/yy")&amp;"-"&amp;TEXT(INDIRECT("B"&amp;_xlpm.e),"mm/dd/yy"))),"")</f>
        <v>01/00/00-01/00/00</v>
      </c>
      <c r="D15" s="57" t="str">
        <f t="shared" ca="1" si="0"/>
        <v>0h0</v>
      </c>
      <c r="E15" s="57" t="str">
        <f t="shared" ca="1" si="1"/>
        <v>0h0</v>
      </c>
      <c r="F15" s="134" t="str">
        <f t="shared" ca="1" si="2"/>
        <v>0h0</v>
      </c>
      <c r="G15" s="134" t="str">
        <f t="shared" ca="1" si="3"/>
        <v>0h0</v>
      </c>
    </row>
    <row r="16" spans="3:7" x14ac:dyDescent="0.3">
      <c r="C16" s="133" t="str" cm="1">
        <f t="array" aca="1" ref="C16" ca="1">IFERROR(IF(6+(ROW()-6)*7&gt;372,"",_xlfn.LET(_xlpm.s,6+(ROW()-6)*7,_xlpm.e,MIN(_xlpm.s+6,372),TEXT(INDIRECT("B"&amp;_xlpm.s),"mm/dd/yy")&amp;"-"&amp;TEXT(INDIRECT("B"&amp;_xlpm.e),"mm/dd/yy"))),"")</f>
        <v>01/00/00-01/00/00</v>
      </c>
      <c r="D16" s="57" t="str">
        <f t="shared" ca="1" si="0"/>
        <v>0h0</v>
      </c>
      <c r="E16" s="57" t="str">
        <f t="shared" ca="1" si="1"/>
        <v>0h0</v>
      </c>
      <c r="F16" s="134" t="str">
        <f t="shared" ca="1" si="2"/>
        <v>0h0</v>
      </c>
      <c r="G16" s="134" t="str">
        <f t="shared" ca="1" si="3"/>
        <v>0h0</v>
      </c>
    </row>
    <row r="17" spans="3:7" x14ac:dyDescent="0.3">
      <c r="C17" s="133" t="str" cm="1">
        <f t="array" aca="1" ref="C17" ca="1">IFERROR(IF(6+(ROW()-6)*7&gt;372,"",_xlfn.LET(_xlpm.s,6+(ROW()-6)*7,_xlpm.e,MIN(_xlpm.s+6,372),TEXT(INDIRECT("B"&amp;_xlpm.s),"mm/dd/yy")&amp;"-"&amp;TEXT(INDIRECT("B"&amp;_xlpm.e),"mm/dd/yy"))),"")</f>
        <v>01/00/00-01/00/00</v>
      </c>
      <c r="D17" s="57" t="str">
        <f t="shared" ca="1" si="0"/>
        <v>0h0</v>
      </c>
      <c r="E17" s="57" t="str">
        <f t="shared" ca="1" si="1"/>
        <v>0h0</v>
      </c>
      <c r="F17" s="134" t="str">
        <f t="shared" ca="1" si="2"/>
        <v>0h0</v>
      </c>
      <c r="G17" s="134" t="str">
        <f t="shared" ca="1" si="3"/>
        <v>0h0</v>
      </c>
    </row>
    <row r="18" spans="3:7" x14ac:dyDescent="0.3">
      <c r="C18" s="133" t="str" cm="1">
        <f t="array" aca="1" ref="C18" ca="1">IFERROR(IF(6+(ROW()-6)*7&gt;372,"",_xlfn.LET(_xlpm.s,6+(ROW()-6)*7,_xlpm.e,MIN(_xlpm.s+6,372),TEXT(INDIRECT("B"&amp;_xlpm.s),"mm/dd/yy")&amp;"-"&amp;TEXT(INDIRECT("B"&amp;_xlpm.e),"mm/dd/yy"))),"")</f>
        <v>01/00/00-01/00/00</v>
      </c>
      <c r="D18" s="57" t="str">
        <f t="shared" ca="1" si="0"/>
        <v>0h0</v>
      </c>
      <c r="E18" s="57" t="str">
        <f t="shared" ca="1" si="1"/>
        <v>0h0</v>
      </c>
      <c r="F18" s="134" t="str">
        <f t="shared" ca="1" si="2"/>
        <v>0h0</v>
      </c>
      <c r="G18" s="134" t="str">
        <f t="shared" ca="1" si="3"/>
        <v>0h0</v>
      </c>
    </row>
    <row r="19" spans="3:7" x14ac:dyDescent="0.3">
      <c r="C19" s="133" t="str" cm="1">
        <f t="array" aca="1" ref="C19" ca="1">IFERROR(IF(6+(ROW()-6)*7&gt;372,"",_xlfn.LET(_xlpm.s,6+(ROW()-6)*7,_xlpm.e,MIN(_xlpm.s+6,372),TEXT(INDIRECT("B"&amp;_xlpm.s),"mm/dd/yy")&amp;"-"&amp;TEXT(INDIRECT("B"&amp;_xlpm.e),"mm/dd/yy"))),"")</f>
        <v>01/00/00-01/00/00</v>
      </c>
      <c r="D19" s="57" t="str">
        <f t="shared" ca="1" si="0"/>
        <v>0h0</v>
      </c>
      <c r="E19" s="57" t="str">
        <f t="shared" ca="1" si="1"/>
        <v>0h0</v>
      </c>
      <c r="F19" s="134" t="str">
        <f t="shared" ca="1" si="2"/>
        <v>0h0</v>
      </c>
      <c r="G19" s="134" t="str">
        <f t="shared" ca="1" si="3"/>
        <v>0h0</v>
      </c>
    </row>
    <row r="20" spans="3:7" x14ac:dyDescent="0.3">
      <c r="C20" s="133" t="str" cm="1">
        <f t="array" aca="1" ref="C20" ca="1">IFERROR(IF(6+(ROW()-6)*7&gt;372,"",_xlfn.LET(_xlpm.s,6+(ROW()-6)*7,_xlpm.e,MIN(_xlpm.s+6,372),TEXT(INDIRECT("B"&amp;_xlpm.s),"mm/dd/yy")&amp;"-"&amp;TEXT(INDIRECT("B"&amp;_xlpm.e),"mm/dd/yy"))),"")</f>
        <v>01/00/00-01/00/00</v>
      </c>
      <c r="D20" s="57" t="str">
        <f t="shared" ca="1" si="0"/>
        <v>0h0</v>
      </c>
      <c r="E20" s="57" t="str">
        <f t="shared" ca="1" si="1"/>
        <v>0h0</v>
      </c>
      <c r="F20" s="134" t="str">
        <f t="shared" ca="1" si="2"/>
        <v>0h0</v>
      </c>
      <c r="G20" s="134" t="str">
        <f t="shared" ca="1" si="3"/>
        <v>0h0</v>
      </c>
    </row>
    <row r="21" spans="3:7" x14ac:dyDescent="0.3">
      <c r="C21" s="133" t="str" cm="1">
        <f t="array" aca="1" ref="C21" ca="1">IFERROR(IF(6+(ROW()-6)*7&gt;372,"",_xlfn.LET(_xlpm.s,6+(ROW()-6)*7,_xlpm.e,MIN(_xlpm.s+6,372),TEXT(INDIRECT("B"&amp;_xlpm.s),"mm/dd/yy")&amp;"-"&amp;TEXT(INDIRECT("B"&amp;_xlpm.e),"mm/dd/yy"))),"")</f>
        <v>01/00/00-01/00/00</v>
      </c>
      <c r="D21" s="57" t="str">
        <f t="shared" ca="1" si="0"/>
        <v>0h0</v>
      </c>
      <c r="E21" s="57" t="str">
        <f t="shared" ca="1" si="1"/>
        <v>0h0</v>
      </c>
      <c r="F21" s="134" t="str">
        <f t="shared" ca="1" si="2"/>
        <v>0h0</v>
      </c>
      <c r="G21" s="134" t="str">
        <f t="shared" ca="1" si="3"/>
        <v>0h0</v>
      </c>
    </row>
    <row r="22" spans="3:7" x14ac:dyDescent="0.3">
      <c r="C22" s="133" t="str" cm="1">
        <f t="array" aca="1" ref="C22" ca="1">IFERROR(IF(6+(ROW()-6)*7&gt;372,"",_xlfn.LET(_xlpm.s,6+(ROW()-6)*7,_xlpm.e,MIN(_xlpm.s+6,372),TEXT(INDIRECT("B"&amp;_xlpm.s),"mm/dd/yy")&amp;"-"&amp;TEXT(INDIRECT("B"&amp;_xlpm.e),"mm/dd/yy"))),"")</f>
        <v>01/00/00-01/00/00</v>
      </c>
      <c r="D22" s="57" t="str">
        <f t="shared" ca="1" si="0"/>
        <v>0h0</v>
      </c>
      <c r="E22" s="57" t="str">
        <f t="shared" ca="1" si="1"/>
        <v>0h0</v>
      </c>
      <c r="F22" s="134" t="str">
        <f t="shared" ca="1" si="2"/>
        <v>0h0</v>
      </c>
      <c r="G22" s="134" t="str">
        <f t="shared" ca="1" si="3"/>
        <v>0h0</v>
      </c>
    </row>
    <row r="23" spans="3:7" x14ac:dyDescent="0.3">
      <c r="C23" s="133" t="str" cm="1">
        <f t="array" aca="1" ref="C23" ca="1">IFERROR(IF(6+(ROW()-6)*7&gt;372,"",_xlfn.LET(_xlpm.s,6+(ROW()-6)*7,_xlpm.e,MIN(_xlpm.s+6,372),TEXT(INDIRECT("B"&amp;_xlpm.s),"mm/dd/yy")&amp;"-"&amp;TEXT(INDIRECT("B"&amp;_xlpm.e),"mm/dd/yy"))),"")</f>
        <v>01/00/00-01/00/00</v>
      </c>
      <c r="D23" s="57" t="str">
        <f t="shared" ca="1" si="0"/>
        <v>0h0</v>
      </c>
      <c r="E23" s="57" t="str">
        <f t="shared" ca="1" si="1"/>
        <v>0h0</v>
      </c>
      <c r="F23" s="134" t="str">
        <f t="shared" ca="1" si="2"/>
        <v>0h0</v>
      </c>
      <c r="G23" s="134" t="str">
        <f t="shared" ca="1" si="3"/>
        <v>0h0</v>
      </c>
    </row>
    <row r="24" spans="3:7" x14ac:dyDescent="0.3">
      <c r="C24" s="133" t="str" cm="1">
        <f t="array" aca="1" ref="C24" ca="1">IFERROR(IF(6+(ROW()-6)*7&gt;372,"",_xlfn.LET(_xlpm.s,6+(ROW()-6)*7,_xlpm.e,MIN(_xlpm.s+6,372),TEXT(INDIRECT("B"&amp;_xlpm.s),"mm/dd/yy")&amp;"-"&amp;TEXT(INDIRECT("B"&amp;_xlpm.e),"mm/dd/yy"))),"")</f>
        <v>01/00/00-01/00/00</v>
      </c>
      <c r="D24" s="57" t="str">
        <f t="shared" ca="1" si="0"/>
        <v>0h0</v>
      </c>
      <c r="E24" s="57" t="str">
        <f t="shared" ca="1" si="1"/>
        <v>0h0</v>
      </c>
      <c r="F24" s="134" t="str">
        <f t="shared" ca="1" si="2"/>
        <v>0h0</v>
      </c>
      <c r="G24" s="134" t="str">
        <f t="shared" ca="1" si="3"/>
        <v>0h0</v>
      </c>
    </row>
    <row r="25" spans="3:7" x14ac:dyDescent="0.3">
      <c r="C25" s="133" t="str" cm="1">
        <f t="array" aca="1" ref="C25" ca="1">IFERROR(IF(6+(ROW()-6)*7&gt;372,"",_xlfn.LET(_xlpm.s,6+(ROW()-6)*7,_xlpm.e,MIN(_xlpm.s+6,372),TEXT(INDIRECT("B"&amp;_xlpm.s),"mm/dd/yy")&amp;"-"&amp;TEXT(INDIRECT("B"&amp;_xlpm.e),"mm/dd/yy"))),"")</f>
        <v>01/00/00-01/00/00</v>
      </c>
      <c r="D25" s="57" t="str">
        <f t="shared" ca="1" si="0"/>
        <v>0h0</v>
      </c>
      <c r="E25" s="57" t="str">
        <f t="shared" ca="1" si="1"/>
        <v>0h0</v>
      </c>
      <c r="F25" s="134" t="str">
        <f t="shared" ca="1" si="2"/>
        <v>0h0</v>
      </c>
      <c r="G25" s="134" t="str">
        <f t="shared" ca="1" si="3"/>
        <v>0h0</v>
      </c>
    </row>
    <row r="26" spans="3:7" x14ac:dyDescent="0.3">
      <c r="C26" s="133" t="str" cm="1">
        <f t="array" aca="1" ref="C26" ca="1">IFERROR(IF(6+(ROW()-6)*7&gt;372,"",_xlfn.LET(_xlpm.s,6+(ROW()-6)*7,_xlpm.e,MIN(_xlpm.s+6,372),TEXT(INDIRECT("B"&amp;_xlpm.s),"mm/dd/yy")&amp;"-"&amp;TEXT(INDIRECT("B"&amp;_xlpm.e),"mm/dd/yy"))),"")</f>
        <v>01/00/00-01/00/00</v>
      </c>
      <c r="D26" s="57" t="str">
        <f t="shared" ca="1" si="0"/>
        <v>0h0</v>
      </c>
      <c r="E26" s="57" t="str">
        <f t="shared" ca="1" si="1"/>
        <v>0h0</v>
      </c>
      <c r="F26" s="134" t="str">
        <f t="shared" ca="1" si="2"/>
        <v>0h0</v>
      </c>
      <c r="G26" s="134" t="str">
        <f t="shared" ca="1" si="3"/>
        <v>0h0</v>
      </c>
    </row>
    <row r="27" spans="3:7" x14ac:dyDescent="0.3">
      <c r="C27" s="133" t="str" cm="1">
        <f t="array" aca="1" ref="C27" ca="1">IFERROR(IF(6+(ROW()-6)*7&gt;372,"",_xlfn.LET(_xlpm.s,6+(ROW()-6)*7,_xlpm.e,MIN(_xlpm.s+6,372),TEXT(INDIRECT("B"&amp;_xlpm.s),"mm/dd/yy")&amp;"-"&amp;TEXT(INDIRECT("B"&amp;_xlpm.e),"mm/dd/yy"))),"")</f>
        <v>01/00/00-01/00/00</v>
      </c>
      <c r="D27" s="57" t="str">
        <f t="shared" ca="1" si="0"/>
        <v>0h0</v>
      </c>
      <c r="E27" s="57" t="str">
        <f t="shared" ca="1" si="1"/>
        <v>0h0</v>
      </c>
      <c r="F27" s="134" t="str">
        <f t="shared" ca="1" si="2"/>
        <v>0h0</v>
      </c>
      <c r="G27" s="134" t="str">
        <f t="shared" ca="1" si="3"/>
        <v>0h0</v>
      </c>
    </row>
    <row r="28" spans="3:7" x14ac:dyDescent="0.3">
      <c r="C28" s="133" t="str" cm="1">
        <f t="array" aca="1" ref="C28" ca="1">IFERROR(IF(6+(ROW()-6)*7&gt;372,"",_xlfn.LET(_xlpm.s,6+(ROW()-6)*7,_xlpm.e,MIN(_xlpm.s+6,372),TEXT(INDIRECT("B"&amp;_xlpm.s),"mm/dd/yy")&amp;"-"&amp;TEXT(INDIRECT("B"&amp;_xlpm.e),"mm/dd/yy"))),"")</f>
        <v>01/00/00-01/00/00</v>
      </c>
      <c r="D28" s="57" t="str">
        <f t="shared" ca="1" si="0"/>
        <v>0h0</v>
      </c>
      <c r="E28" s="57" t="str">
        <f t="shared" ca="1" si="1"/>
        <v>0h0</v>
      </c>
      <c r="F28" s="134" t="str">
        <f t="shared" ca="1" si="2"/>
        <v>0h0</v>
      </c>
      <c r="G28" s="134" t="str">
        <f t="shared" ca="1" si="3"/>
        <v>0h0</v>
      </c>
    </row>
    <row r="29" spans="3:7" x14ac:dyDescent="0.3">
      <c r="C29" s="133" t="str" cm="1">
        <f t="array" aca="1" ref="C29" ca="1">IFERROR(IF(6+(ROW()-6)*7&gt;372,"",_xlfn.LET(_xlpm.s,6+(ROW()-6)*7,_xlpm.e,MIN(_xlpm.s+6,372),TEXT(INDIRECT("B"&amp;_xlpm.s),"mm/dd/yy")&amp;"-"&amp;TEXT(INDIRECT("B"&amp;_xlpm.e),"mm/dd/yy"))),"")</f>
        <v>01/00/00-01/00/00</v>
      </c>
      <c r="D29" s="57" t="str">
        <f t="shared" ca="1" si="0"/>
        <v>0h0</v>
      </c>
      <c r="E29" s="57" t="str">
        <f t="shared" ca="1" si="1"/>
        <v>0h0</v>
      </c>
      <c r="F29" s="134" t="str">
        <f t="shared" ca="1" si="2"/>
        <v>0h0</v>
      </c>
      <c r="G29" s="134" t="str">
        <f t="shared" ca="1" si="3"/>
        <v>0h0</v>
      </c>
    </row>
    <row r="30" spans="3:7" x14ac:dyDescent="0.3">
      <c r="C30" s="133" t="str" cm="1">
        <f t="array" aca="1" ref="C30" ca="1">IFERROR(IF(6+(ROW()-6)*7&gt;372,"",_xlfn.LET(_xlpm.s,6+(ROW()-6)*7,_xlpm.e,MIN(_xlpm.s+6,372),TEXT(INDIRECT("B"&amp;_xlpm.s),"mm/dd/yy")&amp;"-"&amp;TEXT(INDIRECT("B"&amp;_xlpm.e),"mm/dd/yy"))),"")</f>
        <v>01/00/00-01/00/00</v>
      </c>
      <c r="D30" s="57" t="str">
        <f t="shared" ca="1" si="0"/>
        <v>0h0</v>
      </c>
      <c r="E30" s="57" t="str">
        <f t="shared" ca="1" si="1"/>
        <v>0h0</v>
      </c>
      <c r="F30" s="134" t="str">
        <f t="shared" ca="1" si="2"/>
        <v>0h0</v>
      </c>
      <c r="G30" s="134" t="str">
        <f t="shared" ca="1" si="3"/>
        <v>0h0</v>
      </c>
    </row>
    <row r="31" spans="3:7" x14ac:dyDescent="0.3">
      <c r="C31" s="133" t="str" cm="1">
        <f t="array" aca="1" ref="C31" ca="1">IFERROR(IF(6+(ROW()-6)*7&gt;372,"",_xlfn.LET(_xlpm.s,6+(ROW()-6)*7,_xlpm.e,MIN(_xlpm.s+6,372),TEXT(INDIRECT("B"&amp;_xlpm.s),"mm/dd/yy")&amp;"-"&amp;TEXT(INDIRECT("B"&amp;_xlpm.e),"mm/dd/yy"))),"")</f>
        <v>01/00/00-01/00/00</v>
      </c>
      <c r="D31" s="57" t="str">
        <f t="shared" ca="1" si="0"/>
        <v>0h0</v>
      </c>
      <c r="E31" s="57" t="str">
        <f t="shared" ca="1" si="1"/>
        <v>0h0</v>
      </c>
      <c r="F31" s="134" t="str">
        <f t="shared" ca="1" si="2"/>
        <v>0h0</v>
      </c>
      <c r="G31" s="134" t="str">
        <f t="shared" ca="1" si="3"/>
        <v>0h0</v>
      </c>
    </row>
    <row r="32" spans="3:7" x14ac:dyDescent="0.3">
      <c r="C32" s="133" t="str" cm="1">
        <f t="array" aca="1" ref="C32" ca="1">IFERROR(IF(6+(ROW()-6)*7&gt;372,"",_xlfn.LET(_xlpm.s,6+(ROW()-6)*7,_xlpm.e,MIN(_xlpm.s+6,372),TEXT(INDIRECT("B"&amp;_xlpm.s),"mm/dd/yy")&amp;"-"&amp;TEXT(INDIRECT("B"&amp;_xlpm.e),"mm/dd/yy"))),"")</f>
        <v>01/00/00-01/00/00</v>
      </c>
      <c r="D32" s="57" t="str">
        <f t="shared" ca="1" si="0"/>
        <v>0h0</v>
      </c>
      <c r="E32" s="57" t="str">
        <f t="shared" ca="1" si="1"/>
        <v>0h0</v>
      </c>
      <c r="F32" s="134" t="str">
        <f t="shared" ca="1" si="2"/>
        <v>0h0</v>
      </c>
      <c r="G32" s="134" t="str">
        <f t="shared" ca="1" si="3"/>
        <v>0h0</v>
      </c>
    </row>
    <row r="33" spans="3:7" x14ac:dyDescent="0.3">
      <c r="C33" s="133" t="str" cm="1">
        <f t="array" aca="1" ref="C33" ca="1">IFERROR(IF(6+(ROW()-6)*7&gt;372,"",_xlfn.LET(_xlpm.s,6+(ROW()-6)*7,_xlpm.e,MIN(_xlpm.s+6,372),TEXT(INDIRECT("B"&amp;_xlpm.s),"mm/dd/yy")&amp;"-"&amp;TEXT(INDIRECT("B"&amp;_xlpm.e),"mm/dd/yy"))),"")</f>
        <v>01/00/00-01/00/00</v>
      </c>
      <c r="D33" s="57" t="str">
        <f t="shared" ca="1" si="0"/>
        <v>0h0</v>
      </c>
      <c r="E33" s="57" t="str">
        <f t="shared" ca="1" si="1"/>
        <v>0h0</v>
      </c>
      <c r="F33" s="134" t="str">
        <f t="shared" ca="1" si="2"/>
        <v>0h0</v>
      </c>
      <c r="G33" s="134" t="str">
        <f t="shared" ca="1" si="3"/>
        <v>0h0</v>
      </c>
    </row>
    <row r="34" spans="3:7" x14ac:dyDescent="0.3">
      <c r="C34" s="133" t="str" cm="1">
        <f t="array" aca="1" ref="C34" ca="1">IFERROR(IF(6+(ROW()-6)*7&gt;372,"",_xlfn.LET(_xlpm.s,6+(ROW()-6)*7,_xlpm.e,MIN(_xlpm.s+6,372),TEXT(INDIRECT("B"&amp;_xlpm.s),"mm/dd/yy")&amp;"-"&amp;TEXT(INDIRECT("B"&amp;_xlpm.e),"mm/dd/yy"))),"")</f>
        <v>01/00/00-01/00/00</v>
      </c>
      <c r="D34" s="57" t="str">
        <f t="shared" ca="1" si="0"/>
        <v>0h0</v>
      </c>
      <c r="E34" s="57" t="str">
        <f t="shared" ca="1" si="1"/>
        <v>0h0</v>
      </c>
      <c r="F34" s="134" t="str">
        <f t="shared" ca="1" si="2"/>
        <v>0h0</v>
      </c>
      <c r="G34" s="134" t="str">
        <f t="shared" ca="1" si="3"/>
        <v>0h0</v>
      </c>
    </row>
    <row r="35" spans="3:7" x14ac:dyDescent="0.3">
      <c r="C35" s="133" t="str" cm="1">
        <f t="array" aca="1" ref="C35" ca="1">IFERROR(IF(6+(ROW()-6)*7&gt;372,"",_xlfn.LET(_xlpm.s,6+(ROW()-6)*7,_xlpm.e,MIN(_xlpm.s+6,372),TEXT(INDIRECT("B"&amp;_xlpm.s),"mm/dd/yy")&amp;"-"&amp;TEXT(INDIRECT("B"&amp;_xlpm.e),"mm/dd/yy"))),"")</f>
        <v>01/00/00-01/00/00</v>
      </c>
      <c r="D35" s="57" t="str">
        <f t="shared" ca="1" si="0"/>
        <v>0h0</v>
      </c>
      <c r="E35" s="57" t="str">
        <f t="shared" ca="1" si="1"/>
        <v>0h0</v>
      </c>
      <c r="F35" s="134" t="str">
        <f t="shared" ca="1" si="2"/>
        <v>0h0</v>
      </c>
      <c r="G35" s="134" t="str">
        <f t="shared" ca="1" si="3"/>
        <v>0h0</v>
      </c>
    </row>
    <row r="36" spans="3:7" x14ac:dyDescent="0.3">
      <c r="C36" s="133" t="str" cm="1">
        <f t="array" aca="1" ref="C36" ca="1">IFERROR(IF(6+(ROW()-6)*7&gt;372,"",_xlfn.LET(_xlpm.s,6+(ROW()-6)*7,_xlpm.e,MIN(_xlpm.s+6,372),TEXT(INDIRECT("B"&amp;_xlpm.s),"mm/dd/yy")&amp;"-"&amp;TEXT(INDIRECT("B"&amp;_xlpm.e),"mm/dd/yy"))),"")</f>
        <v>01/00/00-01/00/00</v>
      </c>
      <c r="D36" s="57" t="str">
        <f t="shared" ca="1" si="0"/>
        <v>0h0</v>
      </c>
      <c r="E36" s="57" t="str">
        <f t="shared" ca="1" si="1"/>
        <v>0h0</v>
      </c>
      <c r="F36" s="134" t="str">
        <f t="shared" ca="1" si="2"/>
        <v>0h0</v>
      </c>
      <c r="G36" s="134" t="str">
        <f t="shared" ca="1" si="3"/>
        <v>0h0</v>
      </c>
    </row>
    <row r="37" spans="3:7" x14ac:dyDescent="0.3">
      <c r="C37" s="133" t="str" cm="1">
        <f t="array" aca="1" ref="C37" ca="1">IFERROR(IF(6+(ROW()-6)*7&gt;372,"",_xlfn.LET(_xlpm.s,6+(ROW()-6)*7,_xlpm.e,MIN(_xlpm.s+6,372),TEXT(INDIRECT("B"&amp;_xlpm.s),"mm/dd/yy")&amp;"-"&amp;TEXT(INDIRECT("B"&amp;_xlpm.e),"mm/dd/yy"))),"")</f>
        <v>01/00/00-01/00/00</v>
      </c>
      <c r="D37" s="57" t="str">
        <f t="shared" ref="D37:D57" ca="1" si="4">IFERROR(IF(6+(ROW()-6)*7&gt;372,"",_xlfn.LET(_xlpm.s,6+(ROW()-6)*7,_xlpm.e,MIN(_xlpm.s+6,372),_xlpm.mins,SUMIFS(INDIRECT("G"&amp;_xlpm.s&amp;":G"&amp;_xlpm.e),INDIRECT("D"&amp;_xlpm.s&amp;":D"&amp;_xlpm.e),"Deutsch")+SUMIFS(INDIRECT("L"&amp;_xlpm.s&amp;":L"&amp;_xlpm.e),INDIRECT("I"&amp;_xlpm.s&amp;":I"&amp;_xlpm.e),"Deutsch")+SUMIFS(INDIRECT("Q"&amp;_xlpm.s&amp;":Q"&amp;_xlpm.e),INDIRECT("N"&amp;_xlpm.s&amp;":N"&amp;_xlpm.e),"Deutsch"),ROUNDDOWN(_xlpm.mins/60,0)&amp;"h"&amp;ROUND(MOD(_xlpm.mins,60),0))),"")</f>
        <v>0h0</v>
      </c>
      <c r="E37" s="57" t="str">
        <f t="shared" ref="E37:E57" ca="1" si="5">IFERROR(IF(6+(ROW()-6)*7&gt;372,"",_xlfn.LET(_xlpm.s,6+(ROW()-6)*7,_xlpm.e,MIN(_xlpm.s+6,372),_xlpm.mins,SUMIFS(INDIRECT("G"&amp;_xlpm.s&amp;":G"&amp;_xlpm.e),INDIRECT("D"&amp;_xlpm.s&amp;":D"&amp;_xlpm.e),"Deutsch: Flashcards")+SUMIFS(INDIRECT("L"&amp;_xlpm.s&amp;":L"&amp;_xlpm.e),INDIRECT("I"&amp;_xlpm.s&amp;":I"&amp;_xlpm.e),"Deutsch: Flashcards")+SUMIFS(INDIRECT("Q"&amp;_xlpm.s&amp;":Q"&amp;_xlpm.e),INDIRECT("N"&amp;_xlpm.s&amp;":N"&amp;_xlpm.e),"Deutsch: Flashcards"),ROUNDDOWN(_xlpm.mins/60,0)&amp;"h"&amp;ROUND(MOD(_xlpm.mins,60),0))),"")</f>
        <v>0h0</v>
      </c>
      <c r="F37" s="134" t="str">
        <f t="shared" ref="F37:F57" ca="1" si="6">IFERROR(IF(6+(ROW()-6)*7&gt;372,"",_xlfn.LET(_xlpm.s,6+(ROW()-6)*7,_xlpm.e,MIN(_xlpm.s+6,372),_xlpm.mins,SUMIFS(INDIRECT("G"&amp;_xlpm.s&amp;":G"&amp;_xlpm.e),INDIRECT("D"&amp;_xlpm.s&amp;":D"&amp;_xlpm.e),"Product Training")+SUMIFS(INDIRECT("L"&amp;_xlpm.s&amp;":L"&amp;_xlpm.e),INDIRECT("I"&amp;_xlpm.s&amp;":I"&amp;_xlpm.e),"Product Training")+SUMIFS(INDIRECT("Q"&amp;_xlpm.s&amp;":Q"&amp;_xlpm.e),INDIRECT("N"&amp;_xlpm.s&amp;":N"&amp;_xlpm.e),"Product Training"),ROUNDDOWN(_xlpm.mins/60,0)&amp;"h"&amp;ROUND(MOD(_xlpm.mins,60),0))),"")</f>
        <v>0h0</v>
      </c>
      <c r="G37" s="134" t="str">
        <f t="shared" ref="G37:G57" ca="1" si="7">IFERROR(IF(6+(ROW()-6)*7&gt;372,"",_xlfn.LET(_xlpm.s,6+(ROW()-6)*7,_xlpm.e,MIN(_xlpm.s+6,372),_xlpm.mins,SUMIFS(INDIRECT("G"&amp;_xlpm.s&amp;":G"&amp;_xlpm.e),INDIRECT("D"&amp;_xlpm.s&amp;":D"&amp;_xlpm.e),"AWS")+SUMIFS(INDIRECT("L"&amp;_xlpm.s&amp;":L"&amp;_xlpm.e),INDIRECT("I"&amp;_xlpm.s&amp;":I"&amp;_xlpm.e),"AWS")+SUMIFS(INDIRECT("Q"&amp;_xlpm.s&amp;":Q"&amp;_xlpm.e),INDIRECT("N"&amp;_xlpm.s&amp;":N"&amp;_xlpm.e),"AWS"),ROUNDDOWN(_xlpm.mins/60,0)&amp;"h"&amp;ROUND(MOD(_xlpm.mins,60),0))),"")</f>
        <v>0h0</v>
      </c>
    </row>
    <row r="38" spans="3:7" x14ac:dyDescent="0.3">
      <c r="C38" s="133" t="str" cm="1">
        <f t="array" aca="1" ref="C38" ca="1">IFERROR(IF(6+(ROW()-6)*7&gt;372,"",_xlfn.LET(_xlpm.s,6+(ROW()-6)*7,_xlpm.e,MIN(_xlpm.s+6,372),TEXT(INDIRECT("B"&amp;_xlpm.s),"mm/dd/yy")&amp;"-"&amp;TEXT(INDIRECT("B"&amp;_xlpm.e),"mm/dd/yy"))),"")</f>
        <v>01/00/00-01/00/00</v>
      </c>
      <c r="D38" s="57" t="str">
        <f t="shared" ca="1" si="4"/>
        <v>0h0</v>
      </c>
      <c r="E38" s="57" t="str">
        <f t="shared" ca="1" si="5"/>
        <v>0h0</v>
      </c>
      <c r="F38" s="134" t="str">
        <f t="shared" ca="1" si="6"/>
        <v>0h0</v>
      </c>
      <c r="G38" s="134" t="str">
        <f t="shared" ca="1" si="7"/>
        <v>0h0</v>
      </c>
    </row>
    <row r="39" spans="3:7" x14ac:dyDescent="0.3">
      <c r="C39" s="133" t="str" cm="1">
        <f t="array" aca="1" ref="C39" ca="1">IFERROR(IF(6+(ROW()-6)*7&gt;372,"",_xlfn.LET(_xlpm.s,6+(ROW()-6)*7,_xlpm.e,MIN(_xlpm.s+6,372),TEXT(INDIRECT("B"&amp;_xlpm.s),"mm/dd/yy")&amp;"-"&amp;TEXT(INDIRECT("B"&amp;_xlpm.e),"mm/dd/yy"))),"")</f>
        <v>01/00/00-01/00/00</v>
      </c>
      <c r="D39" s="57" t="str">
        <f t="shared" ca="1" si="4"/>
        <v>0h0</v>
      </c>
      <c r="E39" s="57" t="str">
        <f t="shared" ca="1" si="5"/>
        <v>0h0</v>
      </c>
      <c r="F39" s="134" t="str">
        <f t="shared" ca="1" si="6"/>
        <v>0h0</v>
      </c>
      <c r="G39" s="134" t="str">
        <f t="shared" ca="1" si="7"/>
        <v>0h0</v>
      </c>
    </row>
    <row r="40" spans="3:7" x14ac:dyDescent="0.3">
      <c r="C40" s="133" t="str" cm="1">
        <f t="array" aca="1" ref="C40" ca="1">IFERROR(IF(6+(ROW()-6)*7&gt;372,"",_xlfn.LET(_xlpm.s,6+(ROW()-6)*7,_xlpm.e,MIN(_xlpm.s+6,372),TEXT(INDIRECT("B"&amp;_xlpm.s),"mm/dd/yy")&amp;"-"&amp;TEXT(INDIRECT("B"&amp;_xlpm.e),"mm/dd/yy"))),"")</f>
        <v>01/00/00-01/00/00</v>
      </c>
      <c r="D40" s="57" t="str">
        <f t="shared" ca="1" si="4"/>
        <v>0h0</v>
      </c>
      <c r="E40" s="57" t="str">
        <f t="shared" ca="1" si="5"/>
        <v>0h0</v>
      </c>
      <c r="F40" s="134" t="str">
        <f t="shared" ca="1" si="6"/>
        <v>0h0</v>
      </c>
      <c r="G40" s="134" t="str">
        <f t="shared" ca="1" si="7"/>
        <v>0h0</v>
      </c>
    </row>
    <row r="41" spans="3:7" x14ac:dyDescent="0.3">
      <c r="C41" s="133" t="str" cm="1">
        <f t="array" aca="1" ref="C41" ca="1">IFERROR(IF(6+(ROW()-6)*7&gt;372,"",_xlfn.LET(_xlpm.s,6+(ROW()-6)*7,_xlpm.e,MIN(_xlpm.s+6,372),TEXT(INDIRECT("B"&amp;_xlpm.s),"mm/dd/yy")&amp;"-"&amp;TEXT(INDIRECT("B"&amp;_xlpm.e),"mm/dd/yy"))),"")</f>
        <v>01/00/00-01/00/00</v>
      </c>
      <c r="D41" s="57" t="str">
        <f t="shared" ca="1" si="4"/>
        <v>0h0</v>
      </c>
      <c r="E41" s="57" t="str">
        <f t="shared" ca="1" si="5"/>
        <v>0h0</v>
      </c>
      <c r="F41" s="134" t="str">
        <f t="shared" ca="1" si="6"/>
        <v>0h0</v>
      </c>
      <c r="G41" s="134" t="str">
        <f t="shared" ca="1" si="7"/>
        <v>0h0</v>
      </c>
    </row>
    <row r="42" spans="3:7" x14ac:dyDescent="0.3">
      <c r="C42" s="133" t="str" cm="1">
        <f t="array" aca="1" ref="C42" ca="1">IFERROR(IF(6+(ROW()-6)*7&gt;372,"",_xlfn.LET(_xlpm.s,6+(ROW()-6)*7,_xlpm.e,MIN(_xlpm.s+6,372),TEXT(INDIRECT("B"&amp;_xlpm.s),"mm/dd/yy")&amp;"-"&amp;TEXT(INDIRECT("B"&amp;_xlpm.e),"mm/dd/yy"))),"")</f>
        <v>01/00/00-01/00/00</v>
      </c>
      <c r="D42" s="57" t="str">
        <f t="shared" ca="1" si="4"/>
        <v>0h0</v>
      </c>
      <c r="E42" s="57" t="str">
        <f t="shared" ca="1" si="5"/>
        <v>0h0</v>
      </c>
      <c r="F42" s="134" t="str">
        <f t="shared" ca="1" si="6"/>
        <v>0h0</v>
      </c>
      <c r="G42" s="134" t="str">
        <f t="shared" ca="1" si="7"/>
        <v>0h0</v>
      </c>
    </row>
    <row r="43" spans="3:7" x14ac:dyDescent="0.3">
      <c r="C43" s="133" t="str" cm="1">
        <f t="array" aca="1" ref="C43" ca="1">IFERROR(IF(6+(ROW()-6)*7&gt;372,"",_xlfn.LET(_xlpm.s,6+(ROW()-6)*7,_xlpm.e,MIN(_xlpm.s+6,372),TEXT(INDIRECT("B"&amp;_xlpm.s),"mm/dd/yy")&amp;"-"&amp;TEXT(INDIRECT("B"&amp;_xlpm.e),"mm/dd/yy"))),"")</f>
        <v>01/00/00-01/00/00</v>
      </c>
      <c r="D43" s="57" t="str">
        <f t="shared" ca="1" si="4"/>
        <v>0h0</v>
      </c>
      <c r="E43" s="57" t="str">
        <f t="shared" ca="1" si="5"/>
        <v>0h0</v>
      </c>
      <c r="F43" s="134" t="str">
        <f t="shared" ca="1" si="6"/>
        <v>0h0</v>
      </c>
      <c r="G43" s="134" t="str">
        <f t="shared" ca="1" si="7"/>
        <v>0h0</v>
      </c>
    </row>
    <row r="44" spans="3:7" x14ac:dyDescent="0.3">
      <c r="C44" s="133" t="str" cm="1">
        <f t="array" aca="1" ref="C44" ca="1">IFERROR(IF(6+(ROW()-6)*7&gt;372,"",_xlfn.LET(_xlpm.s,6+(ROW()-6)*7,_xlpm.e,MIN(_xlpm.s+6,372),TEXT(INDIRECT("B"&amp;_xlpm.s),"mm/dd/yy")&amp;"-"&amp;TEXT(INDIRECT("B"&amp;_xlpm.e),"mm/dd/yy"))),"")</f>
        <v>01/00/00-01/00/00</v>
      </c>
      <c r="D44" s="57" t="str">
        <f t="shared" ca="1" si="4"/>
        <v>0h0</v>
      </c>
      <c r="E44" s="57" t="str">
        <f t="shared" ca="1" si="5"/>
        <v>0h0</v>
      </c>
      <c r="F44" s="134" t="str">
        <f t="shared" ca="1" si="6"/>
        <v>0h0</v>
      </c>
      <c r="G44" s="134" t="str">
        <f t="shared" ca="1" si="7"/>
        <v>0h0</v>
      </c>
    </row>
    <row r="45" spans="3:7" x14ac:dyDescent="0.3">
      <c r="C45" s="133" t="str" cm="1">
        <f t="array" aca="1" ref="C45" ca="1">IFERROR(IF(6+(ROW()-6)*7&gt;372,"",_xlfn.LET(_xlpm.s,6+(ROW()-6)*7,_xlpm.e,MIN(_xlpm.s+6,372),TEXT(INDIRECT("B"&amp;_xlpm.s),"mm/dd/yy")&amp;"-"&amp;TEXT(INDIRECT("B"&amp;_xlpm.e),"mm/dd/yy"))),"")</f>
        <v>01/00/00-01/00/00</v>
      </c>
      <c r="D45" s="57" t="str">
        <f t="shared" ca="1" si="4"/>
        <v>0h0</v>
      </c>
      <c r="E45" s="57" t="str">
        <f t="shared" ca="1" si="5"/>
        <v>0h0</v>
      </c>
      <c r="F45" s="134" t="str">
        <f t="shared" ca="1" si="6"/>
        <v>0h0</v>
      </c>
      <c r="G45" s="134" t="str">
        <f t="shared" ca="1" si="7"/>
        <v>0h0</v>
      </c>
    </row>
    <row r="46" spans="3:7" x14ac:dyDescent="0.3">
      <c r="C46" s="133" t="str" cm="1">
        <f t="array" aca="1" ref="C46" ca="1">IFERROR(IF(6+(ROW()-6)*7&gt;372,"",_xlfn.LET(_xlpm.s,6+(ROW()-6)*7,_xlpm.e,MIN(_xlpm.s+6,372),TEXT(INDIRECT("B"&amp;_xlpm.s),"mm/dd/yy")&amp;"-"&amp;TEXT(INDIRECT("B"&amp;_xlpm.e),"mm/dd/yy"))),"")</f>
        <v>01/00/00-01/00/00</v>
      </c>
      <c r="D46" s="57" t="str">
        <f t="shared" ca="1" si="4"/>
        <v>0h0</v>
      </c>
      <c r="E46" s="57" t="str">
        <f t="shared" ca="1" si="5"/>
        <v>0h0</v>
      </c>
      <c r="F46" s="134" t="str">
        <f t="shared" ca="1" si="6"/>
        <v>0h0</v>
      </c>
      <c r="G46" s="134" t="str">
        <f t="shared" ca="1" si="7"/>
        <v>0h0</v>
      </c>
    </row>
    <row r="47" spans="3:7" x14ac:dyDescent="0.3">
      <c r="C47" s="133" t="str" cm="1">
        <f t="array" aca="1" ref="C47" ca="1">IFERROR(IF(6+(ROW()-6)*7&gt;372,"",_xlfn.LET(_xlpm.s,6+(ROW()-6)*7,_xlpm.e,MIN(_xlpm.s+6,372),TEXT(INDIRECT("B"&amp;_xlpm.s),"mm/dd/yy")&amp;"-"&amp;TEXT(INDIRECT("B"&amp;_xlpm.e),"mm/dd/yy"))),"")</f>
        <v>01/00/00-01/00/00</v>
      </c>
      <c r="D47" s="57" t="str">
        <f t="shared" ca="1" si="4"/>
        <v>0h0</v>
      </c>
      <c r="E47" s="57" t="str">
        <f t="shared" ca="1" si="5"/>
        <v>0h0</v>
      </c>
      <c r="F47" s="134" t="str">
        <f t="shared" ca="1" si="6"/>
        <v>0h0</v>
      </c>
      <c r="G47" s="134" t="str">
        <f t="shared" ca="1" si="7"/>
        <v>0h0</v>
      </c>
    </row>
    <row r="48" spans="3:7" x14ac:dyDescent="0.3">
      <c r="C48" s="133" t="str" cm="1">
        <f t="array" aca="1" ref="C48" ca="1">IFERROR(IF(6+(ROW()-6)*7&gt;372,"",_xlfn.LET(_xlpm.s,6+(ROW()-6)*7,_xlpm.e,MIN(_xlpm.s+6,372),TEXT(INDIRECT("B"&amp;_xlpm.s),"mm/dd/yy")&amp;"-"&amp;TEXT(INDIRECT("B"&amp;_xlpm.e),"mm/dd/yy"))),"")</f>
        <v>01/00/00-01/00/00</v>
      </c>
      <c r="D48" s="57" t="str">
        <f t="shared" ca="1" si="4"/>
        <v>0h0</v>
      </c>
      <c r="E48" s="57" t="str">
        <f t="shared" ca="1" si="5"/>
        <v>0h0</v>
      </c>
      <c r="F48" s="134" t="str">
        <f t="shared" ca="1" si="6"/>
        <v>0h0</v>
      </c>
      <c r="G48" s="134" t="str">
        <f t="shared" ca="1" si="7"/>
        <v>0h0</v>
      </c>
    </row>
    <row r="49" spans="3:7" x14ac:dyDescent="0.3">
      <c r="C49" s="133" t="str" cm="1">
        <f t="array" aca="1" ref="C49" ca="1">IFERROR(IF(6+(ROW()-6)*7&gt;372,"",_xlfn.LET(_xlpm.s,6+(ROW()-6)*7,_xlpm.e,MIN(_xlpm.s+6,372),TEXT(INDIRECT("B"&amp;_xlpm.s),"mm/dd/yy")&amp;"-"&amp;TEXT(INDIRECT("B"&amp;_xlpm.e),"mm/dd/yy"))),"")</f>
        <v>01/00/00-01/00/00</v>
      </c>
      <c r="D49" s="57" t="str">
        <f t="shared" ca="1" si="4"/>
        <v>0h0</v>
      </c>
      <c r="E49" s="57" t="str">
        <f t="shared" ca="1" si="5"/>
        <v>0h0</v>
      </c>
      <c r="F49" s="134" t="str">
        <f t="shared" ca="1" si="6"/>
        <v>0h0</v>
      </c>
      <c r="G49" s="134" t="str">
        <f t="shared" ca="1" si="7"/>
        <v>0h0</v>
      </c>
    </row>
    <row r="50" spans="3:7" x14ac:dyDescent="0.3">
      <c r="C50" s="133" t="str" cm="1">
        <f t="array" aca="1" ref="C50" ca="1">IFERROR(IF(6+(ROW()-6)*7&gt;372,"",_xlfn.LET(_xlpm.s,6+(ROW()-6)*7,_xlpm.e,MIN(_xlpm.s+6,372),TEXT(INDIRECT("B"&amp;_xlpm.s),"mm/dd/yy")&amp;"-"&amp;TEXT(INDIRECT("B"&amp;_xlpm.e),"mm/dd/yy"))),"")</f>
        <v>01/00/00-01/00/00</v>
      </c>
      <c r="D50" s="57" t="str">
        <f t="shared" ca="1" si="4"/>
        <v>0h0</v>
      </c>
      <c r="E50" s="57" t="str">
        <f t="shared" ca="1" si="5"/>
        <v>0h0</v>
      </c>
      <c r="F50" s="134" t="str">
        <f t="shared" ca="1" si="6"/>
        <v>0h0</v>
      </c>
      <c r="G50" s="134" t="str">
        <f t="shared" ca="1" si="7"/>
        <v>0h0</v>
      </c>
    </row>
    <row r="51" spans="3:7" x14ac:dyDescent="0.3">
      <c r="C51" s="133" t="str" cm="1">
        <f t="array" aca="1" ref="C51" ca="1">IFERROR(IF(6+(ROW()-6)*7&gt;372,"",_xlfn.LET(_xlpm.s,6+(ROW()-6)*7,_xlpm.e,MIN(_xlpm.s+6,372),TEXT(INDIRECT("B"&amp;_xlpm.s),"mm/dd/yy")&amp;"-"&amp;TEXT(INDIRECT("B"&amp;_xlpm.e),"mm/dd/yy"))),"")</f>
        <v>01/00/00-01/00/00</v>
      </c>
      <c r="D51" s="57" t="str">
        <f t="shared" ca="1" si="4"/>
        <v>0h0</v>
      </c>
      <c r="E51" s="57" t="str">
        <f t="shared" ca="1" si="5"/>
        <v>0h0</v>
      </c>
      <c r="F51" s="134" t="str">
        <f t="shared" ca="1" si="6"/>
        <v>0h0</v>
      </c>
      <c r="G51" s="134" t="str">
        <f t="shared" ca="1" si="7"/>
        <v>0h0</v>
      </c>
    </row>
    <row r="52" spans="3:7" x14ac:dyDescent="0.3">
      <c r="C52" s="133" t="str" cm="1">
        <f t="array" aca="1" ref="C52" ca="1">IFERROR(IF(6+(ROW()-6)*7&gt;372,"",_xlfn.LET(_xlpm.s,6+(ROW()-6)*7,_xlpm.e,MIN(_xlpm.s+6,372),TEXT(INDIRECT("B"&amp;_xlpm.s),"mm/dd/yy")&amp;"-"&amp;TEXT(INDIRECT("B"&amp;_xlpm.e),"mm/dd/yy"))),"")</f>
        <v>01/00/00-01/00/00</v>
      </c>
      <c r="D52" s="57" t="str">
        <f t="shared" ca="1" si="4"/>
        <v>0h0</v>
      </c>
      <c r="E52" s="57" t="str">
        <f t="shared" ca="1" si="5"/>
        <v>0h0</v>
      </c>
      <c r="F52" s="134" t="str">
        <f t="shared" ca="1" si="6"/>
        <v>0h0</v>
      </c>
      <c r="G52" s="134" t="str">
        <f t="shared" ca="1" si="7"/>
        <v>0h0</v>
      </c>
    </row>
    <row r="53" spans="3:7" x14ac:dyDescent="0.3">
      <c r="C53" s="133" t="str" cm="1">
        <f t="array" aca="1" ref="C53" ca="1">IFERROR(IF(6+(ROW()-6)*7&gt;372,"",_xlfn.LET(_xlpm.s,6+(ROW()-6)*7,_xlpm.e,MIN(_xlpm.s+6,372),TEXT(INDIRECT("B"&amp;_xlpm.s),"mm/dd/yy")&amp;"-"&amp;TEXT(INDIRECT("B"&amp;_xlpm.e),"mm/dd/yy"))),"")</f>
        <v>01/00/00-01/00/00</v>
      </c>
      <c r="D53" s="57" t="str">
        <f t="shared" ca="1" si="4"/>
        <v>0h0</v>
      </c>
      <c r="E53" s="57" t="str">
        <f t="shared" ca="1" si="5"/>
        <v>0h0</v>
      </c>
      <c r="F53" s="134" t="str">
        <f t="shared" ca="1" si="6"/>
        <v>0h0</v>
      </c>
      <c r="G53" s="134" t="str">
        <f t="shared" ca="1" si="7"/>
        <v>0h0</v>
      </c>
    </row>
    <row r="54" spans="3:7" x14ac:dyDescent="0.3">
      <c r="C54" s="133" t="str" cm="1">
        <f t="array" aca="1" ref="C54" ca="1">IFERROR(IF(6+(ROW()-6)*7&gt;372,"",_xlfn.LET(_xlpm.s,6+(ROW()-6)*7,_xlpm.e,MIN(_xlpm.s+6,372),TEXT(INDIRECT("B"&amp;_xlpm.s),"mm/dd/yy")&amp;"-"&amp;TEXT(INDIRECT("B"&amp;_xlpm.e),"mm/dd/yy"))),"")</f>
        <v>01/00/00-01/00/00</v>
      </c>
      <c r="D54" s="57" t="str">
        <f t="shared" ca="1" si="4"/>
        <v>0h0</v>
      </c>
      <c r="E54" s="57" t="str">
        <f t="shared" ca="1" si="5"/>
        <v>0h0</v>
      </c>
      <c r="F54" s="134" t="str">
        <f t="shared" ca="1" si="6"/>
        <v>0h0</v>
      </c>
      <c r="G54" s="134" t="str">
        <f t="shared" ca="1" si="7"/>
        <v>0h0</v>
      </c>
    </row>
    <row r="55" spans="3:7" x14ac:dyDescent="0.3">
      <c r="C55" s="133" t="str" cm="1">
        <f t="array" aca="1" ref="C55" ca="1">IFERROR(IF(6+(ROW()-6)*7&gt;372,"",_xlfn.LET(_xlpm.s,6+(ROW()-6)*7,_xlpm.e,MIN(_xlpm.s+6,372),TEXT(INDIRECT("B"&amp;_xlpm.s),"mm/dd/yy")&amp;"-"&amp;TEXT(INDIRECT("B"&amp;_xlpm.e),"mm/dd/yy"))),"")</f>
        <v>01/00/00-01/00/00</v>
      </c>
      <c r="D55" s="57" t="str">
        <f t="shared" ca="1" si="4"/>
        <v>0h0</v>
      </c>
      <c r="E55" s="57" t="str">
        <f t="shared" ca="1" si="5"/>
        <v>0h0</v>
      </c>
      <c r="F55" s="134" t="str">
        <f t="shared" ca="1" si="6"/>
        <v>0h0</v>
      </c>
      <c r="G55" s="134" t="str">
        <f t="shared" ca="1" si="7"/>
        <v>0h0</v>
      </c>
    </row>
    <row r="56" spans="3:7" x14ac:dyDescent="0.3">
      <c r="C56" s="133" t="str" cm="1">
        <f t="array" aca="1" ref="C56" ca="1">IFERROR(IF(6+(ROW()-6)*7&gt;372,"",_xlfn.LET(_xlpm.s,6+(ROW()-6)*7,_xlpm.e,MIN(_xlpm.s+6,372),TEXT(INDIRECT("B"&amp;_xlpm.s),"mm/dd/yy")&amp;"-"&amp;TEXT(INDIRECT("B"&amp;_xlpm.e),"mm/dd/yy"))),"")</f>
        <v>01/00/00-01/00/00</v>
      </c>
      <c r="D56" s="57" t="str">
        <f t="shared" ca="1" si="4"/>
        <v>0h0</v>
      </c>
      <c r="E56" s="57" t="str">
        <f t="shared" ca="1" si="5"/>
        <v>0h0</v>
      </c>
      <c r="F56" s="134" t="str">
        <f t="shared" ca="1" si="6"/>
        <v>0h0</v>
      </c>
      <c r="G56" s="134" t="str">
        <f t="shared" ca="1" si="7"/>
        <v>0h0</v>
      </c>
    </row>
    <row r="57" spans="3:7" x14ac:dyDescent="0.3">
      <c r="C57" s="135" t="str" cm="1">
        <f t="array" aca="1" ref="C57" ca="1">IFERROR(IF(6+(ROW()-6)*7&gt;372,"",_xlfn.LET(_xlpm.s,6+(ROW()-6)*7,_xlpm.e,MIN(_xlpm.s+6,372),TEXT(INDIRECT("B"&amp;_xlpm.s),"mm/dd/yy")&amp;"-"&amp;TEXT(INDIRECT("B"&amp;_xlpm.e),"mm/dd/yy"))),"")</f>
        <v>01/00/00-01/00/00</v>
      </c>
      <c r="D57" s="57" t="str">
        <f t="shared" ca="1" si="4"/>
        <v>0h0</v>
      </c>
      <c r="E57" s="57" t="str">
        <f t="shared" ca="1" si="5"/>
        <v>0h0</v>
      </c>
      <c r="F57" s="136" t="str">
        <f t="shared" ca="1" si="6"/>
        <v>0h0</v>
      </c>
      <c r="G57" s="136" t="str">
        <f t="shared" ca="1" si="7"/>
        <v>0h0</v>
      </c>
    </row>
  </sheetData>
  <mergeCells count="1">
    <mergeCell ref="C3:G3"/>
  </mergeCells>
  <conditionalFormatting sqref="D5:D57">
    <cfRule type="expression" dxfId="3" priority="4">
      <formula>TRUE</formula>
    </cfRule>
  </conditionalFormatting>
  <conditionalFormatting sqref="D5:D57">
    <cfRule type="expression" dxfId="2" priority="3" stopIfTrue="1">
      <formula>VALUE(LEFT(D5,FIND("h",D5)-1))&gt;=21</formula>
    </cfRule>
  </conditionalFormatting>
  <conditionalFormatting sqref="E5:E57">
    <cfRule type="expression" dxfId="1" priority="1" stopIfTrue="1">
      <formula>VALUE(LEFT(E5,FIND("h",E5)-1))&gt;=2</formula>
    </cfRule>
    <cfRule type="expression" dxfId="0" priority="2">
      <formula>TRUE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13F61B-A10E-469C-AEAE-1FF7C6FAB694}">
  <sheetPr codeName="Sheet8"/>
  <dimension ref="B1:H7"/>
  <sheetViews>
    <sheetView zoomScale="70" workbookViewId="0"/>
  </sheetViews>
  <sheetFormatPr defaultColWidth="11.44140625" defaultRowHeight="14.4" x14ac:dyDescent="0.3"/>
  <cols>
    <col min="2" max="2" width="24" bestFit="1" customWidth="1"/>
    <col min="3" max="3" width="14.5546875" customWidth="1"/>
    <col min="4" max="4" width="52.44140625" style="1" bestFit="1" customWidth="1"/>
    <col min="6" max="6" width="24" bestFit="1" customWidth="1"/>
    <col min="7" max="7" width="14.5546875" bestFit="1" customWidth="1"/>
    <col min="8" max="8" width="21.109375" bestFit="1" customWidth="1"/>
  </cols>
  <sheetData>
    <row r="1" spans="2:8" ht="24" customHeight="1" x14ac:dyDescent="0.3"/>
    <row r="2" spans="2:8" ht="18" x14ac:dyDescent="0.3">
      <c r="B2" s="199" t="s">
        <v>13</v>
      </c>
      <c r="C2" s="199"/>
      <c r="D2" s="199"/>
      <c r="F2" s="199" t="s">
        <v>14</v>
      </c>
      <c r="G2" s="199"/>
      <c r="H2" s="199"/>
    </row>
    <row r="3" spans="2:8" x14ac:dyDescent="0.3">
      <c r="B3" s="57" t="s">
        <v>110</v>
      </c>
      <c r="C3" s="57" t="s">
        <v>111</v>
      </c>
      <c r="D3" s="59" t="s">
        <v>112</v>
      </c>
      <c r="F3" s="57" t="s">
        <v>110</v>
      </c>
      <c r="G3" s="57" t="s">
        <v>111</v>
      </c>
      <c r="H3" s="58" t="s">
        <v>112</v>
      </c>
    </row>
    <row r="4" spans="2:8" ht="57.6" x14ac:dyDescent="0.3">
      <c r="B4" s="2">
        <v>15</v>
      </c>
      <c r="C4" s="2" t="s">
        <v>108</v>
      </c>
      <c r="D4" s="60" t="s">
        <v>116</v>
      </c>
      <c r="F4" s="2">
        <v>15</v>
      </c>
      <c r="G4" s="2" t="s">
        <v>119</v>
      </c>
      <c r="H4" s="63" t="s">
        <v>121</v>
      </c>
    </row>
    <row r="5" spans="2:8" ht="158.4" x14ac:dyDescent="0.3">
      <c r="B5" s="2">
        <v>60</v>
      </c>
      <c r="C5" s="2" t="s">
        <v>109</v>
      </c>
      <c r="D5" s="60" t="s">
        <v>115</v>
      </c>
      <c r="F5" s="2">
        <v>15</v>
      </c>
      <c r="G5" s="2" t="s">
        <v>120</v>
      </c>
      <c r="H5" s="63" t="s">
        <v>122</v>
      </c>
    </row>
    <row r="6" spans="2:8" ht="69" customHeight="1" x14ac:dyDescent="0.3">
      <c r="B6" s="2">
        <v>45</v>
      </c>
      <c r="C6" s="2" t="s">
        <v>117</v>
      </c>
      <c r="D6" s="60" t="s">
        <v>114</v>
      </c>
    </row>
    <row r="7" spans="2:8" ht="29.4" thickBot="1" x14ac:dyDescent="0.35">
      <c r="B7" s="61">
        <v>15</v>
      </c>
      <c r="C7" s="61" t="s">
        <v>118</v>
      </c>
      <c r="D7" s="62" t="s">
        <v>113</v>
      </c>
    </row>
  </sheetData>
  <mergeCells count="2">
    <mergeCell ref="B2:D2"/>
    <mergeCell ref="F2:H2"/>
  </mergeCells>
  <pageMargins left="0.7" right="0.7" top="0.75" bottom="0.75" header="0.3" footer="0.3"/>
  <pageSetup paperSize="9" orientation="portrait" r:id="rId1"/>
  <drawing r:id="rId2"/>
  <tableParts count="2">
    <tablePart r:id="rId3"/>
    <tablePart r:id="rId4"/>
  </tableParts>
</worksheet>
</file>

<file path=docMetadata/LabelInfo.xml><?xml version="1.0" encoding="utf-8"?>
<clbl:labelList xmlns:clbl="http://schemas.microsoft.com/office/2020/mipLabelMetadata">
  <clbl:label id="{d1b7f118-5cb2-4d4e-85a3-82e07efb07e9}" enabled="0" method="" siteId="{d1b7f118-5cb2-4d4e-85a3-82e07efb07e9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MAIN</vt:lpstr>
      <vt:lpstr>Vision Board</vt:lpstr>
      <vt:lpstr>Detailed Planning</vt:lpstr>
      <vt:lpstr>Schedule</vt:lpstr>
      <vt:lpstr>Logbook</vt:lpstr>
      <vt:lpstr>Logbook Totals</vt:lpstr>
      <vt:lpstr>Recurrent Tasks Tracker</vt:lpstr>
      <vt:lpstr>To-Do List</vt:lpstr>
      <vt:lpstr>Study Tracker</vt:lpstr>
      <vt:lpstr>Study Tracker Totals</vt:lpstr>
      <vt:lpstr>Calisthenics Routine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</dc:creator>
  <cp:lastModifiedBy>Lozano, Daniel</cp:lastModifiedBy>
  <dcterms:created xsi:type="dcterms:W3CDTF">2015-06-05T18:19:34Z</dcterms:created>
  <dcterms:modified xsi:type="dcterms:W3CDTF">2026-10-25T23:49:31Z</dcterms:modified>
</cp:coreProperties>
</file>