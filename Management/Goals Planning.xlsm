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427" documentId="13_ncr:1_{42AB6AA5-CFE1-46EE-929C-5332BF45E8B8}" xr6:coauthVersionLast="47" xr6:coauthVersionMax="47" xr10:uidLastSave="{6034EC62-B2E1-4C31-9023-B0893112E6E3}"/>
  <bookViews>
    <workbookView xWindow="28680" yWindow="-120" windowWidth="29040" windowHeight="15720" activeTab="3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48" i="11"/>
  <c r="E22" i="11"/>
  <c r="C13" i="11" a="1"/>
  <c r="E42" i="11"/>
  <c r="G21" i="11"/>
  <c r="F19" i="11"/>
  <c r="E37" i="11"/>
  <c r="F17" i="11"/>
  <c r="F34" i="11"/>
  <c r="G39" i="11"/>
  <c r="D26" i="11"/>
  <c r="E24" i="11"/>
  <c r="C53" i="11" a="1"/>
  <c r="F33" i="11"/>
  <c r="G56" i="11"/>
  <c r="G31" i="11"/>
  <c r="G26" i="11"/>
  <c r="C50" i="11" a="1"/>
  <c r="C15" i="11" a="1"/>
  <c r="G45" i="11"/>
  <c r="G20" i="11"/>
  <c r="G47" i="11"/>
  <c r="D20" i="11"/>
  <c r="C23" i="11" a="1"/>
  <c r="G55" i="11"/>
  <c r="C35" i="11" a="1"/>
  <c r="G35" i="11"/>
  <c r="G38" i="11"/>
  <c r="G25" i="11"/>
  <c r="F32" i="11"/>
  <c r="G32" i="11"/>
  <c r="D47" i="11"/>
  <c r="F57" i="11"/>
  <c r="G24" i="11"/>
  <c r="C48" i="11" a="1"/>
  <c r="F15" i="11"/>
  <c r="C17" i="11" a="1"/>
  <c r="F36" i="11"/>
  <c r="D41" i="11"/>
  <c r="G22" i="11"/>
  <c r="C25" i="11" a="1"/>
  <c r="C18" i="11" a="1"/>
  <c r="C11" i="11" a="1"/>
  <c r="D19" i="11"/>
  <c r="D18" i="11"/>
  <c r="F27" i="11"/>
  <c r="F37" i="11"/>
  <c r="D35" i="11"/>
  <c r="G34" i="11"/>
  <c r="F51" i="11"/>
  <c r="D46" i="11"/>
  <c r="C55" i="11" a="1"/>
  <c r="D5" i="11"/>
  <c r="G49" i="11"/>
  <c r="F18" i="11"/>
  <c r="F30" i="11"/>
  <c r="E34" i="11"/>
  <c r="C40" i="11" a="1"/>
  <c r="D39" i="11"/>
  <c r="D43" i="11"/>
  <c r="F23" i="11"/>
  <c r="E53" i="11"/>
  <c r="E39" i="11"/>
  <c r="G18" i="11"/>
  <c r="F50" i="11"/>
  <c r="F40" i="11"/>
  <c r="G17" i="11"/>
  <c r="G52" i="11"/>
  <c r="D57" i="11"/>
  <c r="C47" i="11" a="1"/>
  <c r="F42" i="11"/>
  <c r="C8" i="11" a="1"/>
  <c r="E27" i="11"/>
  <c r="E15" i="11"/>
  <c r="E20" i="11"/>
  <c r="F26" i="11"/>
  <c r="E55" i="11"/>
  <c r="F49" i="11"/>
  <c r="E31" i="11"/>
  <c r="E23" i="11"/>
  <c r="C30" i="11" a="1"/>
  <c r="E28" i="11"/>
  <c r="F25" i="11"/>
  <c r="D50" i="11"/>
  <c r="G41" i="11"/>
  <c r="C9" i="11" a="1"/>
  <c r="G5" i="11"/>
  <c r="C51" i="11" a="1"/>
  <c r="D28" i="11"/>
  <c r="E38" i="11"/>
  <c r="D21" i="11"/>
  <c r="F22" i="11"/>
  <c r="F56" i="11"/>
  <c r="D30" i="11"/>
  <c r="C26" i="11" a="1"/>
  <c r="C33" i="11" a="1"/>
  <c r="D23" i="11"/>
  <c r="C19" i="11" a="1"/>
  <c r="E25" i="11"/>
  <c r="D55" i="11"/>
  <c r="D42" i="11"/>
  <c r="F53" i="11"/>
  <c r="E33" i="11"/>
  <c r="G19" i="11"/>
  <c r="C52" i="11" a="1"/>
  <c r="E30" i="11"/>
  <c r="E36" i="11"/>
  <c r="F38" i="11"/>
  <c r="C10" i="11" a="1"/>
  <c r="E43" i="11"/>
  <c r="C12" i="11" a="1"/>
  <c r="F47" i="11"/>
  <c r="E52" i="11"/>
  <c r="C16" i="11" a="1"/>
  <c r="F5" i="11"/>
  <c r="D34" i="11"/>
  <c r="C39" i="11" a="1"/>
  <c r="E29" i="11"/>
  <c r="C22" i="11" a="1"/>
  <c r="G28" i="11"/>
  <c r="G43" i="11"/>
  <c r="C31" i="11" a="1"/>
  <c r="F48" i="11"/>
  <c r="F14" i="11"/>
  <c r="F54" i="11"/>
  <c r="G54" i="11"/>
  <c r="D17" i="11"/>
  <c r="D53" i="11"/>
  <c r="F28" i="11"/>
  <c r="E48" i="11"/>
  <c r="C42" i="11" a="1"/>
  <c r="F20" i="11"/>
  <c r="E14" i="11"/>
  <c r="E45" i="11"/>
  <c r="C27" i="11" a="1"/>
  <c r="C32" i="11" a="1"/>
  <c r="F41" i="11"/>
  <c r="C43" i="11" a="1"/>
  <c r="F35" i="11"/>
  <c r="D25" i="11"/>
  <c r="E44" i="11"/>
  <c r="C20" i="11" a="1"/>
  <c r="G42" i="11"/>
  <c r="D33" i="11"/>
  <c r="C6" i="11" a="1"/>
  <c r="G15" i="11"/>
  <c r="E21" i="11"/>
  <c r="E46" i="11"/>
  <c r="C56" i="11" a="1"/>
  <c r="G50" i="11"/>
  <c r="D15" i="11"/>
  <c r="G27" i="11"/>
  <c r="C45" i="11" a="1"/>
  <c r="G16" i="11"/>
  <c r="E26" i="11"/>
  <c r="G33" i="11"/>
  <c r="F46" i="11"/>
  <c r="D54" i="11"/>
  <c r="F55" i="11"/>
  <c r="E5" i="11"/>
  <c r="F31" i="11"/>
  <c r="F29" i="11"/>
  <c r="C44" i="11" a="1"/>
  <c r="E40" i="11"/>
  <c r="D37" i="11"/>
  <c r="C28" i="11" a="1"/>
  <c r="F16" i="11"/>
  <c r="C49" i="11" a="1"/>
  <c r="C38" i="11" a="1"/>
  <c r="E41" i="11"/>
  <c r="D49" i="11"/>
  <c r="D38" i="11"/>
  <c r="C21" i="11" a="1"/>
  <c r="D16" i="11"/>
  <c r="G51" i="11"/>
  <c r="D29" i="11"/>
  <c r="F39" i="11"/>
  <c r="G40" i="11"/>
  <c r="D22" i="11"/>
  <c r="D32" i="11"/>
  <c r="G36" i="11"/>
  <c r="C57" i="11" a="1"/>
  <c r="E32" i="11"/>
  <c r="G14" i="11"/>
  <c r="D44" i="11"/>
  <c r="E54" i="11"/>
  <c r="D45" i="11"/>
  <c r="C54" i="11" a="1"/>
  <c r="F45" i="11"/>
  <c r="F43" i="11"/>
  <c r="G23" i="11"/>
  <c r="C24" i="11" a="1"/>
  <c r="G37" i="11"/>
  <c r="D40" i="11"/>
  <c r="G46" i="11"/>
  <c r="F52" i="11"/>
  <c r="E51" i="11"/>
  <c r="F44" i="11"/>
  <c r="F21" i="11"/>
  <c r="D24" i="11"/>
  <c r="G8" i="11" s="1"/>
  <c r="E35" i="11"/>
  <c r="C7" i="11" a="1"/>
  <c r="C14" i="11" a="1"/>
  <c r="C34" i="11" a="1"/>
  <c r="E18" i="11"/>
  <c r="G57" i="11"/>
  <c r="E47" i="11"/>
  <c r="E57" i="11"/>
  <c r="E17" i="11"/>
  <c r="C41" i="11" a="1"/>
  <c r="G53" i="11"/>
  <c r="D56" i="11"/>
  <c r="D48" i="11"/>
  <c r="E49" i="11"/>
  <c r="D27" i="11"/>
  <c r="D51" i="11"/>
  <c r="C46" i="11" a="1"/>
  <c r="D31" i="11"/>
  <c r="E50" i="11"/>
  <c r="C37" i="11" a="1"/>
  <c r="D52" i="11"/>
  <c r="G29" i="11"/>
  <c r="F24" i="11"/>
  <c r="E16" i="11"/>
  <c r="E56" i="11"/>
  <c r="E19" i="11"/>
  <c r="C36" i="11" a="1"/>
  <c r="C5" i="11" a="1"/>
  <c r="C29" i="11" a="1"/>
  <c r="D36" i="11"/>
  <c r="G30" i="11"/>
  <c r="D14" i="11"/>
  <c r="G44" i="11"/>
  <c r="E12" i="11"/>
  <c r="E8" i="11"/>
  <c r="D8" i="11"/>
  <c r="D11" i="11"/>
  <c r="E11" i="11"/>
  <c r="F10" i="11"/>
  <c r="D10" i="11"/>
  <c r="G11" i="11"/>
  <c r="E13" i="11"/>
  <c r="D13" i="11"/>
  <c r="F13" i="11"/>
  <c r="G13" i="11"/>
  <c r="F12" i="11"/>
  <c r="G12" i="11"/>
  <c r="E9" i="11"/>
  <c r="F9" i="11"/>
  <c r="G9" i="11"/>
  <c r="D9" i="11"/>
  <c r="E10" i="11"/>
  <c r="G7" i="11"/>
  <c r="D7" i="11"/>
  <c r="F7" i="11"/>
  <c r="E7" i="11"/>
  <c r="C23" i="11" l="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10" i="11"/>
  <c r="F11" i="11"/>
  <c r="D12" i="11"/>
  <c r="F8" i="11"/>
  <c r="E8" i="7" l="1"/>
  <c r="E18" i="7"/>
  <c r="E17" i="7"/>
  <c r="E15" i="7"/>
  <c r="D15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49" i="3"/>
  <c r="E48" i="3"/>
  <c r="F3" i="5"/>
  <c r="F4" i="5"/>
  <c r="E14" i="7"/>
  <c r="E13" i="7"/>
  <c r="B10" i="8" l="1"/>
  <c r="C9" i="8"/>
  <c r="A8" i="1"/>
  <c r="B8" i="1" s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F29" i="2"/>
  <c r="H8" i="10" s="1"/>
  <c r="D29" i="2"/>
  <c r="F8" i="10" s="1"/>
  <c r="E29" i="2"/>
  <c r="G8" i="10" s="1"/>
  <c r="C29" i="2"/>
  <c r="I32" i="2"/>
  <c r="H32" i="2"/>
  <c r="H31" i="2"/>
  <c r="J6" i="10" s="1"/>
  <c r="I25" i="2"/>
  <c r="K4" i="10" s="1"/>
  <c r="H25" i="2"/>
  <c r="J4" i="10" s="1"/>
  <c r="G31" i="2"/>
  <c r="I6" i="10" s="1"/>
  <c r="G27" i="2"/>
  <c r="F27" i="2"/>
  <c r="F31" i="2"/>
  <c r="H6" i="10" s="1"/>
  <c r="E31" i="2"/>
  <c r="G6" i="10" s="1"/>
  <c r="E27" i="2"/>
  <c r="D27" i="2"/>
  <c r="C27" i="2"/>
  <c r="I27" i="2"/>
  <c r="H27" i="2"/>
  <c r="E25" i="2"/>
  <c r="G4" i="10" s="1"/>
  <c r="D26" i="2"/>
  <c r="F3" i="10" s="1"/>
  <c r="D25" i="2"/>
  <c r="F4" i="10" s="1"/>
  <c r="C31" i="2"/>
  <c r="E6" i="10" s="1"/>
  <c r="E10" i="7"/>
  <c r="E11" i="7"/>
  <c r="E12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9" i="7"/>
  <c r="E7" i="7"/>
  <c r="E6" i="7"/>
  <c r="E5" i="7"/>
  <c r="E4" i="7"/>
  <c r="E16" i="7"/>
  <c r="B13" i="8" l="1"/>
  <c r="C12" i="8"/>
  <c r="A11" i="1"/>
  <c r="B11" i="1" s="1"/>
  <c r="I28" i="2"/>
  <c r="K7" i="10" s="1"/>
  <c r="E32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F28" i="2"/>
  <c r="H7" i="10" s="1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K28" i="2" s="1"/>
  <c r="F26" i="2"/>
  <c r="H3" i="10" s="1"/>
  <c r="D33" i="2"/>
  <c r="E33" i="2"/>
  <c r="F33" i="2"/>
  <c r="G33" i="2"/>
  <c r="H33" i="2"/>
  <c r="I33" i="2"/>
  <c r="C33" i="2"/>
  <c r="G26" i="2"/>
  <c r="I3" i="10" s="1"/>
  <c r="C26" i="2"/>
  <c r="E3" i="10" s="1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<sst xmlns="http://schemas.openxmlformats.org/spreadsheetml/2006/main" count="5193" uniqueCount="297">
  <si>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</si>
  <si>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</si>
  <si>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</si>
  <si>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</si>
  <si>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</si>
  <si>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</si>
  <si>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</si>
  <si>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</si>
  <si>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</si>
  <si>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</si>
  <si>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</si>
  <si>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</si>
  <si>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</si>
  <si>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</si>
  <si>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</si>
  <si>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</si>
  <si>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</si>
  <si>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</si>
  <si>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</si>
  <si>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</si>
  <si>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</si>
  <si>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</si>
  <si>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</si>
  <si>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</si>
  <si>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</si>
  <si>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</si>
  <si>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</si>
  <si>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</si>
  <si>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</si>
  <si>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</si>
  <si>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</si>
  <si>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</si>
  <si>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</si>
  <si>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</si>
  <si>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</si>
  <si>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</si>
  <si>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</si>
  <si>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</si>
  <si>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</si>
  <si>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</si>
  <si>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</si>
  <si>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</si>
  <si>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</si>
  <si>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</si>
  <si>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</si>
  <si>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</si>
  <si>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</si>
  <si>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</si>
  <si>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</si>
  <si>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</si>
  <si>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</si>
  <si>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</si>
  <si>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</si>
  <si>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</si>
  <si>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</si>
  <si>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</si>
  <si>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</si>
  <si>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</si>
  <si>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</si>
  <si>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</si>
  <si>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</si>
  <si>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</si>
  <si>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</si>
  <si>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</si>
  <si>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</si>
  <si>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</si>
  <si>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</si>
  <si>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</si>
  <si>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</si>
  <si>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</si>
  <si>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</si>
  <si>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</si>
  <si>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</si>
  <si>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</si>
  <si>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</si>
  <si>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</si>
  <si>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</si>
  <si>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</si>
  <si>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</si>
  <si>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</si>
  <si>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</si>
  <si>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</si>
  <si>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</si>
  <si>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</si>
  <si>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</si>
  <si>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</si>
  <si>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</si>
  <si>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</si>
  <si>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</si>
  <si>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</si>
  <si>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</si>
  <si>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</si>
  <si>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</si>
  <si>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</si>
  <si>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</si>
  <si>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</si>
  <si>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</si>
  <si>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</si>
  <si>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</si>
  <si>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</si>
  <si>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</si>
  <si>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</si>
  <si>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</si>
  <si>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</si>
  <si>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</si>
  <si>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</si>
  <si>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</si>
  <si>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</si>
  <si>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</si>
  <si>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</si>
  <si>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</si>
  <si>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</si>
  <si>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</si>
  <si>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</si>
  <si>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</si>
  <si>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</si>
  <si>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</si>
  <si>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</si>
  <si>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</si>
  <si>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</si>
  <si>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</si>
  <si>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</si>
  <si>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</si>
  <si>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</si>
  <si>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</si>
  <si>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</si>
  <si>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</si>
  <si>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</si>
  <si>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</si>
  <si>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</si>
  <si>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</si>
  <si>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</si>
  <si>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</si>
  <si>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</si>
  <si>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</si>
  <si>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</si>
  <si>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</si>
  <si>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</si>
  <si>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</si>
  <si>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</si>
  <si>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</si>
  <si>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</si>
  <si>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</si>
  <si>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</si>
  <si>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</si>
  <si>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</si>
  <si>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</si>
  <si>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</si>
  <si>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</si>
  <si>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</si>
  <si>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</si>
  <si>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</si>
  <si>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</si>
  <si>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</si>
  <si>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</si>
  <si>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</si>
  <si>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</si>
  <si>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</si>
  <si>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</si>
  <si>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</si>
  <si>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</si>
  <si>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</si>
  <si>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</si>
  <si>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</si>
  <si>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</si>
  <si>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</si>
  <si>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</si>
  <si>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</si>
  <si>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</si>
  <si>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</si>
  <si>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</si>
  <si>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</si>
  <si>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</si>
  <si>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</si>
  <si>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</si>
  <si>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</si>
  <si>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</si>
  <si>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</si>
  <si>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</si>
  <si>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</si>
  <si>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</si>
  <si>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</si>
  <si>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</si>
  <si>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</si>
  <si>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</si>
  <si>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</si>
  <si>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</si>
  <si>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</si>
  <si>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</si>
  <si>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</si>
  <si>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</si>
  <si>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</si>
  <si>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</si>
  <si>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</si>
  <si>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</si>
  <si>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</si>
  <si>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</si>
  <si>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</si>
  <si>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</si>
  <si>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</si>
  <si>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</si>
  <si>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</si>
  <si>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</si>
  <si>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</si>
  <si>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</si>
  <si>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</si>
  <si>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</si>
  <si>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</si>
  <si>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</si>
  <si>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</si>
  <si>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</si>
  <si>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</si>
  <si>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</si>
  <si>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</si>
  <si>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</si>
  <si>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</si>
  <si>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</si>
  <si>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</si>
  <si>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</si>
  <si>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</si>
  <si>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</si>
  <si>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</si>
  <si>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</si>
  <si>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</si>
  <si>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</si>
  <si>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</si>
  <si>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</si>
  <si>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</si>
  <si>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</si>
  <si>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</si>
  <si>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</si>
  <si>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</si>
  <si>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</si>
  <si>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</si>
  <si>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</si>
  <si>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</si>
  <si>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</si>
  <si>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</si>
  <si>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</si>
  <si>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</si>
  <si>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</si>
  <si>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</si>
  <si>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</si>
  <si>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</si>
  <si>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</si>
  <si>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</si>
  <si>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</si>
  <si>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</si>
  <si>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</si>
  <si>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</si>
  <si>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</si>
  <si>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</si>
  <si>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</si>
  <si>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</si>
  <si>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</si>
  <si>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</si>
  <si>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</si>
  <si>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</si>
  <si>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</si>
  <si>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</si>
  <si>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</si>
  <si>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</si>
  <si>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</si>
  <si>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</si>
  <si>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7:10</t>
    </r>
  </si>
  <si>
    <r>
      <rPr>
        <sz val="8"/>
        <color theme="1"/>
        <rFont val="Calibri"/>
        <family val="2"/>
        <scheme val="minor"/>
      </rPr>
      <t>7:10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</si>
  <si>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</si>
  <si>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</si>
  <si>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</si>
  <si>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</si>
  <si>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</si>
  <si>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</si>
  <si>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</si>
  <si>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</si>
  <si>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</si>
  <si>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</si>
  <si>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</si>
  <si>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</si>
  <si>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</si>
  <si>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</si>
  <si>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</si>
  <si>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</si>
  <si>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</si>
  <si>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</si>
  <si>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</si>
  <si>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</si>
  <si>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</si>
  <si>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</si>
  <si>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</si>
  <si>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7:10</t>
    </r>
  </si>
  <si>
    <r>
      <rPr>
        <sz val="8"/>
        <color theme="1"/>
        <rFont val="Calibri"/>
        <family val="2"/>
        <scheme val="minor"/>
      </rPr>
      <t>7:10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</si>
  <si>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</si>
  <si>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</si>
  <si>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11:00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</si>
  <si>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</si>
  <si>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</si>
  <si>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17:00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</si>
</sst>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1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40" applyNumberFormat="0" applyAlignment="0" applyProtection="0"/>
    <xf numFmtId="0" fontId="11" fillId="16" borderId="0" applyNumberFormat="0" applyBorder="0" applyAlignment="0" applyProtection="0"/>
  </cellStyleXfs>
  <cellXfs count="193">
    <xf numFmtId="0" fontId="0" fillId="0" borderId="0" xfId="0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" xfId="0" applyBorder="1"/>
    <xf numFmtId="0" fontId="0" fillId="0" borderId="14" xfId="0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2" fontId="0" fillId="0" borderId="20" xfId="0" applyNumberFormat="1" applyBorder="1"/>
    <xf numFmtId="164" fontId="0" fillId="0" borderId="21" xfId="0" applyNumberFormat="1" applyBorder="1"/>
    <xf numFmtId="49" fontId="0" fillId="7" borderId="22" xfId="0" applyNumberFormat="1" applyFill="1" applyBorder="1"/>
    <xf numFmtId="49" fontId="0" fillId="7" borderId="23" xfId="0" applyNumberFormat="1" applyFill="1" applyBorder="1"/>
    <xf numFmtId="0" fontId="0" fillId="4" borderId="26" xfId="0" applyFill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4" borderId="2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3" xfId="0" applyNumberFormat="1" applyFill="1" applyBorder="1" applyAlignment="1">
      <alignment horizontal="right" vertical="center"/>
    </xf>
    <xf numFmtId="1" fontId="0" fillId="5" borderId="34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6" xfId="0" applyFill="1" applyBorder="1"/>
    <xf numFmtId="0" fontId="0" fillId="3" borderId="17" xfId="0" applyFill="1" applyBorder="1"/>
    <xf numFmtId="0" fontId="0" fillId="3" borderId="22" xfId="0" applyFill="1" applyBorder="1"/>
    <xf numFmtId="0" fontId="0" fillId="3" borderId="23" xfId="0" applyFill="1" applyBorder="1"/>
    <xf numFmtId="1" fontId="0" fillId="5" borderId="31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5" borderId="32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30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2" fontId="0" fillId="11" borderId="14" xfId="0" applyNumberFormat="1" applyFill="1" applyBorder="1" applyAlignment="1">
      <alignment horizontal="right" vertical="center"/>
    </xf>
    <xf numFmtId="2" fontId="0" fillId="11" borderId="39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1" xfId="0" applyFill="1" applyBorder="1"/>
    <xf numFmtId="0" fontId="0" fillId="0" borderId="41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20" xfId="1" applyBorder="1"/>
    <xf numFmtId="0" fontId="7" fillId="10" borderId="19" xfId="1" applyBorder="1"/>
    <xf numFmtId="2" fontId="7" fillId="10" borderId="20" xfId="1" applyNumberFormat="1" applyBorder="1"/>
    <xf numFmtId="164" fontId="7" fillId="10" borderId="20" xfId="1" applyNumberFormat="1" applyBorder="1"/>
    <xf numFmtId="164" fontId="7" fillId="10" borderId="21" xfId="1" applyNumberFormat="1" applyBorder="1"/>
    <xf numFmtId="0" fontId="0" fillId="0" borderId="8" xfId="0" applyBorder="1"/>
    <xf numFmtId="2" fontId="7" fillId="10" borderId="1" xfId="1" applyNumberFormat="1" applyBorder="1"/>
    <xf numFmtId="2" fontId="0" fillId="0" borderId="8" xfId="0" applyNumberFormat="1" applyBorder="1"/>
    <xf numFmtId="14" fontId="5" fillId="0" borderId="18" xfId="0" applyNumberFormat="1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4" borderId="42" xfId="0" applyFont="1" applyFill="1" applyBorder="1" applyAlignment="1">
      <alignment horizontal="center" vertical="center" wrapText="1"/>
    </xf>
    <xf numFmtId="0" fontId="10" fillId="6" borderId="27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10" fillId="6" borderId="35" xfId="0" applyFont="1" applyFill="1" applyBorder="1" applyAlignment="1">
      <alignment horizontal="center" vertical="center"/>
    </xf>
    <xf numFmtId="0" fontId="10" fillId="6" borderId="29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20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20" xfId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8" xfId="2" applyFont="1" applyFill="1" applyBorder="1" applyAlignment="1">
      <alignment horizontal="center" vertical="center"/>
    </xf>
    <xf numFmtId="16" fontId="9" fillId="15" borderId="8" xfId="2" applyNumberFormat="1" applyFont="1" applyFill="1" applyBorder="1" applyAlignment="1">
      <alignment horizontal="center" vertical="center"/>
    </xf>
    <xf numFmtId="1" fontId="9" fillId="15" borderId="8" xfId="0" applyNumberFormat="1" applyFont="1" applyFill="1" applyBorder="1" applyAlignment="1">
      <alignment horizontal="center" vertical="center"/>
    </xf>
    <xf numFmtId="0" fontId="7" fillId="10" borderId="8" xfId="1" applyBorder="1" applyAlignment="1">
      <alignment horizontal="center" vertical="center"/>
    </xf>
    <xf numFmtId="16" fontId="7" fillId="10" borderId="8" xfId="1" applyNumberFormat="1" applyBorder="1" applyAlignment="1">
      <alignment horizontal="center" vertical="center"/>
    </xf>
    <xf numFmtId="1" fontId="7" fillId="10" borderId="20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8" xfId="1" applyNumberFormat="1" applyBorder="1" applyAlignment="1">
      <alignment horizontal="center" vertical="center"/>
    </xf>
    <xf numFmtId="1" fontId="7" fillId="10" borderId="15" xfId="1" applyNumberFormat="1" applyBorder="1" applyAlignment="1">
      <alignment horizontal="center" vertical="center"/>
    </xf>
    <xf numFmtId="0" fontId="13" fillId="10" borderId="44" xfId="1" applyFont="1" applyBorder="1" applyAlignment="1">
      <alignment horizontal="center" vertical="center"/>
    </xf>
    <xf numFmtId="16" fontId="13" fillId="10" borderId="44" xfId="1" applyNumberFormat="1" applyFont="1" applyBorder="1" applyAlignment="1">
      <alignment horizontal="center" vertical="center"/>
    </xf>
    <xf numFmtId="1" fontId="13" fillId="10" borderId="44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8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49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3" xfId="0" applyFont="1" applyBorder="1" applyAlignment="1">
      <alignment horizontal="center" vertical="center"/>
    </xf>
    <xf numFmtId="0" fontId="5" fillId="0" borderId="56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2" fontId="0" fillId="0" borderId="52" xfId="0" applyNumberFormat="1" applyBorder="1" applyAlignment="1">
      <alignment horizontal="center" vertical="center"/>
    </xf>
    <xf numFmtId="166" fontId="0" fillId="0" borderId="52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2" fontId="0" fillId="0" borderId="51" xfId="0" applyNumberFormat="1" applyBorder="1" applyAlignment="1">
      <alignment horizontal="center" vertical="center"/>
    </xf>
    <xf numFmtId="49" fontId="0" fillId="7" borderId="16" xfId="0" applyNumberFormat="1" applyFill="1" applyBorder="1"/>
    <xf numFmtId="49" fontId="0" fillId="7" borderId="57" xfId="0" applyNumberFormat="1" applyFill="1" applyBorder="1"/>
    <xf numFmtId="49" fontId="0" fillId="7" borderId="17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8" xfId="0" applyNumberFormat="1" applyFill="1" applyBorder="1"/>
    <xf numFmtId="49" fontId="0" fillId="7" borderId="59" xfId="0" applyNumberFormat="1" applyFill="1" applyBorder="1"/>
    <xf numFmtId="49" fontId="0" fillId="7" borderId="60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2" xfId="0" applyNumberFormat="1" applyBorder="1" applyAlignment="1">
      <alignment horizontal="center" vertical="center"/>
    </xf>
    <xf numFmtId="167" fontId="0" fillId="0" borderId="51" xfId="0" applyNumberFormat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6" xfId="0" applyNumberFormat="1" applyFont="1" applyFill="1" applyBorder="1" applyAlignment="1">
      <alignment horizontal="center" vertical="center"/>
    </xf>
    <xf numFmtId="49" fontId="6" fillId="8" borderId="57" xfId="0" applyNumberFormat="1" applyFont="1" applyFill="1" applyBorder="1" applyAlignment="1">
      <alignment horizontal="center" vertical="center"/>
    </xf>
    <xf numFmtId="49" fontId="6" fillId="8" borderId="17" xfId="0" applyNumberFormat="1" applyFont="1" applyFill="1" applyBorder="1" applyAlignment="1">
      <alignment horizontal="center" vertical="center"/>
    </xf>
    <xf numFmtId="0" fontId="4" fillId="9" borderId="43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4" fillId="18" borderId="46" xfId="0" applyFont="1" applyFill="1" applyBorder="1" applyAlignment="1">
      <alignment horizontal="center" vertical="center"/>
    </xf>
    <xf numFmtId="0" fontId="4" fillId="18" borderId="4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3" fillId="2" borderId="61" xfId="0" applyFont="1" applyFill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Aug 31, 2026 to Sep 6,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Totals'!$C$3:$C$9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'Logbook Totals'!$L$3:$L$9</c:f>
              <c:numCache>
                <c:formatCode>0.00</c:formatCode>
                <c:ptCount val="7"/>
                <c:pt idx="0">
                  <c:v>3.2489999999999997</c:v>
                </c:pt>
                <c:pt idx="1">
                  <c:v>0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786765</xdr:colOff>
      <xdr:row>1</xdr:row>
      <xdr:rowOff>170526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82955" y="3619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10</xdr:row>
      <xdr:rowOff>20955</xdr:rowOff>
    </xdr:from>
    <xdr:to>
      <xdr:col>13</xdr:col>
      <xdr:colOff>965835</xdr:colOff>
      <xdr:row>29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9" totalsRowShown="0" headerRowDxfId="83" dataDxfId="82" tableBorderDxfId="81">
  <autoFilter ref="C2:N9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/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62" dataDxfId="61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C3 + MAX(0, (30-_xlfn.DAYS(D3, TODAY()))) + (10-E3)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72" t="s">
        <v>260</v>
      </c>
      <c r="B1" s="172"/>
      <c r="C1" s="172"/>
      <c r="D1" s="172"/>
      <c r="E1" s="172"/>
      <c r="F1" s="172"/>
      <c r="G1" s="172"/>
      <c r="H1" s="172"/>
      <c r="I1" s="172"/>
      <c r="J1" s="172"/>
    </row>
    <row r="2" spans="1:10" ht="22.05" customHeight="1" x14ac:dyDescent="0.3">
      <c r="A2" s="173" t="s">
        <v>261</v>
      </c>
      <c r="B2" s="173"/>
      <c r="C2" s="173"/>
      <c r="D2" s="173"/>
      <c r="E2" s="173"/>
      <c r="F2" s="173"/>
      <c r="G2" s="173"/>
      <c r="H2" s="173"/>
      <c r="I2" s="173"/>
      <c r="J2" s="173"/>
    </row>
    <row r="4" spans="1:10" ht="24" customHeight="1" x14ac:dyDescent="0.3">
      <c r="A4" s="174" t="s">
        <v>262</v>
      </c>
      <c r="B4" s="174"/>
      <c r="C4" s="174"/>
      <c r="D4" s="174"/>
      <c r="E4" s="174"/>
      <c r="F4" s="174"/>
      <c r="G4" s="174"/>
      <c r="H4" s="174"/>
      <c r="I4" s="174"/>
      <c r="J4" s="174"/>
    </row>
    <row r="5" spans="1:10" ht="22.05" customHeight="1" x14ac:dyDescent="0.3"/>
    <row r="6" spans="1:10" ht="22.05" customHeight="1" x14ac:dyDescent="0.3"/>
    <row r="7" spans="1:10" ht="22.05" customHeight="1" x14ac:dyDescent="0.3"/>
    <row r="8" spans="1:10" ht="12" customHeight="1" x14ac:dyDescent="0.3"/>
    <row r="9" spans="1:10" ht="22.05" customHeight="1" x14ac:dyDescent="0.3"/>
    <row r="10" spans="1:10" ht="22.05" customHeight="1" x14ac:dyDescent="0.3"/>
    <row r="11" spans="1:10" ht="22.05" customHeight="1" x14ac:dyDescent="0.3"/>
    <row r="12" spans="1:10" ht="12" customHeight="1" x14ac:dyDescent="0.3"/>
    <row r="13" spans="1:10" ht="22.05" customHeight="1" x14ac:dyDescent="0.3"/>
    <row r="14" spans="1:10" ht="22.05" customHeight="1" x14ac:dyDescent="0.3"/>
    <row r="15" spans="1:10" ht="22.05" customHeight="1" x14ac:dyDescent="0.3"/>
    <row r="16" spans="1:10" ht="12" customHeight="1" x14ac:dyDescent="0.3"/>
    <row r="17" spans="1:10" ht="22.05" customHeight="1" x14ac:dyDescent="0.3"/>
    <row r="18" spans="1:10" ht="22.05" customHeight="1" x14ac:dyDescent="0.3"/>
    <row r="19" spans="1:10" ht="22.05" customHeight="1" x14ac:dyDescent="0.3"/>
    <row r="20" spans="1:10" ht="12" customHeight="1" x14ac:dyDescent="0.3"/>
    <row r="21" spans="1:10" ht="21" customHeight="1" x14ac:dyDescent="0.3">
      <c r="A21" s="175"/>
      <c r="B21" s="175"/>
      <c r="C21" s="175"/>
      <c r="D21" s="175"/>
      <c r="E21" s="175"/>
      <c r="F21" s="175"/>
      <c r="G21" s="175"/>
      <c r="H21" s="175"/>
      <c r="I21" s="175"/>
      <c r="J21" s="175"/>
    </row>
    <row r="22" spans="1:10" ht="21" customHeight="1" x14ac:dyDescent="0.3">
      <c r="A22" s="175"/>
      <c r="B22" s="175"/>
      <c r="C22" s="175"/>
      <c r="D22" s="175"/>
      <c r="E22" s="175"/>
      <c r="F22" s="175"/>
      <c r="G22" s="175"/>
      <c r="H22" s="175"/>
      <c r="I22" s="175"/>
      <c r="J22" s="17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76" t="s">
        <v>67</v>
      </c>
      <c r="C2" s="177"/>
      <c r="D2" s="177"/>
      <c r="E2" s="177"/>
      <c r="F2" s="177"/>
      <c r="G2" s="177"/>
      <c r="H2" s="177"/>
      <c r="I2" s="177"/>
      <c r="J2" s="177"/>
      <c r="K2" s="177"/>
      <c r="L2" s="178"/>
    </row>
    <row r="3" spans="2:12" x14ac:dyDescent="0.3">
      <c r="B3" s="159"/>
      <c r="C3" s="160"/>
      <c r="D3" s="160"/>
      <c r="E3" s="160"/>
      <c r="F3" s="160"/>
      <c r="G3" s="160"/>
      <c r="H3" s="160"/>
      <c r="I3" s="160"/>
      <c r="J3" s="160"/>
      <c r="K3" s="160"/>
      <c r="L3" s="161"/>
    </row>
    <row r="4" spans="2:12" x14ac:dyDescent="0.3">
      <c r="B4" s="30"/>
      <c r="C4" s="162"/>
      <c r="D4" s="162"/>
      <c r="E4" s="162"/>
      <c r="F4" s="162"/>
      <c r="G4" s="162"/>
      <c r="H4" s="162"/>
      <c r="I4" s="162"/>
      <c r="J4" s="162"/>
      <c r="K4" s="162"/>
      <c r="L4" s="31"/>
    </row>
    <row r="5" spans="2:12" x14ac:dyDescent="0.3">
      <c r="B5" s="30"/>
      <c r="C5" s="162"/>
      <c r="D5" s="162"/>
      <c r="E5" s="162"/>
      <c r="F5" s="162"/>
      <c r="G5" s="162"/>
      <c r="H5" s="162"/>
      <c r="I5" s="162"/>
      <c r="J5" s="162"/>
      <c r="K5" s="162"/>
      <c r="L5" s="31"/>
    </row>
    <row r="6" spans="2:12" x14ac:dyDescent="0.3">
      <c r="B6" s="30"/>
      <c r="C6" s="162"/>
      <c r="D6" s="167" t="s">
        <v>4</v>
      </c>
      <c r="E6" s="162"/>
      <c r="F6" s="162"/>
      <c r="G6" s="167" t="s">
        <v>61</v>
      </c>
      <c r="H6" s="162"/>
      <c r="I6" s="162"/>
      <c r="J6" s="167" t="s">
        <v>5</v>
      </c>
      <c r="K6" s="162"/>
      <c r="L6" s="31"/>
    </row>
    <row r="7" spans="2:12" x14ac:dyDescent="0.3">
      <c r="B7" s="30"/>
      <c r="C7" s="162"/>
      <c r="D7" s="162" t="s">
        <v>42</v>
      </c>
      <c r="E7" s="162"/>
      <c r="F7" s="162"/>
      <c r="G7" s="162" t="s">
        <v>58</v>
      </c>
      <c r="H7" s="162"/>
      <c r="I7" s="162"/>
      <c r="J7" s="162" t="s">
        <v>204</v>
      </c>
      <c r="K7" s="162"/>
      <c r="L7" s="31"/>
    </row>
    <row r="8" spans="2:12" x14ac:dyDescent="0.3">
      <c r="B8" s="30"/>
      <c r="C8" s="162"/>
      <c r="D8" s="162" t="s">
        <v>43</v>
      </c>
      <c r="E8" s="162"/>
      <c r="F8" s="162"/>
      <c r="G8" s="162" t="s">
        <v>59</v>
      </c>
      <c r="H8" s="162"/>
      <c r="I8" s="162"/>
      <c r="J8" s="162"/>
      <c r="K8" s="162"/>
      <c r="L8" s="31"/>
    </row>
    <row r="9" spans="2:12" x14ac:dyDescent="0.3">
      <c r="B9" s="30"/>
      <c r="C9" s="162"/>
      <c r="D9" s="162" t="s">
        <v>44</v>
      </c>
      <c r="E9" s="162"/>
      <c r="F9" s="162"/>
      <c r="G9" s="162" t="s">
        <v>60</v>
      </c>
      <c r="H9" s="162"/>
      <c r="I9" s="162"/>
      <c r="J9" s="162"/>
      <c r="K9" s="162"/>
      <c r="L9" s="31"/>
    </row>
    <row r="10" spans="2:12" x14ac:dyDescent="0.3">
      <c r="B10" s="30"/>
      <c r="C10" s="162"/>
      <c r="D10" s="162"/>
      <c r="E10" s="162"/>
      <c r="F10" s="162"/>
      <c r="G10" s="162" t="s">
        <v>62</v>
      </c>
      <c r="H10" s="162"/>
      <c r="I10" s="162"/>
      <c r="J10" s="162"/>
      <c r="K10" s="162"/>
      <c r="L10" s="31"/>
    </row>
    <row r="11" spans="2:12" x14ac:dyDescent="0.3">
      <c r="B11" s="30"/>
      <c r="C11" s="162"/>
      <c r="D11" s="162"/>
      <c r="E11" s="162"/>
      <c r="F11" s="162"/>
      <c r="G11" s="162" t="s">
        <v>63</v>
      </c>
      <c r="H11" s="162"/>
      <c r="I11" s="162"/>
      <c r="J11" s="162"/>
      <c r="K11" s="162"/>
      <c r="L11" s="31"/>
    </row>
    <row r="12" spans="2:12" x14ac:dyDescent="0.3">
      <c r="B12" s="30"/>
      <c r="C12" s="162"/>
      <c r="D12" s="162"/>
      <c r="E12" s="162"/>
      <c r="F12" s="162"/>
      <c r="G12" s="162" t="s">
        <v>64</v>
      </c>
      <c r="H12" s="162"/>
      <c r="I12" s="162"/>
      <c r="J12" s="162"/>
      <c r="K12" s="162"/>
      <c r="L12" s="31"/>
    </row>
    <row r="13" spans="2:12" x14ac:dyDescent="0.3">
      <c r="B13" s="30"/>
      <c r="C13" s="162"/>
      <c r="D13" s="162"/>
      <c r="E13" s="162"/>
      <c r="F13" s="162"/>
      <c r="G13" s="162" t="s">
        <v>65</v>
      </c>
      <c r="H13" s="162"/>
      <c r="I13" s="162"/>
      <c r="J13" s="162"/>
      <c r="K13" s="162"/>
      <c r="L13" s="31"/>
    </row>
    <row r="14" spans="2:12" x14ac:dyDescent="0.3">
      <c r="B14" s="30"/>
      <c r="C14" s="162"/>
      <c r="D14" s="162"/>
      <c r="E14" s="162"/>
      <c r="F14" s="162"/>
      <c r="G14" s="162"/>
      <c r="H14" s="162"/>
      <c r="I14" s="162"/>
      <c r="J14" s="162"/>
      <c r="K14" s="162"/>
      <c r="L14" s="31"/>
    </row>
    <row r="15" spans="2:12" x14ac:dyDescent="0.3">
      <c r="B15" s="30"/>
      <c r="C15" s="162"/>
      <c r="D15" s="162"/>
      <c r="E15" s="162"/>
      <c r="F15" s="162"/>
      <c r="G15" s="162"/>
      <c r="H15" s="162"/>
      <c r="I15" s="162"/>
      <c r="J15" s="162"/>
      <c r="K15" s="162"/>
      <c r="L15" s="31"/>
    </row>
    <row r="16" spans="2:12" x14ac:dyDescent="0.3">
      <c r="B16" s="30"/>
      <c r="C16" s="162"/>
      <c r="D16" s="168" t="s">
        <v>7</v>
      </c>
      <c r="E16" s="162"/>
      <c r="F16" s="162"/>
      <c r="G16" s="167" t="s">
        <v>46</v>
      </c>
      <c r="H16" s="162"/>
      <c r="I16" s="162"/>
      <c r="J16" s="169" t="s">
        <v>47</v>
      </c>
      <c r="K16" s="162"/>
      <c r="L16" s="31"/>
    </row>
    <row r="17" spans="2:12" x14ac:dyDescent="0.3">
      <c r="B17" s="30"/>
      <c r="C17" s="162"/>
      <c r="D17" s="163" t="s">
        <v>45</v>
      </c>
      <c r="E17" s="162"/>
      <c r="F17" s="162"/>
      <c r="G17" s="162" t="s">
        <v>48</v>
      </c>
      <c r="H17" s="162"/>
      <c r="I17" s="162"/>
      <c r="J17" s="162" t="s">
        <v>49</v>
      </c>
      <c r="K17" s="162"/>
      <c r="L17" s="31"/>
    </row>
    <row r="18" spans="2:12" x14ac:dyDescent="0.3">
      <c r="B18" s="30"/>
      <c r="C18" s="162"/>
      <c r="D18" s="162"/>
      <c r="E18" s="162"/>
      <c r="F18" s="162"/>
      <c r="G18" s="162" t="s">
        <v>52</v>
      </c>
      <c r="H18" s="162"/>
      <c r="I18" s="162"/>
      <c r="J18" s="162" t="s">
        <v>50</v>
      </c>
      <c r="K18" s="162"/>
      <c r="L18" s="31"/>
    </row>
    <row r="19" spans="2:12" x14ac:dyDescent="0.3">
      <c r="B19" s="30"/>
      <c r="C19" s="162"/>
      <c r="D19" s="162"/>
      <c r="E19" s="162"/>
      <c r="F19" s="162"/>
      <c r="G19" s="162" t="s">
        <v>53</v>
      </c>
      <c r="H19" s="162"/>
      <c r="I19" s="162"/>
      <c r="J19" s="162" t="s">
        <v>51</v>
      </c>
      <c r="K19" s="162"/>
      <c r="L19" s="31"/>
    </row>
    <row r="20" spans="2:12" x14ac:dyDescent="0.3">
      <c r="B20" s="30"/>
      <c r="C20" s="162"/>
      <c r="D20" s="162"/>
      <c r="E20" s="162"/>
      <c r="F20" s="162"/>
      <c r="G20" s="162" t="s">
        <v>54</v>
      </c>
      <c r="H20" s="162"/>
      <c r="I20" s="162"/>
      <c r="J20" s="162" t="s">
        <v>66</v>
      </c>
      <c r="K20" s="162"/>
      <c r="L20" s="31"/>
    </row>
    <row r="21" spans="2:12" x14ac:dyDescent="0.3">
      <c r="B21" s="30"/>
      <c r="C21" s="162"/>
      <c r="D21" s="162"/>
      <c r="E21" s="162"/>
      <c r="F21" s="162"/>
      <c r="G21" s="162" t="s">
        <v>55</v>
      </c>
      <c r="H21" s="162"/>
      <c r="I21" s="162"/>
      <c r="J21" s="162"/>
      <c r="K21" s="162"/>
      <c r="L21" s="31"/>
    </row>
    <row r="22" spans="2:12" x14ac:dyDescent="0.3">
      <c r="B22" s="30"/>
      <c r="C22" s="162"/>
      <c r="D22" s="162"/>
      <c r="E22" s="162"/>
      <c r="F22" s="162"/>
      <c r="G22" s="162" t="s">
        <v>56</v>
      </c>
      <c r="H22" s="162"/>
      <c r="I22" s="162"/>
      <c r="J22" s="162"/>
      <c r="K22" s="162"/>
      <c r="L22" s="31"/>
    </row>
    <row r="23" spans="2:12" x14ac:dyDescent="0.3">
      <c r="B23" s="30"/>
      <c r="C23" s="162"/>
      <c r="D23" s="162"/>
      <c r="E23" s="162"/>
      <c r="F23" s="162"/>
      <c r="G23" s="162" t="s">
        <v>57</v>
      </c>
      <c r="H23" s="162"/>
      <c r="I23" s="162"/>
      <c r="J23" s="162"/>
      <c r="K23" s="162"/>
      <c r="L23" s="31"/>
    </row>
    <row r="24" spans="2:12" ht="15" thickBot="1" x14ac:dyDescent="0.35">
      <c r="B24" s="164"/>
      <c r="C24" s="165"/>
      <c r="D24" s="165"/>
      <c r="E24" s="165"/>
      <c r="F24" s="165"/>
      <c r="G24" s="165"/>
      <c r="H24" s="165"/>
      <c r="I24" s="165"/>
      <c r="J24" s="165"/>
      <c r="K24" s="165"/>
      <c r="L24" s="166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C1" zoomScale="106" workbookViewId="0">
      <selection activeCell="K7" sqref="K7"/>
    </sheetView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83" t="s">
        <v>31</v>
      </c>
      <c r="C4" s="84" t="s">
        <v>37</v>
      </c>
      <c r="D4" s="85" t="s">
        <v>32</v>
      </c>
      <c r="E4" s="85" t="s">
        <v>179</v>
      </c>
      <c r="F4" s="85" t="s">
        <v>33</v>
      </c>
      <c r="G4" s="85" t="s">
        <v>34</v>
      </c>
      <c r="H4" s="85" t="s">
        <v>180</v>
      </c>
      <c r="I4" s="85" t="s">
        <v>181</v>
      </c>
      <c r="J4" s="85" t="s">
        <v>35</v>
      </c>
      <c r="K4" s="85" t="s">
        <v>36</v>
      </c>
    </row>
    <row r="5" spans="2:11" x14ac:dyDescent="0.3">
      <c r="B5" s="24" t="s">
        <v>0</v>
      </c>
      <c r="C5" s="23" t="s">
        <v>38</v>
      </c>
      <c r="D5" s="23" t="s">
        <v>39</v>
      </c>
      <c r="E5" s="80">
        <v>3</v>
      </c>
      <c r="F5">
        <v>4.5</v>
      </c>
      <c r="G5">
        <v>7.5</v>
      </c>
      <c r="H5" s="82">
        <f>Schedule!J25/7</f>
        <v>3</v>
      </c>
      <c r="I5">
        <f>Schedule!J25</f>
        <v>21</v>
      </c>
      <c r="K5" s="25"/>
    </row>
    <row r="6" spans="2:11" x14ac:dyDescent="0.3">
      <c r="B6" s="76" t="s">
        <v>1</v>
      </c>
      <c r="C6" s="75" t="s">
        <v>40</v>
      </c>
      <c r="D6" s="75" t="s">
        <v>41</v>
      </c>
      <c r="E6" s="38">
        <v>1</v>
      </c>
      <c r="F6" s="75">
        <v>2</v>
      </c>
      <c r="G6" s="77">
        <v>3</v>
      </c>
      <c r="H6" s="81">
        <v>1</v>
      </c>
      <c r="I6" s="77">
        <v>7</v>
      </c>
      <c r="J6" s="78"/>
      <c r="K6" s="79"/>
    </row>
    <row r="7" spans="2:11" x14ac:dyDescent="0.3">
      <c r="B7" s="26" t="s">
        <v>85</v>
      </c>
      <c r="C7" s="27" t="s">
        <v>86</v>
      </c>
      <c r="D7" s="27" t="s">
        <v>90</v>
      </c>
      <c r="E7" s="27">
        <v>2</v>
      </c>
      <c r="F7">
        <v>2.5</v>
      </c>
      <c r="G7">
        <v>3.5</v>
      </c>
      <c r="H7" s="28">
        <f>Schedule!$J$31/7</f>
        <v>1.5118571428571428</v>
      </c>
      <c r="I7">
        <f>Schedule!$J$31</f>
        <v>10.583</v>
      </c>
      <c r="K7" s="29"/>
    </row>
    <row r="10" spans="2:11" ht="18" x14ac:dyDescent="0.3">
      <c r="B10" s="91" t="s">
        <v>185</v>
      </c>
      <c r="C10" s="91" t="s">
        <v>186</v>
      </c>
      <c r="D10" s="91" t="s">
        <v>187</v>
      </c>
      <c r="E10" s="91" t="s">
        <v>188</v>
      </c>
      <c r="G10" s="181" t="s">
        <v>164</v>
      </c>
      <c r="H10" s="181"/>
      <c r="I10" s="181"/>
    </row>
    <row r="11" spans="2:11" ht="15.6" x14ac:dyDescent="0.3">
      <c r="B11" s="179" t="s">
        <v>73</v>
      </c>
      <c r="C11" s="180"/>
      <c r="D11" s="180"/>
      <c r="E11" s="180"/>
      <c r="G11" s="74" t="s">
        <v>91</v>
      </c>
      <c r="H11" s="74" t="s">
        <v>167</v>
      </c>
      <c r="I11" s="74" t="s">
        <v>168</v>
      </c>
      <c r="J11" s="36"/>
      <c r="K11" s="36"/>
    </row>
    <row r="12" spans="2:11" x14ac:dyDescent="0.3">
      <c r="B12" s="103" t="s">
        <v>74</v>
      </c>
      <c r="C12" s="92">
        <v>46024</v>
      </c>
      <c r="D12" s="92">
        <v>46029</v>
      </c>
      <c r="E12" s="98">
        <f>_xlfn.DAYS(D12, C12)+1</f>
        <v>6</v>
      </c>
      <c r="G12" t="s">
        <v>166</v>
      </c>
      <c r="H12" t="s">
        <v>169</v>
      </c>
      <c r="I12" s="73"/>
      <c r="J12" s="36"/>
      <c r="K12" s="36"/>
    </row>
    <row r="13" spans="2:11" x14ac:dyDescent="0.3">
      <c r="B13" s="103" t="s">
        <v>70</v>
      </c>
      <c r="C13" s="92">
        <v>46037</v>
      </c>
      <c r="D13" s="92">
        <v>46044</v>
      </c>
      <c r="E13" s="98">
        <f t="shared" ref="E13:E15" si="0">_xlfn.DAYS(D13, C13)+1</f>
        <v>8</v>
      </c>
      <c r="G13" t="s">
        <v>84</v>
      </c>
      <c r="H13" t="s">
        <v>165</v>
      </c>
      <c r="I13" s="73"/>
      <c r="J13" s="36"/>
      <c r="K13" s="36"/>
    </row>
    <row r="14" spans="2:11" x14ac:dyDescent="0.3">
      <c r="B14" s="104" t="s">
        <v>71</v>
      </c>
      <c r="C14" s="99">
        <v>46045</v>
      </c>
      <c r="D14" s="99">
        <v>46059</v>
      </c>
      <c r="E14" s="100">
        <f t="shared" si="0"/>
        <v>15</v>
      </c>
      <c r="I14" s="36"/>
      <c r="J14" s="36"/>
      <c r="K14" s="36"/>
    </row>
    <row r="15" spans="2:11" x14ac:dyDescent="0.3">
      <c r="B15" s="104" t="s">
        <v>72</v>
      </c>
      <c r="C15" s="99">
        <v>46060</v>
      </c>
      <c r="D15" s="99">
        <v>46060</v>
      </c>
      <c r="E15" s="100">
        <f t="shared" si="0"/>
        <v>1</v>
      </c>
      <c r="F15" s="36"/>
      <c r="G15" s="36"/>
      <c r="H15" s="36"/>
      <c r="I15" s="36"/>
      <c r="J15" s="36"/>
      <c r="K15" s="36"/>
    </row>
    <row r="16" spans="2:11" x14ac:dyDescent="0.3">
      <c r="B16" s="179" t="s">
        <v>83</v>
      </c>
      <c r="C16" s="180"/>
      <c r="D16" s="180"/>
      <c r="E16" s="180"/>
      <c r="F16" s="36"/>
      <c r="G16" s="36"/>
      <c r="H16" s="36"/>
      <c r="I16" s="36"/>
      <c r="J16" s="36"/>
      <c r="K16" s="36"/>
    </row>
    <row r="17" spans="2:5" x14ac:dyDescent="0.3">
      <c r="B17" s="63" t="s">
        <v>69</v>
      </c>
      <c r="C17" s="93" t="s">
        <v>88</v>
      </c>
      <c r="D17" s="93" t="s">
        <v>88</v>
      </c>
      <c r="E17" s="94" t="e">
        <f t="shared" ref="E17:E20" si="1">_xlfn.DAYS(D17, C17)</f>
        <v>#VALUE!</v>
      </c>
    </row>
    <row r="18" spans="2:5" x14ac:dyDescent="0.3">
      <c r="B18" s="63" t="s">
        <v>70</v>
      </c>
      <c r="C18" s="93" t="s">
        <v>88</v>
      </c>
      <c r="D18" s="93" t="s">
        <v>88</v>
      </c>
      <c r="E18" s="94" t="e">
        <f t="shared" si="1"/>
        <v>#VALUE!</v>
      </c>
    </row>
    <row r="19" spans="2:5" x14ac:dyDescent="0.3">
      <c r="B19" s="63" t="s">
        <v>71</v>
      </c>
      <c r="C19" s="93" t="s">
        <v>88</v>
      </c>
      <c r="D19" s="93" t="s">
        <v>88</v>
      </c>
      <c r="E19" s="94" t="e">
        <f t="shared" si="1"/>
        <v>#VALUE!</v>
      </c>
    </row>
    <row r="20" spans="2:5" x14ac:dyDescent="0.3">
      <c r="B20" s="63" t="s">
        <v>72</v>
      </c>
      <c r="C20" s="93" t="s">
        <v>88</v>
      </c>
      <c r="D20" s="93" t="s">
        <v>88</v>
      </c>
      <c r="E20" s="94" t="e">
        <f t="shared" si="1"/>
        <v>#VALUE!</v>
      </c>
    </row>
    <row r="21" spans="2:5" x14ac:dyDescent="0.3">
      <c r="B21" s="179" t="s">
        <v>189</v>
      </c>
      <c r="C21" s="180"/>
      <c r="D21" s="180"/>
      <c r="E21" s="180"/>
    </row>
    <row r="22" spans="2:5" x14ac:dyDescent="0.3">
      <c r="B22" s="103" t="s">
        <v>75</v>
      </c>
      <c r="C22" s="92">
        <v>46024</v>
      </c>
      <c r="D22" s="92">
        <v>46066</v>
      </c>
      <c r="E22" s="98">
        <f>_xlfn.DAYS(D22, C22)+1</f>
        <v>43</v>
      </c>
    </row>
    <row r="23" spans="2:5" x14ac:dyDescent="0.3">
      <c r="B23" s="103" t="s">
        <v>76</v>
      </c>
      <c r="C23" s="92">
        <v>46067</v>
      </c>
      <c r="D23" s="92">
        <v>46080</v>
      </c>
      <c r="E23" s="98">
        <f t="shared" ref="E23:E24" si="2">_xlfn.DAYS(D23, C23)+1</f>
        <v>14</v>
      </c>
    </row>
    <row r="24" spans="2:5" x14ac:dyDescent="0.3">
      <c r="B24" s="103" t="s">
        <v>77</v>
      </c>
      <c r="C24" s="92">
        <v>46081</v>
      </c>
      <c r="D24" s="92">
        <v>46094</v>
      </c>
      <c r="E24" s="98">
        <f t="shared" si="2"/>
        <v>14</v>
      </c>
    </row>
    <row r="25" spans="2:5" x14ac:dyDescent="0.3">
      <c r="B25" s="179" t="s">
        <v>207</v>
      </c>
      <c r="C25" s="180"/>
      <c r="D25" s="180"/>
      <c r="E25" s="180"/>
    </row>
    <row r="26" spans="2:5" ht="15" thickBot="1" x14ac:dyDescent="0.35">
      <c r="B26" s="127" t="s">
        <v>75</v>
      </c>
      <c r="C26" s="128">
        <v>46114</v>
      </c>
      <c r="D26" s="128">
        <v>46169</v>
      </c>
      <c r="E26" s="129">
        <f>_xlfn.DAYS(D26, C26)+1</f>
        <v>56</v>
      </c>
    </row>
    <row r="27" spans="2:5" x14ac:dyDescent="0.3">
      <c r="B27" s="115" t="s">
        <v>190</v>
      </c>
      <c r="C27" s="116">
        <v>46114</v>
      </c>
      <c r="D27" s="116">
        <v>46120</v>
      </c>
      <c r="E27" s="122">
        <f t="shared" ref="E27:E47" si="3">_xlfn.DAYS(D27, C27)+1</f>
        <v>7</v>
      </c>
    </row>
    <row r="28" spans="2:5" x14ac:dyDescent="0.3">
      <c r="B28" s="103" t="s">
        <v>191</v>
      </c>
      <c r="C28" s="92">
        <v>46121</v>
      </c>
      <c r="D28" s="92">
        <v>46127</v>
      </c>
      <c r="E28" s="98">
        <f t="shared" si="3"/>
        <v>7</v>
      </c>
    </row>
    <row r="29" spans="2:5" x14ac:dyDescent="0.3">
      <c r="B29" s="103" t="s">
        <v>192</v>
      </c>
      <c r="C29" s="92">
        <v>46128</v>
      </c>
      <c r="D29" s="92">
        <v>46134</v>
      </c>
      <c r="E29" s="98">
        <f t="shared" si="3"/>
        <v>7</v>
      </c>
    </row>
    <row r="30" spans="2:5" x14ac:dyDescent="0.3">
      <c r="B30" s="103" t="s">
        <v>193</v>
      </c>
      <c r="C30" s="92">
        <v>46135</v>
      </c>
      <c r="D30" s="92">
        <v>46141</v>
      </c>
      <c r="E30" s="98">
        <f t="shared" si="3"/>
        <v>7</v>
      </c>
    </row>
    <row r="31" spans="2:5" x14ac:dyDescent="0.3">
      <c r="B31" s="103" t="s">
        <v>194</v>
      </c>
      <c r="C31" s="92">
        <v>46142</v>
      </c>
      <c r="D31" s="92">
        <v>46148</v>
      </c>
      <c r="E31" s="98">
        <f t="shared" si="3"/>
        <v>7</v>
      </c>
    </row>
    <row r="32" spans="2:5" x14ac:dyDescent="0.3">
      <c r="B32" s="103" t="s">
        <v>195</v>
      </c>
      <c r="C32" s="92">
        <v>46149</v>
      </c>
      <c r="D32" s="92">
        <v>46155</v>
      </c>
      <c r="E32" s="98">
        <f t="shared" si="3"/>
        <v>7</v>
      </c>
    </row>
    <row r="33" spans="2:5" x14ac:dyDescent="0.3">
      <c r="B33" s="103" t="s">
        <v>196</v>
      </c>
      <c r="C33" s="92">
        <v>46156</v>
      </c>
      <c r="D33" s="92">
        <v>46162</v>
      </c>
      <c r="E33" s="98">
        <f t="shared" si="3"/>
        <v>7</v>
      </c>
    </row>
    <row r="34" spans="2:5" ht="15" thickBot="1" x14ac:dyDescent="0.35">
      <c r="B34" s="119" t="s">
        <v>197</v>
      </c>
      <c r="C34" s="120">
        <v>46163</v>
      </c>
      <c r="D34" s="120">
        <v>46169</v>
      </c>
      <c r="E34" s="121">
        <f t="shared" si="3"/>
        <v>7</v>
      </c>
    </row>
    <row r="35" spans="2:5" ht="15" thickBot="1" x14ac:dyDescent="0.35">
      <c r="B35" s="124" t="s">
        <v>200</v>
      </c>
      <c r="C35" s="125">
        <v>46114</v>
      </c>
      <c r="D35" s="125">
        <v>46163</v>
      </c>
      <c r="E35" s="126">
        <f t="shared" si="3"/>
        <v>50</v>
      </c>
    </row>
    <row r="36" spans="2:5" x14ac:dyDescent="0.3">
      <c r="B36" s="115" t="s">
        <v>190</v>
      </c>
      <c r="C36" s="116">
        <v>46114</v>
      </c>
      <c r="D36" s="116">
        <v>46123</v>
      </c>
      <c r="E36" s="123">
        <f t="shared" si="3"/>
        <v>10</v>
      </c>
    </row>
    <row r="37" spans="2:5" x14ac:dyDescent="0.3">
      <c r="B37" s="115" t="s">
        <v>191</v>
      </c>
      <c r="C37" s="116">
        <v>46124</v>
      </c>
      <c r="D37" s="116">
        <v>46133</v>
      </c>
      <c r="E37" s="117">
        <f t="shared" si="3"/>
        <v>10</v>
      </c>
    </row>
    <row r="38" spans="2:5" x14ac:dyDescent="0.3">
      <c r="B38" s="115" t="s">
        <v>192</v>
      </c>
      <c r="C38" s="116">
        <v>46134</v>
      </c>
      <c r="D38" s="116">
        <v>46143</v>
      </c>
      <c r="E38" s="117">
        <f t="shared" si="3"/>
        <v>10</v>
      </c>
    </row>
    <row r="39" spans="2:5" x14ac:dyDescent="0.3">
      <c r="B39" s="115" t="s">
        <v>193</v>
      </c>
      <c r="C39" s="116">
        <v>46144</v>
      </c>
      <c r="D39" s="116">
        <v>46153</v>
      </c>
      <c r="E39" s="117">
        <f t="shared" si="3"/>
        <v>10</v>
      </c>
    </row>
    <row r="40" spans="2:5" ht="15" thickBot="1" x14ac:dyDescent="0.35">
      <c r="B40" s="119" t="s">
        <v>194</v>
      </c>
      <c r="C40" s="120">
        <v>46154</v>
      </c>
      <c r="D40" s="120">
        <v>46163</v>
      </c>
      <c r="E40" s="121">
        <f t="shared" si="3"/>
        <v>10</v>
      </c>
    </row>
    <row r="41" spans="2:5" x14ac:dyDescent="0.3">
      <c r="B41" s="106" t="s">
        <v>198</v>
      </c>
      <c r="C41" s="107">
        <v>46170</v>
      </c>
      <c r="D41" s="107">
        <v>46170</v>
      </c>
      <c r="E41" s="108">
        <f t="shared" si="3"/>
        <v>1</v>
      </c>
    </row>
    <row r="42" spans="2:5" x14ac:dyDescent="0.3">
      <c r="B42" s="63" t="s">
        <v>199</v>
      </c>
      <c r="C42" s="93">
        <v>46171</v>
      </c>
      <c r="D42" s="93">
        <v>46171</v>
      </c>
      <c r="E42" s="94">
        <f t="shared" si="3"/>
        <v>1</v>
      </c>
    </row>
    <row r="43" spans="2:5" ht="15" thickBot="1" x14ac:dyDescent="0.35">
      <c r="B43" s="109" t="s">
        <v>76</v>
      </c>
      <c r="C43" s="110">
        <v>46172</v>
      </c>
      <c r="D43" s="110">
        <v>46225</v>
      </c>
      <c r="E43" s="111">
        <f t="shared" si="3"/>
        <v>54</v>
      </c>
    </row>
    <row r="44" spans="2:5" x14ac:dyDescent="0.3">
      <c r="B44" s="112" t="s">
        <v>79</v>
      </c>
      <c r="C44" s="113">
        <v>46146</v>
      </c>
      <c r="D44" s="113">
        <v>46148</v>
      </c>
      <c r="E44" s="114">
        <f t="shared" si="3"/>
        <v>3</v>
      </c>
    </row>
    <row r="45" spans="2:5" x14ac:dyDescent="0.3">
      <c r="B45" s="101" t="s">
        <v>80</v>
      </c>
      <c r="C45" s="96">
        <v>46169</v>
      </c>
      <c r="D45" s="96">
        <v>46169</v>
      </c>
      <c r="E45" s="102">
        <f t="shared" si="3"/>
        <v>1</v>
      </c>
    </row>
    <row r="46" spans="2:5" x14ac:dyDescent="0.3">
      <c r="B46" s="112" t="s">
        <v>82</v>
      </c>
      <c r="C46" s="113">
        <v>46174</v>
      </c>
      <c r="D46" s="113">
        <v>46176</v>
      </c>
      <c r="E46" s="114">
        <f t="shared" si="3"/>
        <v>3</v>
      </c>
    </row>
    <row r="47" spans="2:5" x14ac:dyDescent="0.3">
      <c r="B47" s="112" t="s">
        <v>81</v>
      </c>
      <c r="C47" s="113">
        <v>46197</v>
      </c>
      <c r="D47" s="113">
        <v>46197</v>
      </c>
      <c r="E47" s="114">
        <f t="shared" si="3"/>
        <v>1</v>
      </c>
    </row>
    <row r="48" spans="2:5" ht="15" thickBot="1" x14ac:dyDescent="0.35">
      <c r="B48" s="109" t="s">
        <v>205</v>
      </c>
      <c r="C48" s="110">
        <v>46203</v>
      </c>
      <c r="D48" s="110">
        <v>46205</v>
      </c>
      <c r="E48" s="111">
        <f t="shared" ref="E48:E49" si="4">_xlfn.DAYS(D48, C48)+1</f>
        <v>3</v>
      </c>
    </row>
    <row r="49" spans="2:5" x14ac:dyDescent="0.3">
      <c r="B49" s="85" t="s">
        <v>206</v>
      </c>
      <c r="C49" s="130">
        <v>46225</v>
      </c>
      <c r="D49" s="130">
        <v>46225</v>
      </c>
      <c r="E49" s="131">
        <f t="shared" si="4"/>
        <v>1</v>
      </c>
    </row>
    <row r="50" spans="2:5" x14ac:dyDescent="0.3">
      <c r="B50" s="179" t="s">
        <v>41</v>
      </c>
      <c r="C50" s="180"/>
      <c r="D50" s="180"/>
      <c r="E50" s="180"/>
    </row>
    <row r="51" spans="2:5" x14ac:dyDescent="0.3">
      <c r="B51" s="103" t="s">
        <v>78</v>
      </c>
      <c r="C51" s="92">
        <v>46024</v>
      </c>
      <c r="D51" s="92">
        <v>46053</v>
      </c>
      <c r="E51" s="98">
        <f>_xlfn.DAYS(D51, C51)+1</f>
        <v>30</v>
      </c>
    </row>
    <row r="52" spans="2:5" x14ac:dyDescent="0.3">
      <c r="B52" s="103" t="s">
        <v>76</v>
      </c>
      <c r="C52" s="92">
        <v>46053</v>
      </c>
      <c r="D52" s="92">
        <v>46098</v>
      </c>
      <c r="E52" s="98">
        <f t="shared" ref="E52:E54" si="5">_xlfn.DAYS(D52, C52)+1</f>
        <v>46</v>
      </c>
    </row>
    <row r="53" spans="2:5" x14ac:dyDescent="0.3">
      <c r="B53" s="103" t="s">
        <v>79</v>
      </c>
      <c r="C53" s="92">
        <v>46041</v>
      </c>
      <c r="D53" s="92">
        <v>46069</v>
      </c>
      <c r="E53" s="98">
        <f t="shared" si="5"/>
        <v>29</v>
      </c>
    </row>
    <row r="54" spans="2:5" x14ac:dyDescent="0.3">
      <c r="B54" s="105" t="s">
        <v>80</v>
      </c>
      <c r="C54" s="95">
        <v>46100</v>
      </c>
      <c r="D54" s="95">
        <v>46100</v>
      </c>
      <c r="E54" s="98">
        <f t="shared" si="5"/>
        <v>1</v>
      </c>
    </row>
    <row r="55" spans="2:5" x14ac:dyDescent="0.3">
      <c r="B55" s="101" t="s">
        <v>82</v>
      </c>
      <c r="C55" s="96">
        <v>46139</v>
      </c>
      <c r="D55" s="96">
        <v>46165</v>
      </c>
      <c r="E55" s="97">
        <f>_xlfn.DAYS(D55, C55)+1</f>
        <v>27</v>
      </c>
    </row>
    <row r="56" spans="2:5" x14ac:dyDescent="0.3">
      <c r="B56" s="101" t="s">
        <v>81</v>
      </c>
      <c r="C56" s="96">
        <v>46191</v>
      </c>
      <c r="D56" s="96">
        <v>46191</v>
      </c>
      <c r="E56" s="97">
        <f>_xlfn.DAYS(D56, C56)+1</f>
        <v>1</v>
      </c>
    </row>
    <row r="57" spans="2:5" x14ac:dyDescent="0.3">
      <c r="B57" s="179" t="s">
        <v>87</v>
      </c>
      <c r="C57" s="180"/>
      <c r="D57" s="180"/>
      <c r="E57" s="180"/>
    </row>
    <row r="58" spans="2:5" x14ac:dyDescent="0.3">
      <c r="B58" s="63" t="s">
        <v>75</v>
      </c>
      <c r="C58" s="37"/>
      <c r="D58" s="37"/>
      <c r="E58" s="94">
        <f>_xlfn.DAYS(D58, C58)+1</f>
        <v>1</v>
      </c>
    </row>
    <row r="59" spans="2:5" x14ac:dyDescent="0.3">
      <c r="B59" s="63" t="s">
        <v>76</v>
      </c>
      <c r="C59" s="37"/>
      <c r="D59" s="37"/>
      <c r="E59" s="94">
        <f t="shared" ref="E59:E63" si="6">_xlfn.DAYS(D59, C59)+1</f>
        <v>1</v>
      </c>
    </row>
    <row r="60" spans="2:5" x14ac:dyDescent="0.3">
      <c r="B60" s="63" t="s">
        <v>79</v>
      </c>
      <c r="C60" s="37"/>
      <c r="D60" s="37"/>
      <c r="E60" s="94">
        <f t="shared" si="6"/>
        <v>1</v>
      </c>
    </row>
    <row r="61" spans="2:5" x14ac:dyDescent="0.3">
      <c r="B61" s="63" t="s">
        <v>80</v>
      </c>
      <c r="C61" s="37"/>
      <c r="D61" s="37"/>
      <c r="E61" s="94">
        <f t="shared" si="6"/>
        <v>1</v>
      </c>
    </row>
    <row r="62" spans="2:5" x14ac:dyDescent="0.3">
      <c r="B62" s="63" t="s">
        <v>82</v>
      </c>
      <c r="C62" s="37"/>
      <c r="D62" s="37"/>
      <c r="E62" s="94">
        <f t="shared" si="6"/>
        <v>1</v>
      </c>
    </row>
    <row r="63" spans="2:5" x14ac:dyDescent="0.3">
      <c r="B63" s="63" t="s">
        <v>81</v>
      </c>
      <c r="C63" s="37"/>
      <c r="D63" s="37"/>
      <c r="E63" s="94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tabSelected="1" zoomScale="85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6" t="s">
        <v>8</v>
      </c>
      <c r="D3" s="7" t="s">
        <v>9</v>
      </c>
      <c r="E3" s="7" t="s">
        <v>10</v>
      </c>
      <c r="F3" s="7" t="s">
        <v>11</v>
      </c>
      <c r="G3" s="189" t="s">
        <v>12</v>
      </c>
      <c r="H3" s="7" t="s">
        <v>13</v>
      </c>
      <c r="I3" s="8" t="s">
        <v>14</v>
      </c>
      <c r="J3" s="182" t="s">
        <v>26</v>
      </c>
      <c r="K3" s="183"/>
    </row>
    <row r="4" spans="3:11" ht="40.200000000000003" x14ac:dyDescent="0.3">
      <c r="C4" s="16" t="s">
        <v>178</v>
      </c>
      <c r="D4" s="22" t="s">
        <v>178</v>
      </c>
      <c r="E4" s="22" t="s">
        <v>178</v>
      </c>
      <c r="F4" s="22" t="s">
        <v>178</v>
      </c>
      <c r="G4" s="191" t="s">
        <v>178</v>
      </c>
      <c r="H4" s="22" t="s">
        <v>178</v>
      </c>
      <c r="I4" s="17" t="s">
        <v>178</v>
      </c>
      <c r="J4" s="45"/>
      <c r="K4" s="46"/>
    </row>
    <row r="5" spans="3:11" ht="40.200000000000003" x14ac:dyDescent="0.3">
      <c r="C5" s="12" t="s">
        <v>15</v>
      </c>
      <c r="D5" s="18" t="s">
        <v>15</v>
      </c>
      <c r="E5" s="18" t="s">
        <v>15</v>
      </c>
      <c r="F5" s="18" t="s">
        <v>15</v>
      </c>
      <c r="G5" s="13" t="s">
        <v>15</v>
      </c>
      <c r="H5" s="13" t="s">
        <v>15</v>
      </c>
      <c r="I5" s="32" t="s">
        <v>15</v>
      </c>
      <c r="J5" s="47"/>
      <c r="K5" s="48"/>
    </row>
    <row r="6" spans="3:11" ht="57" x14ac:dyDescent="0.3">
      <c r="C6" s="4" t="s">
        <v>27</v>
      </c>
      <c r="D6" s="19" t="s">
        <v>271</v>
      </c>
      <c r="E6" s="19" t="s">
        <v>283</v>
      </c>
      <c r="F6" s="19" t="s">
        <v>27</v>
      </c>
      <c r="G6" s="2" t="s">
        <v>27</v>
      </c>
      <c r="H6" s="3" t="s">
        <v>145</v>
      </c>
      <c r="I6" s="33" t="s">
        <v>16</v>
      </c>
      <c r="J6" s="47"/>
      <c r="K6" s="48"/>
    </row>
    <row r="7" spans="3:11" ht="41.4" x14ac:dyDescent="0.3">
      <c r="C7" s="14" t="s">
        <v>28</v>
      </c>
      <c r="D7" s="20" t="s">
        <v>272</v>
      </c>
      <c r="E7" s="20" t="s">
        <v>284</v>
      </c>
      <c r="F7" s="20" t="s">
        <v>288</v>
      </c>
      <c r="G7" s="15" t="s">
        <v>28</v>
      </c>
      <c r="H7" s="15" t="s">
        <v>68</v>
      </c>
      <c r="I7" s="34" t="s">
        <v>147</v>
      </c>
      <c r="J7" s="47"/>
      <c r="K7" s="48"/>
    </row>
    <row r="8" spans="3:11" ht="41.4" x14ac:dyDescent="0.3">
      <c r="C8" s="5" t="s">
        <v>264</v>
      </c>
      <c r="D8" s="21" t="s">
        <v>270</v>
      </c>
      <c r="E8" s="21" t="s">
        <v>17</v>
      </c>
      <c r="F8" s="21" t="s">
        <v>289</v>
      </c>
      <c r="G8" s="3" t="s">
        <v>264</v>
      </c>
      <c r="H8" s="3" t="s">
        <v>29</v>
      </c>
      <c r="I8" s="33" t="s">
        <v>148</v>
      </c>
      <c r="J8" s="47"/>
      <c r="K8" s="48"/>
    </row>
    <row r="9" spans="3:11" ht="41.4" x14ac:dyDescent="0.3">
      <c r="C9" s="14" t="s">
        <v>265</v>
      </c>
      <c r="D9" s="20" t="s">
        <v>174</v>
      </c>
      <c r="E9" s="20" t="s">
        <v>174</v>
      </c>
      <c r="F9" s="20" t="s">
        <v>290</v>
      </c>
      <c r="G9" s="15" t="s">
        <v>265</v>
      </c>
      <c r="H9" s="15" t="s">
        <v>30</v>
      </c>
      <c r="I9" s="34" t="s">
        <v>149</v>
      </c>
      <c r="J9" s="47"/>
      <c r="K9" s="48"/>
    </row>
    <row r="10" spans="3:11" ht="41.4" x14ac:dyDescent="0.3">
      <c r="C10" s="5" t="s">
        <v>266</v>
      </c>
      <c r="D10" s="21" t="s">
        <v>175</v>
      </c>
      <c r="E10" s="21" t="s">
        <v>175</v>
      </c>
      <c r="F10" s="21" t="s">
        <v>291</v>
      </c>
      <c r="G10" s="3" t="s">
        <v>266</v>
      </c>
      <c r="H10" s="3" t="s">
        <v>144</v>
      </c>
      <c r="I10" s="33" t="s">
        <v>18</v>
      </c>
      <c r="J10" s="47"/>
      <c r="K10" s="48"/>
    </row>
    <row r="11" spans="3:11" ht="41.4" x14ac:dyDescent="0.3">
      <c r="C11" s="86" t="s">
        <v>267</v>
      </c>
      <c r="D11" s="15" t="s">
        <v>176</v>
      </c>
      <c r="E11" s="15" t="s">
        <v>176</v>
      </c>
      <c r="F11" s="15" t="s">
        <v>292</v>
      </c>
      <c r="G11" s="15" t="s">
        <v>267</v>
      </c>
      <c r="H11" s="15" t="s">
        <v>20</v>
      </c>
      <c r="I11" s="32" t="s">
        <v>19</v>
      </c>
      <c r="J11" s="47"/>
      <c r="K11" s="48"/>
    </row>
    <row r="12" spans="3:11" ht="41.4" x14ac:dyDescent="0.3">
      <c r="C12" s="5" t="s">
        <v>268</v>
      </c>
      <c r="D12" s="3" t="s">
        <v>273</v>
      </c>
      <c r="E12" s="3" t="s">
        <v>273</v>
      </c>
      <c r="F12" s="3" t="s">
        <v>293</v>
      </c>
      <c r="G12" s="3" t="s">
        <v>268</v>
      </c>
      <c r="H12" s="3" t="s">
        <v>21</v>
      </c>
      <c r="I12" s="33" t="s">
        <v>20</v>
      </c>
      <c r="J12" s="47"/>
      <c r="K12" s="48"/>
    </row>
    <row r="13" spans="3:11" ht="41.4" x14ac:dyDescent="0.3">
      <c r="C13" s="14" t="s">
        <v>20</v>
      </c>
      <c r="D13" s="20" t="s">
        <v>268</v>
      </c>
      <c r="E13" s="20" t="s">
        <v>268</v>
      </c>
      <c r="F13" s="20" t="s">
        <v>294</v>
      </c>
      <c r="G13" s="15" t="s">
        <v>20</v>
      </c>
      <c r="H13" s="15" t="s">
        <v>182</v>
      </c>
      <c r="I13" s="34" t="s">
        <v>21</v>
      </c>
      <c r="J13" s="47"/>
      <c r="K13" s="48"/>
    </row>
    <row r="14" spans="3:11" ht="41.4" x14ac:dyDescent="0.3">
      <c r="C14" s="5" t="s">
        <v>269</v>
      </c>
      <c r="D14" s="3" t="s">
        <v>20</v>
      </c>
      <c r="E14" s="3" t="s">
        <v>20</v>
      </c>
      <c r="F14" s="3" t="s">
        <v>295</v>
      </c>
      <c r="G14" s="3" t="s">
        <v>269</v>
      </c>
      <c r="H14" s="3" t="s">
        <v>183</v>
      </c>
      <c r="I14" s="3" t="s">
        <v>182</v>
      </c>
      <c r="J14" s="47"/>
      <c r="K14" s="48"/>
    </row>
    <row r="15" spans="3:11" ht="41.4" x14ac:dyDescent="0.3">
      <c r="C15" s="14" t="s">
        <v>182</v>
      </c>
      <c r="D15" s="15" t="s">
        <v>274</v>
      </c>
      <c r="E15" s="15" t="s">
        <v>269</v>
      </c>
      <c r="F15" s="15" t="s">
        <v>296</v>
      </c>
      <c r="G15" s="15" t="s">
        <v>182</v>
      </c>
      <c r="H15" s="15" t="s">
        <v>172</v>
      </c>
      <c r="I15" s="15" t="s">
        <v>183</v>
      </c>
      <c r="J15" s="47"/>
      <c r="K15" s="48"/>
    </row>
    <row r="16" spans="3:11" ht="41.4" x14ac:dyDescent="0.3">
      <c r="C16" s="5" t="s">
        <v>171</v>
      </c>
      <c r="D16" s="22" t="s">
        <v>275</v>
      </c>
      <c r="E16" s="22" t="s">
        <v>285</v>
      </c>
      <c r="F16" s="22" t="s">
        <v>170</v>
      </c>
      <c r="G16" s="3" t="s">
        <v>171</v>
      </c>
      <c r="H16" s="3" t="s">
        <v>23</v>
      </c>
      <c r="I16" s="3" t="s">
        <v>172</v>
      </c>
      <c r="J16" s="47"/>
      <c r="K16" s="48"/>
    </row>
    <row r="17" spans="2:11" ht="41.4" x14ac:dyDescent="0.3">
      <c r="C17" s="14" t="s">
        <v>172</v>
      </c>
      <c r="D17" s="18" t="s">
        <v>276</v>
      </c>
      <c r="E17" s="18" t="s">
        <v>286</v>
      </c>
      <c r="F17" s="18" t="s">
        <v>22</v>
      </c>
      <c r="G17" s="15" t="s">
        <v>172</v>
      </c>
      <c r="H17" s="10"/>
      <c r="I17" s="15" t="s">
        <v>23</v>
      </c>
      <c r="J17" s="47"/>
      <c r="K17" s="48"/>
    </row>
    <row r="18" spans="2:11" ht="41.4" x14ac:dyDescent="0.3">
      <c r="C18" s="5" t="s">
        <v>23</v>
      </c>
      <c r="D18" s="19" t="s">
        <v>278</v>
      </c>
      <c r="E18" s="19" t="s">
        <v>287</v>
      </c>
      <c r="F18" s="19" t="s">
        <v>280</v>
      </c>
      <c r="G18" s="3" t="s">
        <v>23</v>
      </c>
      <c r="H18" s="10"/>
      <c r="I18" s="35"/>
      <c r="J18" s="47"/>
      <c r="K18" s="48"/>
    </row>
    <row r="19" spans="2:11" ht="63" customHeight="1" x14ac:dyDescent="0.3">
      <c r="C19" s="9"/>
      <c r="D19" s="20" t="s">
        <v>277</v>
      </c>
      <c r="E19" s="20" t="s">
        <v>172</v>
      </c>
      <c r="F19" s="20" t="s">
        <v>281</v>
      </c>
      <c r="G19" s="10"/>
      <c r="H19" s="10"/>
      <c r="I19" s="11"/>
      <c r="J19" s="47"/>
      <c r="K19" s="48"/>
    </row>
    <row r="20" spans="2:11" ht="63" customHeight="1" x14ac:dyDescent="0.3">
      <c r="C20" s="9"/>
      <c r="D20" s="21" t="s">
        <v>279</v>
      </c>
      <c r="E20" s="21" t="s">
        <v>146</v>
      </c>
      <c r="F20" s="21" t="s">
        <v>282</v>
      </c>
      <c r="G20" s="10"/>
      <c r="H20" s="10"/>
      <c r="I20" s="192"/>
      <c r="J20" s="47"/>
      <c r="K20" s="48"/>
    </row>
    <row r="21" spans="2:11" ht="63" customHeight="1" x14ac:dyDescent="0.3">
      <c r="C21" s="9"/>
      <c r="D21" s="20" t="s">
        <v>280</v>
      </c>
      <c r="E21" s="10"/>
      <c r="F21" s="20" t="s">
        <v>24</v>
      </c>
      <c r="G21" s="10"/>
      <c r="H21" s="10"/>
      <c r="I21" s="192"/>
      <c r="J21" s="47"/>
      <c r="K21" s="48"/>
    </row>
    <row r="22" spans="2:11" ht="63" customHeight="1" x14ac:dyDescent="0.3">
      <c r="C22" s="9"/>
      <c r="D22" s="3" t="s">
        <v>281</v>
      </c>
      <c r="E22" s="10"/>
      <c r="F22" s="10"/>
      <c r="G22" s="10"/>
      <c r="H22" s="10"/>
      <c r="I22" s="192"/>
      <c r="J22" s="47"/>
      <c r="K22" s="48"/>
    </row>
    <row r="23" spans="2:11" ht="66.75" customHeight="1" x14ac:dyDescent="0.3">
      <c r="C23" s="9"/>
      <c r="D23" s="15" t="s">
        <v>282</v>
      </c>
      <c r="E23" s="10"/>
      <c r="F23" s="10"/>
      <c r="G23" s="10"/>
      <c r="H23" s="10"/>
      <c r="I23" s="10"/>
      <c r="J23" s="47"/>
      <c r="K23" s="48"/>
    </row>
    <row r="24" spans="2:11" ht="66.75" customHeight="1" thickBot="1" x14ac:dyDescent="0.35">
      <c r="C24" s="9"/>
      <c r="D24" s="190" t="s">
        <v>24</v>
      </c>
      <c r="E24" s="10"/>
      <c r="F24" s="10"/>
      <c r="G24" s="10"/>
      <c r="H24" s="10"/>
      <c r="I24" s="10"/>
      <c r="J24" s="47"/>
      <c r="K24" s="48"/>
    </row>
    <row r="25" spans="2:11" ht="21" x14ac:dyDescent="0.3">
      <c r="B25" s="87" t="s">
        <v>0</v>
      </c>
      <c r="C25" s="57" t="str">
        <f>ROUND(3,3)&amp;" (3h)"</f>
        <v>3 (3h)</v>
      </c>
      <c r="D25" s="40" t="str">
        <f>ROUND(2,3)&amp;" (2h)"</f>
        <v>2 (2h)</v>
      </c>
      <c r="E25" s="40" t="str">
        <f>ROUND(2,3)&amp;" (2h)"</f>
        <v>2 (2h)</v>
      </c>
      <c r="F25" s="40" t="str">
        <f>ROUND(3,3)&amp;" (3h)"</f>
        <v>3 (3h)</v>
      </c>
      <c r="G25" s="40" t="str">
        <f>ROUND(3,3)&amp;" (3h)"</f>
        <v>3 (3h)</v>
      </c>
      <c r="H25" s="40" t="str">
        <f>ROUND(4,3)&amp;" (4h)"</f>
        <v>4 (4h)</v>
      </c>
      <c r="I25" s="50" t="str">
        <f>ROUND(4,3)&amp;" (4h)"</f>
        <v>4 (4h)</v>
      </c>
      <c r="J25" s="53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21</v>
      </c>
      <c r="K25" s="41" t="str">
        <f t="shared" ref="K25" si="1">ROUNDDOWN(J25,0)&amp;"h"&amp;ROUND((J25-ROUNDDOWN(J25,0))*60,0)</f>
        <v>21h0</v>
      </c>
    </row>
    <row r="26" spans="2:11" ht="21" x14ac:dyDescent="0.3">
      <c r="B26" s="88" t="s">
        <v>2</v>
      </c>
      <c r="C26" s="58" t="str">
        <f>ROUND(95/60,3)&amp;" (1h35)"</f>
        <v>1,583 (1h35)</v>
      </c>
      <c r="D26" s="39" t="str">
        <f>ROUND(50/60,3)&amp;" (0h50)"</f>
        <v>0,833 (0h50)</v>
      </c>
      <c r="E26" s="39" t="str">
        <f>ROUND(50/60,3)&amp;" (0h50)"</f>
        <v>0,833 (0h50)</v>
      </c>
      <c r="F26" s="39" t="str">
        <f>ROUND(95/60,3)&amp;" (1h35)"</f>
        <v>1,583 (1h35)</v>
      </c>
      <c r="G26" s="39" t="str">
        <f t="shared" ref="G26" si="2">ROUND(95/60,3)&amp;" (1h35)"</f>
        <v>1,583 (1h35)</v>
      </c>
      <c r="H26" s="39" t="str">
        <f>ROUND(0,3)&amp;" (0h)"</f>
        <v>0 (0h)</v>
      </c>
      <c r="I26" s="51" t="str">
        <f>ROUND(0,3)&amp;" (0h)"</f>
        <v>0 (0h)</v>
      </c>
      <c r="J26" s="54">
        <f>SUM(VALUE(LEFT(C26,FIND(" ",C26)-1)),VALUE(LEFT(D26,FIND(" ",D26)-1)),VALUE(LEFT(E26,FIND(" ",E26)-1)),VALUE(LEFT(F26,FIND(" ",F26)-1)),VALUE(LEFT(G26,FIND(" ",G26)-1)),VALUE(LEFT(H26,FIND(" ",H26)-1)),VALUE(LEFT(I26,FIND(" ",I26)-1)))</f>
        <v>6.415</v>
      </c>
      <c r="K26" s="42" t="str">
        <f>ROUNDDOWN(J26,0)&amp;"h"&amp;ROUND((J26-ROUNDDOWN(J26,0))*60,0)</f>
        <v>6h25</v>
      </c>
    </row>
    <row r="27" spans="2:11" ht="21" x14ac:dyDescent="0.3">
      <c r="B27" s="88" t="s">
        <v>177</v>
      </c>
      <c r="C27" s="58" t="str">
        <f>ROUND(3,3)&amp;" (3h)"</f>
        <v>3 (3h)</v>
      </c>
      <c r="D27" s="58" t="str">
        <f>ROUND(5.5,3)&amp;" (5h30)"</f>
        <v>5,5 (5h30)</v>
      </c>
      <c r="E27" s="58" t="str">
        <f>ROUND(5.5,3)&amp;" (5h30)"</f>
        <v>5,5 (5h30)</v>
      </c>
      <c r="F27" s="58" t="str">
        <f>ROUND(3,3)&amp;" (3h)"</f>
        <v>3 (3h)</v>
      </c>
      <c r="G27" s="58" t="str">
        <f>ROUND(3,3)&amp;" (3h)"</f>
        <v>3 (3h)</v>
      </c>
      <c r="H27" s="58" t="str">
        <f t="shared" ref="C27:I32" si="3">ROUND(0,3)&amp;" (0h)"</f>
        <v>0 (0h)</v>
      </c>
      <c r="I27" s="58" t="str">
        <f t="shared" si="3"/>
        <v>0 (0h)</v>
      </c>
      <c r="J27" s="54">
        <f>SUM(VALUE(LEFT(C27,FIND(" ",C27)-1)),VALUE(LEFT(D27,FIND(" ",D27)-1)),VALUE(LEFT(E27,FIND(" ",E27)-1)),VALUE(LEFT(F27,FIND(" ",F27)-1)),VALUE(LEFT(G27,FIND(" ",G27)-1)),VALUE(LEFT(H27,FIND(" ",H27)-1)),VALUE(LEFT(I27,FIND(" ",I27)-1)))</f>
        <v>20</v>
      </c>
      <c r="K27" s="42" t="str">
        <f>ROUNDDOWN(J27,0)&amp;"h"&amp;ROUND((J27-ROUNDDOWN(J27,0))*60,0)</f>
        <v>20h0</v>
      </c>
    </row>
    <row r="28" spans="2:11" ht="21" x14ac:dyDescent="0.3">
      <c r="B28" s="88" t="s">
        <v>3</v>
      </c>
      <c r="C28" s="58" t="str">
        <f t="shared" si="3"/>
        <v>0 (0h)</v>
      </c>
      <c r="D28" s="39" t="str">
        <f t="shared" si="3"/>
        <v>0 (0h)</v>
      </c>
      <c r="E28" s="39" t="str">
        <f t="shared" si="3"/>
        <v>0 (0h)</v>
      </c>
      <c r="F28" s="39" t="str">
        <f t="shared" si="3"/>
        <v>0 (0h)</v>
      </c>
      <c r="G28" s="39" t="str">
        <f t="shared" si="3"/>
        <v>0 (0h)</v>
      </c>
      <c r="H28" s="39" t="str">
        <f>ROUND(2,3)&amp;" (2h)"</f>
        <v>2 (2h)</v>
      </c>
      <c r="I28" s="51" t="str">
        <f>ROUND(1,3)&amp;" (1h)"</f>
        <v>1 (1h)</v>
      </c>
      <c r="J28" s="54">
        <f>SUM(VALUE(LEFT(C28,FIND(" ",C28)-1)),VALUE(LEFT(D28,FIND(" ",D28)-1)),VALUE(LEFT(E28,FIND(" ",E28)-1)),VALUE(LEFT(F28,FIND(" ",F28)-1)),VALUE(LEFT(G28,FIND(" ",G28)-1)),VALUE(LEFT(H28,FIND(" ",H28)-1)),VALUE(LEFT(I28,FIND(" ",I28)-1)))</f>
        <v>3</v>
      </c>
      <c r="K28" s="42" t="str">
        <f>ROUNDDOWN(J28,0)&amp;"h"&amp;ROUND((J28-ROUNDDOWN(J28,0))*60,0)</f>
        <v>3h0</v>
      </c>
    </row>
    <row r="29" spans="2:11" ht="21" x14ac:dyDescent="0.3">
      <c r="B29" s="88" t="s">
        <v>184</v>
      </c>
      <c r="C29" s="58" t="str">
        <f t="shared" si="3"/>
        <v>0 (0h)</v>
      </c>
      <c r="D29" s="39" t="str">
        <f>ROUND(2.5,3)&amp;" (2h30)"</f>
        <v>2,5 (2h30)</v>
      </c>
      <c r="E29" s="39" t="str">
        <f t="shared" si="3"/>
        <v>0 (0h)</v>
      </c>
      <c r="F29" s="39" t="str">
        <f>ROUND(2.5,3)&amp;" (2h30)"</f>
        <v>2,5 (2h30)</v>
      </c>
      <c r="G29" s="39" t="str">
        <f t="shared" si="3"/>
        <v>0 (0h)</v>
      </c>
      <c r="H29" s="39" t="str">
        <f t="shared" si="3"/>
        <v>0 (0h)</v>
      </c>
      <c r="I29" s="51" t="str">
        <f>ROUND(1.5,3)&amp;" (1h30)"</f>
        <v>1,5 (1h30)</v>
      </c>
      <c r="J29" s="54">
        <f>SUM(VALUE(LEFT(C29,FIND(" ",C29)-1)),VALUE(LEFT(D29,FIND(" ",D29)-1)),VALUE(LEFT(E29,FIND(" ",E29)-1)),VALUE(LEFT(F29,FIND(" ",F29)-1)),VALUE(LEFT(G29,FIND(" ",G29)-1)),VALUE(LEFT(H29,FIND(" ",H29)-1)),VALUE(LEFT(I29,FIND(" ",I29)-1)))</f>
        <v>6.5</v>
      </c>
      <c r="K29" s="42" t="str">
        <f>ROUNDDOWN(J29,0)&amp;"h"&amp;ROUND((J29-ROUNDDOWN(J29,0))*60,0)</f>
        <v>6h30</v>
      </c>
    </row>
    <row r="30" spans="2:11" ht="21" x14ac:dyDescent="0.3">
      <c r="B30" s="88" t="s">
        <v>6</v>
      </c>
      <c r="C30" s="58" t="str">
        <f t="shared" si="3"/>
        <v>0 (0h)</v>
      </c>
      <c r="D30" s="39" t="str">
        <f t="shared" si="3"/>
        <v>0 (0h)</v>
      </c>
      <c r="E30" s="39" t="str">
        <f t="shared" si="3"/>
        <v>0 (0h)</v>
      </c>
      <c r="F30" s="39" t="str">
        <f t="shared" si="3"/>
        <v>0 (0h)</v>
      </c>
      <c r="G30" s="39" t="str">
        <f t="shared" si="3"/>
        <v>0 (0h)</v>
      </c>
      <c r="H30" s="39" t="str">
        <f>ROUND(2,3)&amp;" (2h)"</f>
        <v>2 (2h)</v>
      </c>
      <c r="I30" s="51" t="str">
        <f>ROUND(2,3)&amp;" (2h)"</f>
        <v>2 (2h)</v>
      </c>
      <c r="J30" s="54">
        <f t="shared" ref="J30:J31" si="4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42" t="str">
        <f>ROUNDDOWN(J30,0)&amp;"h"&amp;ROUND((J30-ROUNDDOWN(J30,0))*60,0)</f>
        <v>4h0</v>
      </c>
    </row>
    <row r="31" spans="2:11" ht="21" x14ac:dyDescent="0.3">
      <c r="B31" s="88" t="s">
        <v>25</v>
      </c>
      <c r="C31" s="58" t="str">
        <f>ROUND(3,3)&amp;" (3h)"</f>
        <v>3 (3h)</v>
      </c>
      <c r="D31" s="39" t="str">
        <f>ROUND(0,3)&amp;" (0h)"</f>
        <v>0 (0h)</v>
      </c>
      <c r="E31" s="39" t="str">
        <f>ROUND(0,3)&amp;" (0h)"</f>
        <v>0 (0h)</v>
      </c>
      <c r="F31" s="39" t="str">
        <f>ROUND(2.5,3)&amp;" (2h30)"</f>
        <v>2,5 (2h30)</v>
      </c>
      <c r="G31" s="58" t="str">
        <f>ROUND(3,3)&amp;" (3h)"</f>
        <v>3 (3h)</v>
      </c>
      <c r="H31" s="39" t="str">
        <f>ROUND(125/60,3)&amp;" (2h5)"</f>
        <v>2,083 (2h5)</v>
      </c>
      <c r="I31" s="51" t="str">
        <f>ROUND(0,3)&amp;" (0h)"</f>
        <v>0 (0h)</v>
      </c>
      <c r="J31" s="54">
        <f t="shared" si="4"/>
        <v>10.583</v>
      </c>
      <c r="K31" s="42" t="str">
        <f t="shared" ref="K31" si="5">ROUNDDOWN(J31,0)&amp;"h"&amp;ROUND((J31-ROUNDDOWN(J31,0))*60,0)</f>
        <v>10h35</v>
      </c>
    </row>
    <row r="32" spans="2:11" ht="21" x14ac:dyDescent="0.3">
      <c r="B32" s="89" t="s">
        <v>89</v>
      </c>
      <c r="C32" s="58" t="str">
        <f>ROUND(2,3)&amp;" (2h)"</f>
        <v>2 (2h)</v>
      </c>
      <c r="D32" s="39" t="str">
        <f>ROUND(0,3)&amp;" (0h)"</f>
        <v>0 (0h)</v>
      </c>
      <c r="E32" s="39" t="str">
        <f>ROUND(1.5,3)&amp;" (1h30)"</f>
        <v>1,5 (1h30)</v>
      </c>
      <c r="F32" s="39" t="str">
        <f t="shared" si="3"/>
        <v>0 (0h)</v>
      </c>
      <c r="G32" s="39" t="str">
        <f>ROUND(2,3)&amp;" (2h)"</f>
        <v>2 (2h)</v>
      </c>
      <c r="H32" s="39" t="str">
        <f>ROUND(3.5,3)&amp;" (3h30)"</f>
        <v>3,5 (3h30)</v>
      </c>
      <c r="I32" s="39" t="str">
        <f>ROUND(3.5,3)&amp;" (3h30)"</f>
        <v>3,5 (3h30)</v>
      </c>
      <c r="J32" s="55">
        <f>SUM(VALUE(LEFT(C32,FIND(" ",C32)-1)),VALUE(LEFT(D32,FIND(" ",D32)-1)),VALUE(LEFT(E32,FIND(" ",E32)-1)),VALUE(LEFT(F32,FIND(" ",F32)-1)),VALUE(LEFT(G32,FIND(" ",G32)-1)),VALUE(LEFT(H32,FIND(" ",H32)-1)),VALUE(LEFT(I32,FIND(" ",I32)-1)))</f>
        <v>12.5</v>
      </c>
      <c r="K32" s="49" t="str">
        <f>ROUNDDOWN(J32,0)&amp;"h"&amp;ROUND((J32-ROUNDDOWN(J32,0))*60,0)</f>
        <v>12h30</v>
      </c>
    </row>
    <row r="33" spans="2:11" ht="21.6" thickBot="1" x14ac:dyDescent="0.35">
      <c r="B33" s="90" t="s">
        <v>173</v>
      </c>
      <c r="C33" s="59" t="str">
        <f>ROUND(7.5,3)&amp;" (7h30)"</f>
        <v>7,5 (7h30)</v>
      </c>
      <c r="D33" s="43" t="str">
        <f t="shared" ref="D33:I33" si="6">ROUND(7.5,3)&amp;" (7h30)"</f>
        <v>7,5 (7h30)</v>
      </c>
      <c r="E33" s="43" t="str">
        <f t="shared" si="6"/>
        <v>7,5 (7h30)</v>
      </c>
      <c r="F33" s="43" t="str">
        <f t="shared" si="6"/>
        <v>7,5 (7h30)</v>
      </c>
      <c r="G33" s="43" t="str">
        <f t="shared" si="6"/>
        <v>7,5 (7h30)</v>
      </c>
      <c r="H33" s="43" t="str">
        <f t="shared" si="6"/>
        <v>7,5 (7h30)</v>
      </c>
      <c r="I33" s="52" t="str">
        <f t="shared" si="6"/>
        <v>7,5 (7h30)</v>
      </c>
      <c r="J33" s="56">
        <f>SUM(VALUE(LEFT(C33,FIND(" ",C33)-1)),VALUE(LEFT(D33,FIND(" ",D33)-1)),VALUE(LEFT(E33,FIND(" ",E33)-1)),VALUE(LEFT(F33,FIND(" ",F33)-1)),VALUE(LEFT(G33,FIND(" ",G33)-1)),VALUE(LEFT(H33,FIND(" ",H33)-1)),VALUE(LEFT(I33,FIND(" ",I33)-1)))</f>
        <v>52.5</v>
      </c>
      <c r="K33" s="44" t="str">
        <f>ROUNDDOWN(J33,0)&amp;"h"&amp;ROUND((J33-ROUNDDOWN(J33,0))*60,0)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22" activePane="bottomRight" state="frozen"/>
      <selection pane="topRight" activeCell="C1" sqref="C1"/>
      <selection pane="bottomLeft" activeCell="A2" sqref="A2"/>
      <selection pane="bottomRight" activeCell="C46" sqref="C46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60" t="s">
        <v>208</v>
      </c>
      <c r="B1" s="60" t="s">
        <v>209</v>
      </c>
      <c r="C1" s="60" t="s">
        <v>238</v>
      </c>
      <c r="D1" s="60" t="s">
        <v>239</v>
      </c>
      <c r="E1" s="60" t="s">
        <v>241</v>
      </c>
      <c r="F1" s="60" t="s">
        <v>240</v>
      </c>
      <c r="G1" s="60" t="s">
        <v>84</v>
      </c>
      <c r="H1" s="60" t="s">
        <v>3</v>
      </c>
      <c r="I1" s="60" t="s">
        <v>242</v>
      </c>
      <c r="J1" s="60" t="s">
        <v>243</v>
      </c>
      <c r="K1" s="60" t="s">
        <v>246</v>
      </c>
      <c r="L1" s="60" t="s">
        <v>247</v>
      </c>
    </row>
    <row r="2" spans="1:12" ht="18" x14ac:dyDescent="0.3">
      <c r="A2" s="132">
        <v>46223</v>
      </c>
      <c r="B2" s="147" t="str">
        <f t="shared" ref="B2:B65" si="0">CHOOSE(WEEKDAY(A2,2),"Monday","Tuesday","Wednesday","Thursday","Friday","Saturday","Sunday")</f>
        <v>Monday</v>
      </c>
      <c r="C2" s="148" t="s">
        <v>245</v>
      </c>
      <c r="D2" s="148" t="s">
        <v>244</v>
      </c>
      <c r="E2" s="148" t="s">
        <v>244</v>
      </c>
      <c r="F2" s="148" t="s">
        <v>244</v>
      </c>
      <c r="G2" s="148" t="s">
        <v>244</v>
      </c>
      <c r="H2" s="148" t="s">
        <v>245</v>
      </c>
      <c r="I2" s="148" t="s">
        <v>244</v>
      </c>
      <c r="J2" s="148" t="s">
        <v>244</v>
      </c>
      <c r="K2" s="148" t="s">
        <v>245</v>
      </c>
      <c r="L2" s="148" t="s">
        <v>244</v>
      </c>
    </row>
    <row r="3" spans="1:12" ht="18" x14ac:dyDescent="0.3">
      <c r="A3" s="132">
        <f>A2+1</f>
        <v>46224</v>
      </c>
      <c r="B3" s="147" t="str">
        <f t="shared" si="0"/>
        <v>Tuesday</v>
      </c>
      <c r="C3" s="148" t="s">
        <v>245</v>
      </c>
      <c r="D3" s="148" t="s">
        <v>244</v>
      </c>
      <c r="E3" s="148" t="s">
        <v>245</v>
      </c>
      <c r="F3" s="148" t="s">
        <v>244</v>
      </c>
      <c r="G3" s="148" t="s">
        <v>244</v>
      </c>
      <c r="H3" s="148" t="s">
        <v>244</v>
      </c>
      <c r="I3" s="148" t="s">
        <v>245</v>
      </c>
      <c r="J3" s="148" t="s">
        <v>244</v>
      </c>
      <c r="K3" s="148" t="s">
        <v>245</v>
      </c>
      <c r="L3" s="148" t="s">
        <v>245</v>
      </c>
    </row>
    <row r="4" spans="1:12" ht="18" x14ac:dyDescent="0.3">
      <c r="A4" s="132">
        <f t="shared" ref="A4:A67" si="1">A3+1</f>
        <v>46225</v>
      </c>
      <c r="B4" s="147" t="str">
        <f t="shared" si="0"/>
        <v>Wednesday</v>
      </c>
      <c r="C4" s="148" t="s">
        <v>245</v>
      </c>
      <c r="D4" s="148" t="s">
        <v>244</v>
      </c>
      <c r="E4" s="148" t="s">
        <v>245</v>
      </c>
      <c r="F4" s="148" t="s">
        <v>244</v>
      </c>
      <c r="G4" s="148" t="s">
        <v>244</v>
      </c>
      <c r="H4" s="148" t="s">
        <v>244</v>
      </c>
      <c r="I4" s="148" t="s">
        <v>244</v>
      </c>
      <c r="J4" s="148" t="s">
        <v>244</v>
      </c>
      <c r="K4" s="148" t="s">
        <v>245</v>
      </c>
      <c r="L4" s="148" t="s">
        <v>245</v>
      </c>
    </row>
    <row r="5" spans="1:12" ht="18" x14ac:dyDescent="0.3">
      <c r="A5" s="132">
        <f t="shared" si="1"/>
        <v>46226</v>
      </c>
      <c r="B5" s="147" t="str">
        <f t="shared" si="0"/>
        <v>Thursday</v>
      </c>
      <c r="C5" s="148" t="s">
        <v>245</v>
      </c>
      <c r="D5" s="148" t="s">
        <v>244</v>
      </c>
      <c r="E5" s="148" t="s">
        <v>244</v>
      </c>
      <c r="F5" s="148" t="s">
        <v>245</v>
      </c>
      <c r="G5" s="148" t="s">
        <v>244</v>
      </c>
      <c r="H5" s="148" t="s">
        <v>244</v>
      </c>
      <c r="I5" s="148" t="s">
        <v>245</v>
      </c>
      <c r="J5" s="148" t="s">
        <v>244</v>
      </c>
      <c r="K5" s="148" t="s">
        <v>245</v>
      </c>
      <c r="L5" s="148" t="s">
        <v>245</v>
      </c>
    </row>
    <row r="6" spans="1:12" ht="18" x14ac:dyDescent="0.3">
      <c r="A6" s="132">
        <f t="shared" si="1"/>
        <v>46227</v>
      </c>
      <c r="B6" s="147" t="str">
        <f t="shared" si="0"/>
        <v>Friday</v>
      </c>
      <c r="C6" s="148" t="s">
        <v>245</v>
      </c>
      <c r="D6" s="148" t="s">
        <v>244</v>
      </c>
      <c r="E6" s="148" t="s">
        <v>245</v>
      </c>
      <c r="F6" s="148" t="s">
        <v>244</v>
      </c>
      <c r="G6" s="148" t="s">
        <v>244</v>
      </c>
      <c r="H6" s="148" t="s">
        <v>244</v>
      </c>
      <c r="I6" s="148" t="s">
        <v>244</v>
      </c>
      <c r="J6" s="148" t="s">
        <v>244</v>
      </c>
      <c r="K6" s="148" t="s">
        <v>245</v>
      </c>
      <c r="L6" s="148" t="s">
        <v>244</v>
      </c>
    </row>
    <row r="7" spans="1:12" ht="18" x14ac:dyDescent="0.3">
      <c r="A7" s="132">
        <f t="shared" si="1"/>
        <v>46228</v>
      </c>
      <c r="B7" s="147" t="str">
        <f t="shared" si="0"/>
        <v>Saturday</v>
      </c>
      <c r="C7" s="148" t="s">
        <v>244</v>
      </c>
      <c r="D7" s="148" t="s">
        <v>244</v>
      </c>
      <c r="E7" s="148" t="s">
        <v>244</v>
      </c>
      <c r="F7" s="148" t="s">
        <v>244</v>
      </c>
      <c r="G7" s="148" t="s">
        <v>244</v>
      </c>
      <c r="H7" s="148" t="s">
        <v>244</v>
      </c>
      <c r="I7" s="148" t="s">
        <v>244</v>
      </c>
      <c r="J7" s="148" t="s">
        <v>244</v>
      </c>
      <c r="K7" s="148" t="s">
        <v>245</v>
      </c>
      <c r="L7" s="148" t="s">
        <v>245</v>
      </c>
    </row>
    <row r="8" spans="1:12" ht="18" x14ac:dyDescent="0.3">
      <c r="A8" s="132">
        <f t="shared" si="1"/>
        <v>46229</v>
      </c>
      <c r="B8" s="147" t="str">
        <f t="shared" si="0"/>
        <v>Sunday</v>
      </c>
      <c r="C8" s="148" t="s">
        <v>244</v>
      </c>
      <c r="D8" s="148" t="s">
        <v>244</v>
      </c>
      <c r="E8" s="148" t="s">
        <v>244</v>
      </c>
      <c r="F8" s="148" t="s">
        <v>244</v>
      </c>
      <c r="G8" s="148" t="s">
        <v>244</v>
      </c>
      <c r="H8" s="148" t="s">
        <v>244</v>
      </c>
      <c r="I8" s="148" t="s">
        <v>245</v>
      </c>
      <c r="J8" s="148" t="s">
        <v>244</v>
      </c>
      <c r="K8" s="148" t="s">
        <v>244</v>
      </c>
      <c r="L8" s="148" t="s">
        <v>244</v>
      </c>
    </row>
    <row r="9" spans="1:12" ht="18" x14ac:dyDescent="0.3">
      <c r="A9" s="132">
        <f t="shared" si="1"/>
        <v>46230</v>
      </c>
      <c r="B9" s="147" t="str">
        <f t="shared" si="0"/>
        <v>Monday</v>
      </c>
      <c r="C9" s="148" t="s">
        <v>245</v>
      </c>
      <c r="D9" s="148" t="s">
        <v>244</v>
      </c>
      <c r="E9" s="148" t="s">
        <v>244</v>
      </c>
      <c r="F9" s="148" t="s">
        <v>244</v>
      </c>
      <c r="G9" s="148" t="s">
        <v>244</v>
      </c>
      <c r="H9" s="148" t="s">
        <v>244</v>
      </c>
      <c r="I9" s="148" t="s">
        <v>244</v>
      </c>
      <c r="J9" s="148" t="s">
        <v>244</v>
      </c>
      <c r="K9" s="148" t="s">
        <v>244</v>
      </c>
      <c r="L9" s="148" t="s">
        <v>244</v>
      </c>
    </row>
    <row r="10" spans="1:12" ht="18" x14ac:dyDescent="0.3">
      <c r="A10" s="132">
        <f t="shared" si="1"/>
        <v>46231</v>
      </c>
      <c r="B10" s="147" t="str">
        <f t="shared" si="0"/>
        <v>Tuesday</v>
      </c>
      <c r="C10" s="148" t="s">
        <v>245</v>
      </c>
      <c r="D10" s="148" t="s">
        <v>244</v>
      </c>
      <c r="E10" s="148" t="s">
        <v>245</v>
      </c>
      <c r="F10" s="148" t="s">
        <v>244</v>
      </c>
      <c r="G10" s="148" t="s">
        <v>244</v>
      </c>
      <c r="H10" s="148" t="s">
        <v>244</v>
      </c>
      <c r="I10" s="148" t="s">
        <v>245</v>
      </c>
      <c r="J10" s="148" t="s">
        <v>244</v>
      </c>
      <c r="K10" s="148" t="s">
        <v>245</v>
      </c>
      <c r="L10" s="148" t="s">
        <v>245</v>
      </c>
    </row>
    <row r="11" spans="1:12" ht="18" x14ac:dyDescent="0.3">
      <c r="A11" s="132">
        <f t="shared" si="1"/>
        <v>46232</v>
      </c>
      <c r="B11" s="147" t="str">
        <f t="shared" si="0"/>
        <v>Wednesday</v>
      </c>
      <c r="C11" s="148" t="s">
        <v>245</v>
      </c>
      <c r="D11" s="148" t="s">
        <v>244</v>
      </c>
      <c r="E11" s="148" t="s">
        <v>245</v>
      </c>
      <c r="F11" s="148" t="s">
        <v>244</v>
      </c>
      <c r="G11" s="148" t="s">
        <v>244</v>
      </c>
      <c r="H11" s="148" t="s">
        <v>244</v>
      </c>
      <c r="I11" s="148" t="s">
        <v>244</v>
      </c>
      <c r="J11" s="148" t="s">
        <v>244</v>
      </c>
      <c r="K11" s="148" t="s">
        <v>244</v>
      </c>
      <c r="L11" s="148" t="s">
        <v>245</v>
      </c>
    </row>
    <row r="12" spans="1:12" ht="18" x14ac:dyDescent="0.3">
      <c r="A12" s="132">
        <f t="shared" si="1"/>
        <v>46233</v>
      </c>
      <c r="B12" s="147" t="str">
        <f t="shared" si="0"/>
        <v>Thursday</v>
      </c>
      <c r="C12" s="148" t="s">
        <v>244</v>
      </c>
      <c r="D12" s="148" t="s">
        <v>244</v>
      </c>
      <c r="E12" s="148" t="s">
        <v>244</v>
      </c>
      <c r="F12" s="148" t="s">
        <v>244</v>
      </c>
      <c r="G12" s="148" t="s">
        <v>244</v>
      </c>
      <c r="H12" s="148" t="s">
        <v>244</v>
      </c>
      <c r="I12" s="148" t="s">
        <v>245</v>
      </c>
      <c r="J12" s="148" t="s">
        <v>244</v>
      </c>
      <c r="K12" s="148" t="s">
        <v>244</v>
      </c>
      <c r="L12" s="148" t="s">
        <v>245</v>
      </c>
    </row>
    <row r="13" spans="1:12" ht="18" x14ac:dyDescent="0.3">
      <c r="A13" s="132">
        <f t="shared" si="1"/>
        <v>46234</v>
      </c>
      <c r="B13" s="147" t="str">
        <f t="shared" si="0"/>
        <v>Friday</v>
      </c>
      <c r="C13" s="148" t="s">
        <v>245</v>
      </c>
      <c r="D13" s="148" t="s">
        <v>244</v>
      </c>
      <c r="E13" s="148" t="s">
        <v>244</v>
      </c>
      <c r="F13" s="148" t="s">
        <v>244</v>
      </c>
      <c r="G13" s="148" t="s">
        <v>244</v>
      </c>
      <c r="H13" s="148" t="s">
        <v>244</v>
      </c>
      <c r="I13" s="148" t="s">
        <v>244</v>
      </c>
      <c r="J13" s="148" t="s">
        <v>244</v>
      </c>
      <c r="K13" s="148" t="s">
        <v>245</v>
      </c>
      <c r="L13" s="148" t="s">
        <v>244</v>
      </c>
    </row>
    <row r="14" spans="1:12" ht="18" x14ac:dyDescent="0.3">
      <c r="A14" s="132">
        <f t="shared" si="1"/>
        <v>46235</v>
      </c>
      <c r="B14" s="147" t="str">
        <f t="shared" si="0"/>
        <v>Saturday</v>
      </c>
      <c r="C14" s="148" t="s">
        <v>244</v>
      </c>
      <c r="D14" s="148" t="s">
        <v>244</v>
      </c>
      <c r="E14" s="148" t="s">
        <v>244</v>
      </c>
      <c r="F14" s="148" t="s">
        <v>245</v>
      </c>
      <c r="G14" s="148" t="s">
        <v>244</v>
      </c>
      <c r="H14" s="148" t="s">
        <v>244</v>
      </c>
      <c r="I14" s="148" t="s">
        <v>244</v>
      </c>
      <c r="J14" s="148" t="s">
        <v>244</v>
      </c>
      <c r="K14" s="148" t="s">
        <v>245</v>
      </c>
      <c r="L14" s="148" t="s">
        <v>244</v>
      </c>
    </row>
    <row r="15" spans="1:12" ht="18" x14ac:dyDescent="0.3">
      <c r="A15" s="132">
        <f t="shared" si="1"/>
        <v>46236</v>
      </c>
      <c r="B15" s="147" t="str">
        <f t="shared" si="0"/>
        <v>Sunday</v>
      </c>
      <c r="C15" s="148" t="s">
        <v>244</v>
      </c>
      <c r="D15" s="148" t="s">
        <v>244</v>
      </c>
      <c r="E15" s="148" t="s">
        <v>245</v>
      </c>
      <c r="F15" s="148" t="s">
        <v>245</v>
      </c>
      <c r="G15" s="148" t="s">
        <v>244</v>
      </c>
      <c r="H15" s="148" t="s">
        <v>244</v>
      </c>
      <c r="I15" s="148" t="s">
        <v>245</v>
      </c>
      <c r="J15" s="148" t="s">
        <v>244</v>
      </c>
      <c r="K15" s="148" t="s">
        <v>245</v>
      </c>
      <c r="L15" s="148" t="s">
        <v>244</v>
      </c>
    </row>
    <row r="16" spans="1:12" ht="18" x14ac:dyDescent="0.3">
      <c r="A16" s="132">
        <f t="shared" si="1"/>
        <v>46237</v>
      </c>
      <c r="B16" s="147" t="str">
        <f t="shared" si="0"/>
        <v>Monday</v>
      </c>
      <c r="C16" s="148" t="s">
        <v>245</v>
      </c>
      <c r="D16" s="148" t="s">
        <v>244</v>
      </c>
      <c r="E16" s="148" t="s">
        <v>244</v>
      </c>
      <c r="F16" s="148" t="s">
        <v>244</v>
      </c>
      <c r="G16" s="148" t="s">
        <v>244</v>
      </c>
      <c r="H16" s="148" t="s">
        <v>244</v>
      </c>
      <c r="I16" s="148" t="s">
        <v>244</v>
      </c>
      <c r="J16" s="148" t="s">
        <v>244</v>
      </c>
      <c r="K16" s="148" t="s">
        <v>244</v>
      </c>
      <c r="L16" s="148" t="s">
        <v>244</v>
      </c>
    </row>
    <row r="17" spans="1:12" ht="18" x14ac:dyDescent="0.3">
      <c r="A17" s="132">
        <f t="shared" si="1"/>
        <v>46238</v>
      </c>
      <c r="B17" s="147" t="str">
        <f t="shared" si="0"/>
        <v>Tuesday</v>
      </c>
      <c r="C17" s="148" t="s">
        <v>245</v>
      </c>
      <c r="D17" s="148" t="s">
        <v>244</v>
      </c>
      <c r="E17" s="148" t="s">
        <v>245</v>
      </c>
      <c r="F17" s="148" t="s">
        <v>244</v>
      </c>
      <c r="G17" s="148" t="s">
        <v>244</v>
      </c>
      <c r="H17" s="148" t="s">
        <v>244</v>
      </c>
      <c r="I17" s="148" t="s">
        <v>245</v>
      </c>
      <c r="J17" s="148" t="s">
        <v>244</v>
      </c>
      <c r="K17" s="148" t="s">
        <v>244</v>
      </c>
      <c r="L17" s="148" t="s">
        <v>245</v>
      </c>
    </row>
    <row r="18" spans="1:12" ht="18" x14ac:dyDescent="0.3">
      <c r="A18" s="132">
        <f t="shared" si="1"/>
        <v>46239</v>
      </c>
      <c r="B18" s="147" t="str">
        <f t="shared" si="0"/>
        <v>Wednesday</v>
      </c>
      <c r="C18" s="148" t="s">
        <v>245</v>
      </c>
      <c r="D18" s="148" t="s">
        <v>244</v>
      </c>
      <c r="E18" s="148" t="s">
        <v>245</v>
      </c>
      <c r="F18" s="148" t="s">
        <v>244</v>
      </c>
      <c r="G18" s="148" t="s">
        <v>244</v>
      </c>
      <c r="H18" s="148" t="s">
        <v>244</v>
      </c>
      <c r="I18" s="148" t="s">
        <v>244</v>
      </c>
      <c r="J18" s="148" t="s">
        <v>244</v>
      </c>
      <c r="K18" s="148" t="s">
        <v>244</v>
      </c>
      <c r="L18" s="148" t="s">
        <v>244</v>
      </c>
    </row>
    <row r="19" spans="1:12" ht="18" x14ac:dyDescent="0.3">
      <c r="A19" s="132">
        <f t="shared" si="1"/>
        <v>46240</v>
      </c>
      <c r="B19" s="147" t="str">
        <f t="shared" si="0"/>
        <v>Thursday</v>
      </c>
      <c r="C19" s="148" t="s">
        <v>244</v>
      </c>
      <c r="D19" s="148" t="s">
        <v>244</v>
      </c>
      <c r="E19" s="148" t="s">
        <v>244</v>
      </c>
      <c r="F19" s="148" t="s">
        <v>244</v>
      </c>
      <c r="G19" s="148" t="s">
        <v>244</v>
      </c>
      <c r="H19" s="148" t="s">
        <v>244</v>
      </c>
      <c r="I19" s="148" t="s">
        <v>245</v>
      </c>
      <c r="J19" s="148" t="s">
        <v>244</v>
      </c>
      <c r="K19" s="148" t="s">
        <v>244</v>
      </c>
      <c r="L19" s="148" t="s">
        <v>244</v>
      </c>
    </row>
    <row r="20" spans="1:12" ht="18" x14ac:dyDescent="0.3">
      <c r="A20" s="132">
        <f t="shared" si="1"/>
        <v>46241</v>
      </c>
      <c r="B20" s="147" t="str">
        <f t="shared" si="0"/>
        <v>Friday</v>
      </c>
      <c r="C20" s="148" t="s">
        <v>244</v>
      </c>
      <c r="D20" s="148" t="s">
        <v>244</v>
      </c>
      <c r="E20" s="148" t="s">
        <v>244</v>
      </c>
      <c r="F20" s="148" t="s">
        <v>244</v>
      </c>
      <c r="G20" s="148" t="s">
        <v>244</v>
      </c>
      <c r="H20" s="148" t="s">
        <v>244</v>
      </c>
      <c r="I20" s="148" t="s">
        <v>244</v>
      </c>
      <c r="J20" s="148" t="s">
        <v>244</v>
      </c>
      <c r="K20" s="148" t="s">
        <v>244</v>
      </c>
      <c r="L20" s="148" t="s">
        <v>244</v>
      </c>
    </row>
    <row r="21" spans="1:12" ht="18" x14ac:dyDescent="0.3">
      <c r="A21" s="132">
        <f t="shared" si="1"/>
        <v>46242</v>
      </c>
      <c r="B21" s="147" t="str">
        <f t="shared" si="0"/>
        <v>Saturday</v>
      </c>
      <c r="C21" s="148" t="s">
        <v>244</v>
      </c>
      <c r="D21" s="148" t="s">
        <v>244</v>
      </c>
      <c r="E21" s="148" t="s">
        <v>244</v>
      </c>
      <c r="F21" s="148" t="s">
        <v>245</v>
      </c>
      <c r="G21" s="148" t="s">
        <v>244</v>
      </c>
      <c r="H21" s="148" t="s">
        <v>244</v>
      </c>
      <c r="I21" s="148" t="s">
        <v>244</v>
      </c>
      <c r="J21" s="148" t="s">
        <v>244</v>
      </c>
      <c r="K21" s="148" t="s">
        <v>244</v>
      </c>
      <c r="L21" s="148" t="s">
        <v>244</v>
      </c>
    </row>
    <row r="22" spans="1:12" ht="18" x14ac:dyDescent="0.3">
      <c r="A22" s="132">
        <f t="shared" si="1"/>
        <v>46243</v>
      </c>
      <c r="B22" s="147" t="str">
        <f t="shared" si="0"/>
        <v>Sunday</v>
      </c>
      <c r="C22" s="148" t="s">
        <v>244</v>
      </c>
      <c r="D22" s="148" t="s">
        <v>244</v>
      </c>
      <c r="E22" s="148" t="s">
        <v>244</v>
      </c>
      <c r="F22" s="148" t="s">
        <v>244</v>
      </c>
      <c r="G22" s="148" t="s">
        <v>244</v>
      </c>
      <c r="H22" s="148" t="s">
        <v>245</v>
      </c>
      <c r="I22" s="148" t="s">
        <v>245</v>
      </c>
      <c r="J22" s="148" t="s">
        <v>244</v>
      </c>
      <c r="K22" s="148" t="s">
        <v>245</v>
      </c>
      <c r="L22" s="148" t="s">
        <v>244</v>
      </c>
    </row>
    <row r="23" spans="1:12" ht="18" x14ac:dyDescent="0.3">
      <c r="A23" s="132">
        <f t="shared" si="1"/>
        <v>46244</v>
      </c>
      <c r="B23" s="147" t="str">
        <f t="shared" si="0"/>
        <v>Monday</v>
      </c>
      <c r="C23" s="148" t="s">
        <v>245</v>
      </c>
      <c r="D23" s="148" t="s">
        <v>244</v>
      </c>
      <c r="E23" s="148" t="s">
        <v>245</v>
      </c>
      <c r="F23" s="148" t="s">
        <v>244</v>
      </c>
      <c r="G23" s="148" t="s">
        <v>244</v>
      </c>
      <c r="H23" s="148" t="s">
        <v>244</v>
      </c>
      <c r="I23" s="148" t="s">
        <v>244</v>
      </c>
      <c r="J23" s="148" t="s">
        <v>244</v>
      </c>
      <c r="K23" s="148" t="s">
        <v>245</v>
      </c>
      <c r="L23" s="148" t="s">
        <v>244</v>
      </c>
    </row>
    <row r="24" spans="1:12" ht="18" x14ac:dyDescent="0.3">
      <c r="A24" s="132">
        <f t="shared" si="1"/>
        <v>46245</v>
      </c>
      <c r="B24" s="147" t="str">
        <f t="shared" si="0"/>
        <v>Tuesday</v>
      </c>
      <c r="C24" s="148" t="s">
        <v>245</v>
      </c>
      <c r="D24" s="148" t="s">
        <v>244</v>
      </c>
      <c r="E24" s="148" t="s">
        <v>245</v>
      </c>
      <c r="F24" s="148" t="s">
        <v>244</v>
      </c>
      <c r="G24" s="148" t="s">
        <v>244</v>
      </c>
      <c r="H24" s="148" t="s">
        <v>244</v>
      </c>
      <c r="I24" s="148" t="s">
        <v>245</v>
      </c>
      <c r="J24" s="148" t="s">
        <v>244</v>
      </c>
      <c r="K24" s="148" t="s">
        <v>244</v>
      </c>
      <c r="L24" s="148" t="s">
        <v>244</v>
      </c>
    </row>
    <row r="25" spans="1:12" ht="18" x14ac:dyDescent="0.3">
      <c r="A25" s="132">
        <f t="shared" si="1"/>
        <v>46246</v>
      </c>
      <c r="B25" s="147" t="str">
        <f t="shared" si="0"/>
        <v>Wednesday</v>
      </c>
      <c r="C25" s="148" t="s">
        <v>244</v>
      </c>
      <c r="D25" s="148" t="s">
        <v>244</v>
      </c>
      <c r="E25" s="148" t="s">
        <v>244</v>
      </c>
      <c r="F25" s="148" t="s">
        <v>244</v>
      </c>
      <c r="G25" s="148" t="s">
        <v>244</v>
      </c>
      <c r="H25" s="148" t="s">
        <v>244</v>
      </c>
      <c r="I25" s="148" t="s">
        <v>244</v>
      </c>
      <c r="J25" s="148" t="s">
        <v>244</v>
      </c>
      <c r="K25" s="148" t="s">
        <v>244</v>
      </c>
      <c r="L25" s="148" t="s">
        <v>244</v>
      </c>
    </row>
    <row r="26" spans="1:12" ht="18" x14ac:dyDescent="0.3">
      <c r="A26" s="132">
        <f t="shared" si="1"/>
        <v>46247</v>
      </c>
      <c r="B26" s="147" t="str">
        <f t="shared" si="0"/>
        <v>Thursday</v>
      </c>
      <c r="C26" s="148" t="s">
        <v>244</v>
      </c>
      <c r="D26" s="148" t="s">
        <v>244</v>
      </c>
      <c r="E26" s="148" t="s">
        <v>244</v>
      </c>
      <c r="F26" s="148" t="s">
        <v>244</v>
      </c>
      <c r="G26" s="148" t="s">
        <v>244</v>
      </c>
      <c r="H26" s="148" t="s">
        <v>244</v>
      </c>
      <c r="I26" s="148" t="s">
        <v>245</v>
      </c>
      <c r="J26" s="148" t="s">
        <v>244</v>
      </c>
      <c r="K26" s="148" t="s">
        <v>244</v>
      </c>
      <c r="L26" s="148" t="s">
        <v>244</v>
      </c>
    </row>
    <row r="27" spans="1:12" ht="18" x14ac:dyDescent="0.3">
      <c r="A27" s="132">
        <f t="shared" si="1"/>
        <v>46248</v>
      </c>
      <c r="B27" s="147" t="str">
        <f t="shared" si="0"/>
        <v>Friday</v>
      </c>
      <c r="C27" s="148" t="s">
        <v>244</v>
      </c>
      <c r="D27" s="148" t="s">
        <v>244</v>
      </c>
      <c r="E27" s="148" t="s">
        <v>244</v>
      </c>
      <c r="F27" s="148" t="s">
        <v>244</v>
      </c>
      <c r="G27" s="148" t="s">
        <v>244</v>
      </c>
      <c r="H27" s="148" t="s">
        <v>244</v>
      </c>
      <c r="I27" s="148" t="s">
        <v>244</v>
      </c>
      <c r="J27" s="148" t="s">
        <v>244</v>
      </c>
      <c r="K27" s="148" t="s">
        <v>244</v>
      </c>
      <c r="L27" s="148" t="s">
        <v>244</v>
      </c>
    </row>
    <row r="28" spans="1:12" ht="18" x14ac:dyDescent="0.3">
      <c r="A28" s="132">
        <f t="shared" si="1"/>
        <v>46249</v>
      </c>
      <c r="B28" s="147" t="str">
        <f t="shared" si="0"/>
        <v>Saturday</v>
      </c>
      <c r="C28" s="148" t="s">
        <v>244</v>
      </c>
      <c r="D28" s="148" t="s">
        <v>244</v>
      </c>
      <c r="E28" s="148" t="s">
        <v>244</v>
      </c>
      <c r="F28" s="148" t="s">
        <v>244</v>
      </c>
      <c r="G28" s="148" t="s">
        <v>244</v>
      </c>
      <c r="H28" s="148" t="s">
        <v>244</v>
      </c>
      <c r="I28" s="148" t="s">
        <v>244</v>
      </c>
      <c r="J28" s="148" t="s">
        <v>244</v>
      </c>
      <c r="K28" s="148" t="s">
        <v>244</v>
      </c>
      <c r="L28" s="148" t="s">
        <v>244</v>
      </c>
    </row>
    <row r="29" spans="1:12" ht="18" x14ac:dyDescent="0.3">
      <c r="A29" s="132">
        <f t="shared" si="1"/>
        <v>46250</v>
      </c>
      <c r="B29" s="147" t="str">
        <f t="shared" si="0"/>
        <v>Sunday</v>
      </c>
      <c r="C29" s="148" t="s">
        <v>244</v>
      </c>
      <c r="D29" s="148" t="s">
        <v>244</v>
      </c>
      <c r="E29" s="148" t="s">
        <v>244</v>
      </c>
      <c r="F29" s="148" t="s">
        <v>244</v>
      </c>
      <c r="G29" s="148" t="s">
        <v>244</v>
      </c>
      <c r="H29" s="148" t="s">
        <v>244</v>
      </c>
      <c r="I29" s="148" t="s">
        <v>245</v>
      </c>
      <c r="J29" s="148" t="s">
        <v>244</v>
      </c>
      <c r="K29" s="148" t="s">
        <v>244</v>
      </c>
      <c r="L29" s="148" t="s">
        <v>244</v>
      </c>
    </row>
    <row r="30" spans="1:12" ht="18" x14ac:dyDescent="0.3">
      <c r="A30" s="132">
        <f t="shared" si="1"/>
        <v>46251</v>
      </c>
      <c r="B30" s="147" t="str">
        <f t="shared" si="0"/>
        <v>Monday</v>
      </c>
      <c r="C30" s="148" t="s">
        <v>245</v>
      </c>
      <c r="D30" s="148" t="s">
        <v>244</v>
      </c>
      <c r="E30" s="148" t="s">
        <v>244</v>
      </c>
      <c r="F30" s="148" t="s">
        <v>244</v>
      </c>
      <c r="G30" s="148" t="s">
        <v>244</v>
      </c>
      <c r="H30" s="148" t="s">
        <v>244</v>
      </c>
      <c r="I30" s="148" t="s">
        <v>244</v>
      </c>
      <c r="J30" s="148" t="s">
        <v>244</v>
      </c>
      <c r="K30" s="148" t="s">
        <v>245</v>
      </c>
      <c r="L30" s="148" t="s">
        <v>244</v>
      </c>
    </row>
    <row r="31" spans="1:12" ht="18" x14ac:dyDescent="0.3">
      <c r="A31" s="132">
        <f t="shared" si="1"/>
        <v>46252</v>
      </c>
      <c r="B31" s="147" t="str">
        <f t="shared" si="0"/>
        <v>Tuesday</v>
      </c>
      <c r="C31" s="148" t="s">
        <v>245</v>
      </c>
      <c r="D31" s="148" t="s">
        <v>244</v>
      </c>
      <c r="E31" s="148" t="s">
        <v>245</v>
      </c>
      <c r="F31" s="148" t="s">
        <v>244</v>
      </c>
      <c r="G31" s="148" t="s">
        <v>244</v>
      </c>
      <c r="H31" s="148" t="s">
        <v>244</v>
      </c>
      <c r="I31" s="148" t="s">
        <v>245</v>
      </c>
      <c r="J31" s="148" t="s">
        <v>244</v>
      </c>
      <c r="K31" s="148" t="s">
        <v>244</v>
      </c>
      <c r="L31" s="148" t="s">
        <v>244</v>
      </c>
    </row>
    <row r="32" spans="1:12" ht="18" x14ac:dyDescent="0.3">
      <c r="A32" s="132">
        <f t="shared" si="1"/>
        <v>46253</v>
      </c>
      <c r="B32" s="147" t="str">
        <f t="shared" si="0"/>
        <v>Wednesday</v>
      </c>
      <c r="C32" s="148" t="s">
        <v>244</v>
      </c>
      <c r="D32" s="148" t="s">
        <v>244</v>
      </c>
      <c r="E32" s="148" t="s">
        <v>244</v>
      </c>
      <c r="F32" s="148" t="s">
        <v>244</v>
      </c>
      <c r="G32" s="148" t="s">
        <v>244</v>
      </c>
      <c r="H32" s="148" t="s">
        <v>244</v>
      </c>
      <c r="I32" s="148" t="s">
        <v>244</v>
      </c>
      <c r="J32" s="148" t="s">
        <v>244</v>
      </c>
      <c r="K32" s="148" t="s">
        <v>244</v>
      </c>
      <c r="L32" s="148" t="s">
        <v>244</v>
      </c>
    </row>
    <row r="33" spans="1:12" ht="18" x14ac:dyDescent="0.3">
      <c r="A33" s="132">
        <f t="shared" si="1"/>
        <v>46254</v>
      </c>
      <c r="B33" s="147" t="str">
        <f t="shared" si="0"/>
        <v>Thursday</v>
      </c>
      <c r="C33" s="148" t="s">
        <v>244</v>
      </c>
      <c r="D33" s="148" t="s">
        <v>244</v>
      </c>
      <c r="E33" s="148" t="s">
        <v>244</v>
      </c>
      <c r="F33" s="148" t="s">
        <v>244</v>
      </c>
      <c r="G33" s="148" t="s">
        <v>244</v>
      </c>
      <c r="H33" s="148" t="s">
        <v>244</v>
      </c>
      <c r="I33" s="148" t="s">
        <v>245</v>
      </c>
      <c r="J33" s="148" t="s">
        <v>244</v>
      </c>
      <c r="K33" s="148" t="s">
        <v>244</v>
      </c>
      <c r="L33" s="148" t="s">
        <v>244</v>
      </c>
    </row>
    <row r="34" spans="1:12" ht="18" x14ac:dyDescent="0.3">
      <c r="A34" s="132">
        <f t="shared" si="1"/>
        <v>46255</v>
      </c>
      <c r="B34" s="147" t="str">
        <f t="shared" si="0"/>
        <v>Friday</v>
      </c>
      <c r="C34" s="148" t="s">
        <v>244</v>
      </c>
      <c r="D34" s="148" t="s">
        <v>244</v>
      </c>
      <c r="E34" s="148" t="s">
        <v>244</v>
      </c>
      <c r="F34" s="148" t="s">
        <v>244</v>
      </c>
      <c r="G34" s="148" t="s">
        <v>244</v>
      </c>
      <c r="H34" s="148" t="s">
        <v>244</v>
      </c>
      <c r="I34" s="148" t="s">
        <v>244</v>
      </c>
      <c r="J34" s="148" t="s">
        <v>244</v>
      </c>
      <c r="K34" s="148" t="s">
        <v>244</v>
      </c>
      <c r="L34" s="148" t="s">
        <v>244</v>
      </c>
    </row>
    <row r="35" spans="1:12" ht="18" x14ac:dyDescent="0.3">
      <c r="A35" s="132">
        <f t="shared" si="1"/>
        <v>46256</v>
      </c>
      <c r="B35" s="147" t="str">
        <f t="shared" si="0"/>
        <v>Saturday</v>
      </c>
      <c r="C35" s="148" t="s">
        <v>244</v>
      </c>
      <c r="D35" s="148" t="s">
        <v>244</v>
      </c>
      <c r="E35" s="148" t="s">
        <v>244</v>
      </c>
      <c r="F35" s="148" t="s">
        <v>244</v>
      </c>
      <c r="G35" s="148" t="s">
        <v>244</v>
      </c>
      <c r="H35" s="148" t="s">
        <v>244</v>
      </c>
      <c r="I35" s="148" t="s">
        <v>244</v>
      </c>
      <c r="J35" s="148" t="s">
        <v>244</v>
      </c>
      <c r="K35" s="148" t="s">
        <v>244</v>
      </c>
      <c r="L35" s="148" t="s">
        <v>244</v>
      </c>
    </row>
    <row r="36" spans="1:12" ht="18" x14ac:dyDescent="0.3">
      <c r="A36" s="132">
        <f t="shared" si="1"/>
        <v>46257</v>
      </c>
      <c r="B36" s="147" t="str">
        <f t="shared" si="0"/>
        <v>Sunday</v>
      </c>
      <c r="C36" s="148" t="s">
        <v>244</v>
      </c>
      <c r="D36" s="148" t="s">
        <v>244</v>
      </c>
      <c r="E36" s="148" t="s">
        <v>244</v>
      </c>
      <c r="F36" s="148" t="s">
        <v>244</v>
      </c>
      <c r="G36" s="148" t="s">
        <v>244</v>
      </c>
      <c r="H36" s="148" t="s">
        <v>244</v>
      </c>
      <c r="I36" s="148" t="s">
        <v>244</v>
      </c>
      <c r="J36" s="148" t="s">
        <v>244</v>
      </c>
      <c r="K36" s="148" t="s">
        <v>244</v>
      </c>
      <c r="L36" s="148" t="s">
        <v>244</v>
      </c>
    </row>
    <row r="37" spans="1:12" ht="18" x14ac:dyDescent="0.3">
      <c r="A37" s="132">
        <f t="shared" si="1"/>
        <v>46258</v>
      </c>
      <c r="B37" s="147" t="str">
        <f t="shared" si="0"/>
        <v>Monday</v>
      </c>
      <c r="C37" s="148" t="s">
        <v>244</v>
      </c>
      <c r="D37" s="148" t="s">
        <v>244</v>
      </c>
      <c r="E37" s="148" t="s">
        <v>244</v>
      </c>
      <c r="F37" s="148" t="s">
        <v>244</v>
      </c>
      <c r="G37" s="148" t="s">
        <v>244</v>
      </c>
      <c r="H37" s="148" t="s">
        <v>244</v>
      </c>
      <c r="I37" s="148" t="s">
        <v>244</v>
      </c>
      <c r="J37" s="148" t="s">
        <v>244</v>
      </c>
      <c r="K37" s="148" t="s">
        <v>244</v>
      </c>
      <c r="L37" s="148" t="s">
        <v>244</v>
      </c>
    </row>
    <row r="38" spans="1:12" ht="18" x14ac:dyDescent="0.3">
      <c r="A38" s="132">
        <f t="shared" si="1"/>
        <v>46259</v>
      </c>
      <c r="B38" s="147" t="str">
        <f t="shared" si="0"/>
        <v>Tuesday</v>
      </c>
      <c r="C38" s="148" t="s">
        <v>244</v>
      </c>
      <c r="D38" s="148" t="s">
        <v>244</v>
      </c>
      <c r="E38" s="148" t="s">
        <v>244</v>
      </c>
      <c r="F38" s="148" t="s">
        <v>244</v>
      </c>
      <c r="G38" s="148" t="s">
        <v>244</v>
      </c>
      <c r="H38" s="148" t="s">
        <v>244</v>
      </c>
      <c r="I38" s="148" t="s">
        <v>244</v>
      </c>
      <c r="J38" s="148" t="s">
        <v>244</v>
      </c>
      <c r="K38" s="148" t="s">
        <v>244</v>
      </c>
      <c r="L38" s="148" t="s">
        <v>244</v>
      </c>
    </row>
    <row r="39" spans="1:12" ht="18" x14ac:dyDescent="0.3">
      <c r="A39" s="132">
        <f t="shared" si="1"/>
        <v>46260</v>
      </c>
      <c r="B39" s="147" t="str">
        <f t="shared" si="0"/>
        <v>Wednesday</v>
      </c>
      <c r="C39" s="148" t="s">
        <v>244</v>
      </c>
      <c r="D39" s="148" t="s">
        <v>244</v>
      </c>
      <c r="E39" s="148" t="s">
        <v>244</v>
      </c>
      <c r="F39" s="148" t="s">
        <v>244</v>
      </c>
      <c r="G39" s="148" t="s">
        <v>244</v>
      </c>
      <c r="H39" s="148" t="s">
        <v>244</v>
      </c>
      <c r="I39" s="148" t="s">
        <v>244</v>
      </c>
      <c r="J39" s="148" t="s">
        <v>244</v>
      </c>
      <c r="K39" s="148" t="s">
        <v>244</v>
      </c>
      <c r="L39" s="148" t="s">
        <v>244</v>
      </c>
    </row>
    <row r="40" spans="1:12" ht="18" x14ac:dyDescent="0.3">
      <c r="A40" s="132">
        <f t="shared" si="1"/>
        <v>46261</v>
      </c>
      <c r="B40" s="147" t="str">
        <f t="shared" si="0"/>
        <v>Thursday</v>
      </c>
      <c r="C40" s="148" t="s">
        <v>244</v>
      </c>
      <c r="D40" s="148" t="s">
        <v>244</v>
      </c>
      <c r="E40" s="148" t="s">
        <v>245</v>
      </c>
      <c r="F40" s="148" t="s">
        <v>244</v>
      </c>
      <c r="G40" s="148" t="s">
        <v>244</v>
      </c>
      <c r="H40" s="148" t="s">
        <v>244</v>
      </c>
      <c r="I40" s="148" t="s">
        <v>245</v>
      </c>
      <c r="J40" s="148" t="s">
        <v>244</v>
      </c>
      <c r="K40" s="148" t="s">
        <v>244</v>
      </c>
      <c r="L40" s="148" t="s">
        <v>244</v>
      </c>
    </row>
    <row r="41" spans="1:12" ht="18" x14ac:dyDescent="0.3">
      <c r="A41" s="132">
        <f t="shared" si="1"/>
        <v>46262</v>
      </c>
      <c r="B41" s="147" t="str">
        <f t="shared" si="0"/>
        <v>Friday</v>
      </c>
      <c r="C41" s="148" t="s">
        <v>244</v>
      </c>
      <c r="D41" s="148" t="s">
        <v>244</v>
      </c>
      <c r="E41" s="148" t="s">
        <v>244</v>
      </c>
      <c r="F41" s="148" t="s">
        <v>244</v>
      </c>
      <c r="G41" s="148" t="s">
        <v>244</v>
      </c>
      <c r="H41" s="148" t="s">
        <v>244</v>
      </c>
      <c r="I41" s="148" t="s">
        <v>244</v>
      </c>
      <c r="J41" s="148" t="s">
        <v>244</v>
      </c>
      <c r="K41" s="148" t="s">
        <v>244</v>
      </c>
      <c r="L41" s="148" t="s">
        <v>244</v>
      </c>
    </row>
    <row r="42" spans="1:12" ht="18" x14ac:dyDescent="0.3">
      <c r="A42" s="132">
        <f t="shared" si="1"/>
        <v>46263</v>
      </c>
      <c r="B42" s="147" t="str">
        <f t="shared" si="0"/>
        <v>Saturday</v>
      </c>
      <c r="C42" s="148" t="s">
        <v>244</v>
      </c>
      <c r="D42" s="148" t="s">
        <v>244</v>
      </c>
      <c r="E42" s="148" t="s">
        <v>244</v>
      </c>
      <c r="F42" s="148" t="s">
        <v>244</v>
      </c>
      <c r="G42" s="148" t="s">
        <v>244</v>
      </c>
      <c r="H42" s="148" t="s">
        <v>244</v>
      </c>
      <c r="I42" s="148" t="s">
        <v>244</v>
      </c>
      <c r="J42" s="148" t="s">
        <v>244</v>
      </c>
      <c r="K42" s="148" t="s">
        <v>244</v>
      </c>
      <c r="L42" s="148" t="s">
        <v>244</v>
      </c>
    </row>
    <row r="43" spans="1:12" ht="18" x14ac:dyDescent="0.3">
      <c r="A43" s="132">
        <f t="shared" si="1"/>
        <v>46264</v>
      </c>
      <c r="B43" s="147" t="str">
        <f t="shared" si="0"/>
        <v>Sunday</v>
      </c>
      <c r="C43" s="148" t="s">
        <v>244</v>
      </c>
      <c r="D43" s="148" t="s">
        <v>244</v>
      </c>
      <c r="E43" s="148" t="s">
        <v>244</v>
      </c>
      <c r="F43" s="148" t="s">
        <v>244</v>
      </c>
      <c r="G43" s="148" t="s">
        <v>244</v>
      </c>
      <c r="H43" s="148" t="s">
        <v>244</v>
      </c>
      <c r="I43" s="148" t="s">
        <v>244</v>
      </c>
      <c r="J43" s="148" t="s">
        <v>244</v>
      </c>
      <c r="K43" s="148" t="s">
        <v>244</v>
      </c>
      <c r="L43" s="148" t="s">
        <v>244</v>
      </c>
    </row>
    <row r="44" spans="1:12" ht="18" x14ac:dyDescent="0.3">
      <c r="A44" s="132">
        <f t="shared" si="1"/>
        <v>46265</v>
      </c>
      <c r="B44" s="147" t="str">
        <f t="shared" si="0"/>
        <v>Monday</v>
      </c>
      <c r="C44" s="148" t="s">
        <v>245</v>
      </c>
      <c r="D44" s="148" t="s">
        <v>244</v>
      </c>
      <c r="E44" s="148" t="s">
        <v>244</v>
      </c>
      <c r="F44" s="148" t="s">
        <v>244</v>
      </c>
      <c r="G44" s="148" t="s">
        <v>244</v>
      </c>
      <c r="H44" s="148" t="s">
        <v>244</v>
      </c>
      <c r="I44" s="148" t="s">
        <v>244</v>
      </c>
      <c r="J44" s="148" t="s">
        <v>244</v>
      </c>
      <c r="K44" s="148" t="s">
        <v>245</v>
      </c>
      <c r="L44" s="148" t="s">
        <v>245</v>
      </c>
    </row>
    <row r="45" spans="1:12" ht="18" x14ac:dyDescent="0.3">
      <c r="A45" s="132">
        <f t="shared" si="1"/>
        <v>46266</v>
      </c>
      <c r="B45" s="147" t="str">
        <f t="shared" si="0"/>
        <v>Tuesday</v>
      </c>
      <c r="C45" s="148" t="s">
        <v>245</v>
      </c>
      <c r="D45" s="148" t="s">
        <v>244</v>
      </c>
      <c r="E45" s="148" t="s">
        <v>245</v>
      </c>
      <c r="F45" s="148" t="s">
        <v>244</v>
      </c>
      <c r="G45" s="148" t="s">
        <v>244</v>
      </c>
      <c r="H45" s="148" t="s">
        <v>244</v>
      </c>
      <c r="I45" s="148" t="s">
        <v>245</v>
      </c>
      <c r="J45" s="148" t="s">
        <v>244</v>
      </c>
      <c r="K45" s="148" t="s">
        <v>245</v>
      </c>
      <c r="L45" s="148" t="s">
        <v>245</v>
      </c>
    </row>
    <row r="46" spans="1:12" ht="18" x14ac:dyDescent="0.3">
      <c r="A46" s="132">
        <f t="shared" si="1"/>
        <v>46267</v>
      </c>
      <c r="B46" s="147" t="str">
        <f t="shared" si="0"/>
        <v>Wednesday</v>
      </c>
      <c r="C46" s="148" t="s">
        <v>245</v>
      </c>
      <c r="D46" s="148" t="s">
        <v>244</v>
      </c>
      <c r="E46" s="148" t="s">
        <v>245</v>
      </c>
      <c r="F46" s="148" t="s">
        <v>244</v>
      </c>
      <c r="G46" s="148" t="s">
        <v>244</v>
      </c>
      <c r="H46" s="148" t="s">
        <v>244</v>
      </c>
      <c r="I46" s="148" t="s">
        <v>244</v>
      </c>
      <c r="J46" s="148" t="s">
        <v>244</v>
      </c>
      <c r="K46" s="148" t="s">
        <v>245</v>
      </c>
      <c r="L46" s="148" t="s">
        <v>245</v>
      </c>
    </row>
    <row r="47" spans="1:12" ht="18" x14ac:dyDescent="0.3">
      <c r="A47" s="132">
        <f t="shared" si="1"/>
        <v>46268</v>
      </c>
      <c r="B47" s="147" t="str">
        <f t="shared" si="0"/>
        <v>Thursday</v>
      </c>
      <c r="C47" s="148" t="s">
        <v>244</v>
      </c>
      <c r="D47" s="148" t="s">
        <v>244</v>
      </c>
      <c r="E47" s="148" t="s">
        <v>244</v>
      </c>
      <c r="F47" s="148" t="s">
        <v>244</v>
      </c>
      <c r="G47" s="148" t="s">
        <v>244</v>
      </c>
      <c r="H47" s="148" t="s">
        <v>244</v>
      </c>
      <c r="I47" s="148" t="s">
        <v>244</v>
      </c>
      <c r="J47" s="148" t="s">
        <v>244</v>
      </c>
      <c r="K47" s="148" t="s">
        <v>244</v>
      </c>
      <c r="L47" s="148" t="s">
        <v>244</v>
      </c>
    </row>
    <row r="48" spans="1:12" ht="18" x14ac:dyDescent="0.3">
      <c r="A48" s="132">
        <f t="shared" si="1"/>
        <v>46269</v>
      </c>
      <c r="B48" s="147" t="str">
        <f t="shared" si="0"/>
        <v>Friday</v>
      </c>
      <c r="C48" s="148" t="s">
        <v>244</v>
      </c>
      <c r="D48" s="148" t="s">
        <v>244</v>
      </c>
      <c r="E48" s="148" t="s">
        <v>244</v>
      </c>
      <c r="F48" s="148" t="s">
        <v>244</v>
      </c>
      <c r="G48" s="148" t="s">
        <v>244</v>
      </c>
      <c r="H48" s="148" t="s">
        <v>244</v>
      </c>
      <c r="I48" s="148" t="s">
        <v>244</v>
      </c>
      <c r="J48" s="148" t="s">
        <v>244</v>
      </c>
      <c r="K48" s="148" t="s">
        <v>244</v>
      </c>
      <c r="L48" s="148" t="s">
        <v>244</v>
      </c>
    </row>
    <row r="49" spans="1:12" ht="18" x14ac:dyDescent="0.3">
      <c r="A49" s="132">
        <f t="shared" si="1"/>
        <v>46270</v>
      </c>
      <c r="B49" s="147" t="str">
        <f t="shared" si="0"/>
        <v>Saturday</v>
      </c>
      <c r="C49" s="148" t="s">
        <v>244</v>
      </c>
      <c r="D49" s="148" t="s">
        <v>244</v>
      </c>
      <c r="E49" s="148" t="s">
        <v>244</v>
      </c>
      <c r="F49" s="148" t="s">
        <v>244</v>
      </c>
      <c r="G49" s="148" t="s">
        <v>244</v>
      </c>
      <c r="H49" s="148" t="s">
        <v>244</v>
      </c>
      <c r="I49" s="148" t="s">
        <v>244</v>
      </c>
      <c r="J49" s="148" t="s">
        <v>244</v>
      </c>
      <c r="K49" s="148" t="s">
        <v>244</v>
      </c>
      <c r="L49" s="148" t="s">
        <v>244</v>
      </c>
    </row>
    <row r="50" spans="1:12" ht="18" x14ac:dyDescent="0.3">
      <c r="A50" s="132">
        <f t="shared" si="1"/>
        <v>46271</v>
      </c>
      <c r="B50" s="147" t="str">
        <f t="shared" si="0"/>
        <v>Sunday</v>
      </c>
      <c r="C50" s="148" t="s">
        <v>244</v>
      </c>
      <c r="D50" s="148" t="s">
        <v>244</v>
      </c>
      <c r="E50" s="148" t="s">
        <v>244</v>
      </c>
      <c r="F50" s="148" t="s">
        <v>244</v>
      </c>
      <c r="G50" s="148" t="s">
        <v>244</v>
      </c>
      <c r="H50" s="148" t="s">
        <v>244</v>
      </c>
      <c r="I50" s="148" t="s">
        <v>244</v>
      </c>
      <c r="J50" s="148" t="s">
        <v>244</v>
      </c>
      <c r="K50" s="148" t="s">
        <v>244</v>
      </c>
      <c r="L50" s="148" t="s">
        <v>244</v>
      </c>
    </row>
    <row r="51" spans="1:12" ht="18" x14ac:dyDescent="0.3">
      <c r="A51" s="132">
        <f t="shared" si="1"/>
        <v>46272</v>
      </c>
      <c r="B51" s="147" t="str">
        <f t="shared" si="0"/>
        <v>Monday</v>
      </c>
      <c r="C51" s="148" t="s">
        <v>244</v>
      </c>
      <c r="D51" s="148" t="s">
        <v>244</v>
      </c>
      <c r="E51" s="148" t="s">
        <v>244</v>
      </c>
      <c r="F51" s="148" t="s">
        <v>244</v>
      </c>
      <c r="G51" s="148" t="s">
        <v>244</v>
      </c>
      <c r="H51" s="148" t="s">
        <v>244</v>
      </c>
      <c r="I51" s="148" t="s">
        <v>244</v>
      </c>
      <c r="J51" s="148" t="s">
        <v>244</v>
      </c>
      <c r="K51" s="148" t="s">
        <v>244</v>
      </c>
      <c r="L51" s="148" t="s">
        <v>244</v>
      </c>
    </row>
    <row r="52" spans="1:12" ht="18" x14ac:dyDescent="0.3">
      <c r="A52" s="132">
        <f t="shared" si="1"/>
        <v>46273</v>
      </c>
      <c r="B52" s="147" t="str">
        <f t="shared" si="0"/>
        <v>Tuesday</v>
      </c>
      <c r="C52" s="148" t="s">
        <v>244</v>
      </c>
      <c r="D52" s="148" t="s">
        <v>244</v>
      </c>
      <c r="E52" s="148" t="s">
        <v>244</v>
      </c>
      <c r="F52" s="148" t="s">
        <v>244</v>
      </c>
      <c r="G52" s="148" t="s">
        <v>244</v>
      </c>
      <c r="H52" s="148" t="s">
        <v>244</v>
      </c>
      <c r="I52" s="148" t="s">
        <v>244</v>
      </c>
      <c r="J52" s="148" t="s">
        <v>244</v>
      </c>
      <c r="K52" s="148" t="s">
        <v>244</v>
      </c>
      <c r="L52" s="148" t="s">
        <v>244</v>
      </c>
    </row>
    <row r="53" spans="1:12" ht="18" x14ac:dyDescent="0.3">
      <c r="A53" s="132">
        <f t="shared" si="1"/>
        <v>46274</v>
      </c>
      <c r="B53" s="147" t="str">
        <f t="shared" si="0"/>
        <v>Wednesday</v>
      </c>
      <c r="C53" s="148" t="s">
        <v>244</v>
      </c>
      <c r="D53" s="148" t="s">
        <v>244</v>
      </c>
      <c r="E53" s="148" t="s">
        <v>244</v>
      </c>
      <c r="F53" s="148" t="s">
        <v>244</v>
      </c>
      <c r="G53" s="148" t="s">
        <v>244</v>
      </c>
      <c r="H53" s="148" t="s">
        <v>244</v>
      </c>
      <c r="I53" s="148" t="s">
        <v>244</v>
      </c>
      <c r="J53" s="148" t="s">
        <v>244</v>
      </c>
      <c r="K53" s="148" t="s">
        <v>244</v>
      </c>
      <c r="L53" s="148" t="s">
        <v>244</v>
      </c>
    </row>
    <row r="54" spans="1:12" ht="18" x14ac:dyDescent="0.3">
      <c r="A54" s="132">
        <f t="shared" si="1"/>
        <v>46275</v>
      </c>
      <c r="B54" s="147" t="str">
        <f t="shared" si="0"/>
        <v>Thursday</v>
      </c>
      <c r="C54" s="148" t="s">
        <v>244</v>
      </c>
      <c r="D54" s="148" t="s">
        <v>244</v>
      </c>
      <c r="E54" s="148" t="s">
        <v>244</v>
      </c>
      <c r="F54" s="148" t="s">
        <v>244</v>
      </c>
      <c r="G54" s="148" t="s">
        <v>244</v>
      </c>
      <c r="H54" s="148" t="s">
        <v>244</v>
      </c>
      <c r="I54" s="148" t="s">
        <v>244</v>
      </c>
      <c r="J54" s="148" t="s">
        <v>244</v>
      </c>
      <c r="K54" s="148" t="s">
        <v>244</v>
      </c>
      <c r="L54" s="148" t="s">
        <v>244</v>
      </c>
    </row>
    <row r="55" spans="1:12" ht="18" x14ac:dyDescent="0.3">
      <c r="A55" s="132">
        <f t="shared" si="1"/>
        <v>46276</v>
      </c>
      <c r="B55" s="147" t="str">
        <f t="shared" si="0"/>
        <v>Friday</v>
      </c>
      <c r="C55" s="148" t="s">
        <v>244</v>
      </c>
      <c r="D55" s="148" t="s">
        <v>244</v>
      </c>
      <c r="E55" s="148" t="s">
        <v>244</v>
      </c>
      <c r="F55" s="148" t="s">
        <v>244</v>
      </c>
      <c r="G55" s="148" t="s">
        <v>244</v>
      </c>
      <c r="H55" s="148" t="s">
        <v>244</v>
      </c>
      <c r="I55" s="148" t="s">
        <v>244</v>
      </c>
      <c r="J55" s="148" t="s">
        <v>244</v>
      </c>
      <c r="K55" s="148" t="s">
        <v>244</v>
      </c>
      <c r="L55" s="148" t="s">
        <v>244</v>
      </c>
    </row>
    <row r="56" spans="1:12" ht="18" x14ac:dyDescent="0.3">
      <c r="A56" s="132">
        <f t="shared" si="1"/>
        <v>46277</v>
      </c>
      <c r="B56" s="147" t="str">
        <f t="shared" si="0"/>
        <v>Saturday</v>
      </c>
      <c r="C56" s="148" t="s">
        <v>244</v>
      </c>
      <c r="D56" s="148" t="s">
        <v>244</v>
      </c>
      <c r="E56" s="148" t="s">
        <v>244</v>
      </c>
      <c r="F56" s="148" t="s">
        <v>244</v>
      </c>
      <c r="G56" s="148" t="s">
        <v>244</v>
      </c>
      <c r="H56" s="148" t="s">
        <v>244</v>
      </c>
      <c r="I56" s="148" t="s">
        <v>244</v>
      </c>
      <c r="J56" s="148" t="s">
        <v>244</v>
      </c>
      <c r="K56" s="148" t="s">
        <v>244</v>
      </c>
      <c r="L56" s="148" t="s">
        <v>244</v>
      </c>
    </row>
    <row r="57" spans="1:12" ht="18" x14ac:dyDescent="0.3">
      <c r="A57" s="132">
        <f t="shared" si="1"/>
        <v>46278</v>
      </c>
      <c r="B57" s="147" t="str">
        <f t="shared" si="0"/>
        <v>Sunday</v>
      </c>
      <c r="C57" s="148" t="s">
        <v>244</v>
      </c>
      <c r="D57" s="148" t="s">
        <v>244</v>
      </c>
      <c r="E57" s="148" t="s">
        <v>244</v>
      </c>
      <c r="F57" s="148" t="s">
        <v>244</v>
      </c>
      <c r="G57" s="148" t="s">
        <v>244</v>
      </c>
      <c r="H57" s="148" t="s">
        <v>244</v>
      </c>
      <c r="I57" s="148" t="s">
        <v>244</v>
      </c>
      <c r="J57" s="148" t="s">
        <v>244</v>
      </c>
      <c r="K57" s="148" t="s">
        <v>244</v>
      </c>
      <c r="L57" s="148" t="s">
        <v>244</v>
      </c>
    </row>
    <row r="58" spans="1:12" ht="18" x14ac:dyDescent="0.3">
      <c r="A58" s="132">
        <f t="shared" si="1"/>
        <v>46279</v>
      </c>
      <c r="B58" s="147" t="str">
        <f t="shared" si="0"/>
        <v>Monday</v>
      </c>
      <c r="C58" s="148" t="s">
        <v>244</v>
      </c>
      <c r="D58" s="148" t="s">
        <v>244</v>
      </c>
      <c r="E58" s="148" t="s">
        <v>244</v>
      </c>
      <c r="F58" s="148" t="s">
        <v>244</v>
      </c>
      <c r="G58" s="148" t="s">
        <v>244</v>
      </c>
      <c r="H58" s="148" t="s">
        <v>244</v>
      </c>
      <c r="I58" s="148" t="s">
        <v>244</v>
      </c>
      <c r="J58" s="148" t="s">
        <v>244</v>
      </c>
      <c r="K58" s="148" t="s">
        <v>244</v>
      </c>
      <c r="L58" s="148" t="s">
        <v>244</v>
      </c>
    </row>
    <row r="59" spans="1:12" ht="18" x14ac:dyDescent="0.3">
      <c r="A59" s="132">
        <f t="shared" si="1"/>
        <v>46280</v>
      </c>
      <c r="B59" s="147" t="str">
        <f t="shared" si="0"/>
        <v>Tuesday</v>
      </c>
      <c r="C59" s="148" t="s">
        <v>244</v>
      </c>
      <c r="D59" s="148" t="s">
        <v>244</v>
      </c>
      <c r="E59" s="148" t="s">
        <v>244</v>
      </c>
      <c r="F59" s="148" t="s">
        <v>244</v>
      </c>
      <c r="G59" s="148" t="s">
        <v>244</v>
      </c>
      <c r="H59" s="148" t="s">
        <v>244</v>
      </c>
      <c r="I59" s="148" t="s">
        <v>244</v>
      </c>
      <c r="J59" s="148" t="s">
        <v>244</v>
      </c>
      <c r="K59" s="148" t="s">
        <v>244</v>
      </c>
      <c r="L59" s="148" t="s">
        <v>244</v>
      </c>
    </row>
    <row r="60" spans="1:12" ht="18" x14ac:dyDescent="0.3">
      <c r="A60" s="132">
        <f t="shared" si="1"/>
        <v>46281</v>
      </c>
      <c r="B60" s="147" t="str">
        <f t="shared" si="0"/>
        <v>Wednesday</v>
      </c>
      <c r="C60" s="148" t="s">
        <v>244</v>
      </c>
      <c r="D60" s="148" t="s">
        <v>244</v>
      </c>
      <c r="E60" s="148" t="s">
        <v>244</v>
      </c>
      <c r="F60" s="148" t="s">
        <v>244</v>
      </c>
      <c r="G60" s="148" t="s">
        <v>244</v>
      </c>
      <c r="H60" s="148" t="s">
        <v>244</v>
      </c>
      <c r="I60" s="148" t="s">
        <v>244</v>
      </c>
      <c r="J60" s="148" t="s">
        <v>244</v>
      </c>
      <c r="K60" s="148" t="s">
        <v>244</v>
      </c>
      <c r="L60" s="148" t="s">
        <v>244</v>
      </c>
    </row>
    <row r="61" spans="1:12" ht="18" x14ac:dyDescent="0.3">
      <c r="A61" s="132">
        <f t="shared" si="1"/>
        <v>46282</v>
      </c>
      <c r="B61" s="147" t="str">
        <f t="shared" si="0"/>
        <v>Thursday</v>
      </c>
      <c r="C61" s="148" t="s">
        <v>244</v>
      </c>
      <c r="D61" s="148" t="s">
        <v>244</v>
      </c>
      <c r="E61" s="148" t="s">
        <v>244</v>
      </c>
      <c r="F61" s="148" t="s">
        <v>244</v>
      </c>
      <c r="G61" s="148" t="s">
        <v>244</v>
      </c>
      <c r="H61" s="148" t="s">
        <v>244</v>
      </c>
      <c r="I61" s="148" t="s">
        <v>244</v>
      </c>
      <c r="J61" s="148" t="s">
        <v>244</v>
      </c>
      <c r="K61" s="148" t="s">
        <v>244</v>
      </c>
      <c r="L61" s="148" t="s">
        <v>244</v>
      </c>
    </row>
    <row r="62" spans="1:12" ht="18" x14ac:dyDescent="0.3">
      <c r="A62" s="132">
        <f t="shared" si="1"/>
        <v>46283</v>
      </c>
      <c r="B62" s="147" t="str">
        <f t="shared" si="0"/>
        <v>Friday</v>
      </c>
      <c r="C62" s="148" t="s">
        <v>244</v>
      </c>
      <c r="D62" s="148" t="s">
        <v>244</v>
      </c>
      <c r="E62" s="148" t="s">
        <v>244</v>
      </c>
      <c r="F62" s="148" t="s">
        <v>244</v>
      </c>
      <c r="G62" s="148" t="s">
        <v>244</v>
      </c>
      <c r="H62" s="148" t="s">
        <v>244</v>
      </c>
      <c r="I62" s="148" t="s">
        <v>244</v>
      </c>
      <c r="J62" s="148" t="s">
        <v>244</v>
      </c>
      <c r="K62" s="148" t="s">
        <v>244</v>
      </c>
      <c r="L62" s="148" t="s">
        <v>244</v>
      </c>
    </row>
    <row r="63" spans="1:12" ht="18" x14ac:dyDescent="0.3">
      <c r="A63" s="132">
        <f t="shared" si="1"/>
        <v>46284</v>
      </c>
      <c r="B63" s="147" t="str">
        <f t="shared" si="0"/>
        <v>Saturday</v>
      </c>
      <c r="C63" s="148" t="s">
        <v>244</v>
      </c>
      <c r="D63" s="148" t="s">
        <v>244</v>
      </c>
      <c r="E63" s="148" t="s">
        <v>244</v>
      </c>
      <c r="F63" s="148" t="s">
        <v>244</v>
      </c>
      <c r="G63" s="148" t="s">
        <v>244</v>
      </c>
      <c r="H63" s="148" t="s">
        <v>244</v>
      </c>
      <c r="I63" s="148" t="s">
        <v>244</v>
      </c>
      <c r="J63" s="148" t="s">
        <v>244</v>
      </c>
      <c r="K63" s="148" t="s">
        <v>244</v>
      </c>
      <c r="L63" s="148" t="s">
        <v>244</v>
      </c>
    </row>
    <row r="64" spans="1:12" ht="18" x14ac:dyDescent="0.3">
      <c r="A64" s="132">
        <f t="shared" si="1"/>
        <v>46285</v>
      </c>
      <c r="B64" s="147" t="str">
        <f t="shared" si="0"/>
        <v>Sunday</v>
      </c>
      <c r="C64" s="148" t="s">
        <v>244</v>
      </c>
      <c r="D64" s="148" t="s">
        <v>244</v>
      </c>
      <c r="E64" s="148" t="s">
        <v>244</v>
      </c>
      <c r="F64" s="148" t="s">
        <v>244</v>
      </c>
      <c r="G64" s="148" t="s">
        <v>244</v>
      </c>
      <c r="H64" s="148" t="s">
        <v>244</v>
      </c>
      <c r="I64" s="148" t="s">
        <v>244</v>
      </c>
      <c r="J64" s="148" t="s">
        <v>244</v>
      </c>
      <c r="K64" s="148" t="s">
        <v>244</v>
      </c>
      <c r="L64" s="148" t="s">
        <v>244</v>
      </c>
    </row>
    <row r="65" spans="1:12" ht="18" x14ac:dyDescent="0.3">
      <c r="A65" s="132">
        <f t="shared" si="1"/>
        <v>46286</v>
      </c>
      <c r="B65" s="147" t="str">
        <f t="shared" si="0"/>
        <v>Monday</v>
      </c>
      <c r="C65" s="148" t="s">
        <v>244</v>
      </c>
      <c r="D65" s="148" t="s">
        <v>244</v>
      </c>
      <c r="E65" s="148" t="s">
        <v>244</v>
      </c>
      <c r="F65" s="148" t="s">
        <v>244</v>
      </c>
      <c r="G65" s="148" t="s">
        <v>244</v>
      </c>
      <c r="H65" s="148" t="s">
        <v>244</v>
      </c>
      <c r="I65" s="148" t="s">
        <v>244</v>
      </c>
      <c r="J65" s="148" t="s">
        <v>244</v>
      </c>
      <c r="K65" s="148" t="s">
        <v>244</v>
      </c>
      <c r="L65" s="148" t="s">
        <v>244</v>
      </c>
    </row>
    <row r="66" spans="1:12" ht="18" x14ac:dyDescent="0.3">
      <c r="A66" s="132">
        <f t="shared" si="1"/>
        <v>46287</v>
      </c>
      <c r="B66" s="147" t="str">
        <f t="shared" ref="B66:B129" si="2">CHOOSE(WEEKDAY(A66,2),"Monday","Tuesday","Wednesday","Thursday","Friday","Saturday","Sunday")</f>
        <v>Tuesday</v>
      </c>
      <c r="C66" s="148" t="s">
        <v>244</v>
      </c>
      <c r="D66" s="148" t="s">
        <v>244</v>
      </c>
      <c r="E66" s="148" t="s">
        <v>244</v>
      </c>
      <c r="F66" s="148" t="s">
        <v>244</v>
      </c>
      <c r="G66" s="148" t="s">
        <v>244</v>
      </c>
      <c r="H66" s="148" t="s">
        <v>244</v>
      </c>
      <c r="I66" s="148" t="s">
        <v>244</v>
      </c>
      <c r="J66" s="148" t="s">
        <v>244</v>
      </c>
      <c r="K66" s="148" t="s">
        <v>244</v>
      </c>
      <c r="L66" s="148" t="s">
        <v>244</v>
      </c>
    </row>
    <row r="67" spans="1:12" ht="18" x14ac:dyDescent="0.3">
      <c r="A67" s="132">
        <f t="shared" si="1"/>
        <v>46288</v>
      </c>
      <c r="B67" s="147" t="str">
        <f t="shared" si="2"/>
        <v>Wednesday</v>
      </c>
      <c r="C67" s="148" t="s">
        <v>244</v>
      </c>
      <c r="D67" s="148" t="s">
        <v>244</v>
      </c>
      <c r="E67" s="148" t="s">
        <v>244</v>
      </c>
      <c r="F67" s="148" t="s">
        <v>244</v>
      </c>
      <c r="G67" s="148" t="s">
        <v>244</v>
      </c>
      <c r="H67" s="148" t="s">
        <v>244</v>
      </c>
      <c r="I67" s="148" t="s">
        <v>244</v>
      </c>
      <c r="J67" s="148" t="s">
        <v>244</v>
      </c>
      <c r="K67" s="148" t="s">
        <v>244</v>
      </c>
      <c r="L67" s="148" t="s">
        <v>244</v>
      </c>
    </row>
    <row r="68" spans="1:12" ht="18" x14ac:dyDescent="0.3">
      <c r="A68" s="132">
        <f t="shared" ref="A68:A131" si="3">A67+1</f>
        <v>46289</v>
      </c>
      <c r="B68" s="147" t="str">
        <f t="shared" si="2"/>
        <v>Thursday</v>
      </c>
      <c r="C68" s="148" t="s">
        <v>244</v>
      </c>
      <c r="D68" s="148" t="s">
        <v>244</v>
      </c>
      <c r="E68" s="148" t="s">
        <v>244</v>
      </c>
      <c r="F68" s="148" t="s">
        <v>244</v>
      </c>
      <c r="G68" s="148" t="s">
        <v>244</v>
      </c>
      <c r="H68" s="148" t="s">
        <v>244</v>
      </c>
      <c r="I68" s="148" t="s">
        <v>244</v>
      </c>
      <c r="J68" s="148" t="s">
        <v>244</v>
      </c>
      <c r="K68" s="148" t="s">
        <v>244</v>
      </c>
      <c r="L68" s="148" t="s">
        <v>244</v>
      </c>
    </row>
    <row r="69" spans="1:12" ht="18" x14ac:dyDescent="0.3">
      <c r="A69" s="132">
        <f t="shared" si="3"/>
        <v>46290</v>
      </c>
      <c r="B69" s="147" t="str">
        <f t="shared" si="2"/>
        <v>Friday</v>
      </c>
      <c r="C69" s="148" t="s">
        <v>244</v>
      </c>
      <c r="D69" s="148" t="s">
        <v>244</v>
      </c>
      <c r="E69" s="148" t="s">
        <v>244</v>
      </c>
      <c r="F69" s="148" t="s">
        <v>244</v>
      </c>
      <c r="G69" s="148" t="s">
        <v>244</v>
      </c>
      <c r="H69" s="148" t="s">
        <v>244</v>
      </c>
      <c r="I69" s="148" t="s">
        <v>244</v>
      </c>
      <c r="J69" s="148" t="s">
        <v>244</v>
      </c>
      <c r="K69" s="148" t="s">
        <v>244</v>
      </c>
      <c r="L69" s="148" t="s">
        <v>244</v>
      </c>
    </row>
    <row r="70" spans="1:12" ht="18" x14ac:dyDescent="0.3">
      <c r="A70" s="132">
        <f t="shared" si="3"/>
        <v>46291</v>
      </c>
      <c r="B70" s="147" t="str">
        <f t="shared" si="2"/>
        <v>Saturday</v>
      </c>
      <c r="C70" s="148" t="s">
        <v>244</v>
      </c>
      <c r="D70" s="148" t="s">
        <v>244</v>
      </c>
      <c r="E70" s="148" t="s">
        <v>244</v>
      </c>
      <c r="F70" s="148" t="s">
        <v>244</v>
      </c>
      <c r="G70" s="148" t="s">
        <v>244</v>
      </c>
      <c r="H70" s="148" t="s">
        <v>244</v>
      </c>
      <c r="I70" s="148" t="s">
        <v>244</v>
      </c>
      <c r="J70" s="148" t="s">
        <v>244</v>
      </c>
      <c r="K70" s="148" t="s">
        <v>244</v>
      </c>
      <c r="L70" s="148" t="s">
        <v>244</v>
      </c>
    </row>
    <row r="71" spans="1:12" ht="18" x14ac:dyDescent="0.3">
      <c r="A71" s="132">
        <f t="shared" si="3"/>
        <v>46292</v>
      </c>
      <c r="B71" s="147" t="str">
        <f t="shared" si="2"/>
        <v>Sunday</v>
      </c>
      <c r="C71" s="148" t="s">
        <v>244</v>
      </c>
      <c r="D71" s="148" t="s">
        <v>244</v>
      </c>
      <c r="E71" s="148" t="s">
        <v>244</v>
      </c>
      <c r="F71" s="148" t="s">
        <v>244</v>
      </c>
      <c r="G71" s="148" t="s">
        <v>244</v>
      </c>
      <c r="H71" s="148" t="s">
        <v>244</v>
      </c>
      <c r="I71" s="148" t="s">
        <v>244</v>
      </c>
      <c r="J71" s="148" t="s">
        <v>244</v>
      </c>
      <c r="K71" s="148" t="s">
        <v>244</v>
      </c>
      <c r="L71" s="148" t="s">
        <v>244</v>
      </c>
    </row>
    <row r="72" spans="1:12" ht="18" x14ac:dyDescent="0.3">
      <c r="A72" s="132">
        <f t="shared" si="3"/>
        <v>46293</v>
      </c>
      <c r="B72" s="147" t="str">
        <f t="shared" si="2"/>
        <v>Monday</v>
      </c>
      <c r="C72" s="148" t="s">
        <v>244</v>
      </c>
      <c r="D72" s="148" t="s">
        <v>244</v>
      </c>
      <c r="E72" s="148" t="s">
        <v>244</v>
      </c>
      <c r="F72" s="148" t="s">
        <v>244</v>
      </c>
      <c r="G72" s="148" t="s">
        <v>244</v>
      </c>
      <c r="H72" s="148" t="s">
        <v>244</v>
      </c>
      <c r="I72" s="148" t="s">
        <v>244</v>
      </c>
      <c r="J72" s="148" t="s">
        <v>244</v>
      </c>
      <c r="K72" s="148" t="s">
        <v>244</v>
      </c>
      <c r="L72" s="148" t="s">
        <v>244</v>
      </c>
    </row>
    <row r="73" spans="1:12" ht="18" x14ac:dyDescent="0.3">
      <c r="A73" s="132">
        <f t="shared" si="3"/>
        <v>46294</v>
      </c>
      <c r="B73" s="147" t="str">
        <f t="shared" si="2"/>
        <v>Tuesday</v>
      </c>
      <c r="C73" s="148" t="s">
        <v>244</v>
      </c>
      <c r="D73" s="148" t="s">
        <v>244</v>
      </c>
      <c r="E73" s="148" t="s">
        <v>244</v>
      </c>
      <c r="F73" s="148" t="s">
        <v>244</v>
      </c>
      <c r="G73" s="148" t="s">
        <v>244</v>
      </c>
      <c r="H73" s="148" t="s">
        <v>244</v>
      </c>
      <c r="I73" s="148" t="s">
        <v>244</v>
      </c>
      <c r="J73" s="148" t="s">
        <v>244</v>
      </c>
      <c r="K73" s="148" t="s">
        <v>244</v>
      </c>
      <c r="L73" s="148" t="s">
        <v>244</v>
      </c>
    </row>
    <row r="74" spans="1:12" ht="18" x14ac:dyDescent="0.3">
      <c r="A74" s="132">
        <f t="shared" si="3"/>
        <v>46295</v>
      </c>
      <c r="B74" s="147" t="str">
        <f t="shared" si="2"/>
        <v>Wednesday</v>
      </c>
      <c r="C74" s="148" t="s">
        <v>244</v>
      </c>
      <c r="D74" s="148" t="s">
        <v>244</v>
      </c>
      <c r="E74" s="148" t="s">
        <v>244</v>
      </c>
      <c r="F74" s="148" t="s">
        <v>244</v>
      </c>
      <c r="G74" s="148" t="s">
        <v>244</v>
      </c>
      <c r="H74" s="148" t="s">
        <v>244</v>
      </c>
      <c r="I74" s="148" t="s">
        <v>244</v>
      </c>
      <c r="J74" s="148" t="s">
        <v>244</v>
      </c>
      <c r="K74" s="148" t="s">
        <v>244</v>
      </c>
      <c r="L74" s="148" t="s">
        <v>244</v>
      </c>
    </row>
    <row r="75" spans="1:12" ht="18" x14ac:dyDescent="0.3">
      <c r="A75" s="132">
        <f t="shared" si="3"/>
        <v>46296</v>
      </c>
      <c r="B75" s="147" t="str">
        <f t="shared" si="2"/>
        <v>Thursday</v>
      </c>
      <c r="C75" s="148" t="s">
        <v>244</v>
      </c>
      <c r="D75" s="148" t="s">
        <v>244</v>
      </c>
      <c r="E75" s="148" t="s">
        <v>244</v>
      </c>
      <c r="F75" s="148" t="s">
        <v>244</v>
      </c>
      <c r="G75" s="148" t="s">
        <v>244</v>
      </c>
      <c r="H75" s="148" t="s">
        <v>244</v>
      </c>
      <c r="I75" s="148" t="s">
        <v>244</v>
      </c>
      <c r="J75" s="148" t="s">
        <v>244</v>
      </c>
      <c r="K75" s="148" t="s">
        <v>244</v>
      </c>
      <c r="L75" s="148" t="s">
        <v>244</v>
      </c>
    </row>
    <row r="76" spans="1:12" ht="18" x14ac:dyDescent="0.3">
      <c r="A76" s="132">
        <f t="shared" si="3"/>
        <v>46297</v>
      </c>
      <c r="B76" s="147" t="str">
        <f t="shared" si="2"/>
        <v>Friday</v>
      </c>
      <c r="C76" s="148" t="s">
        <v>244</v>
      </c>
      <c r="D76" s="148" t="s">
        <v>244</v>
      </c>
      <c r="E76" s="148" t="s">
        <v>244</v>
      </c>
      <c r="F76" s="148" t="s">
        <v>244</v>
      </c>
      <c r="G76" s="148" t="s">
        <v>244</v>
      </c>
      <c r="H76" s="148" t="s">
        <v>244</v>
      </c>
      <c r="I76" s="148" t="s">
        <v>244</v>
      </c>
      <c r="J76" s="148" t="s">
        <v>244</v>
      </c>
      <c r="K76" s="148" t="s">
        <v>244</v>
      </c>
      <c r="L76" s="148" t="s">
        <v>244</v>
      </c>
    </row>
    <row r="77" spans="1:12" ht="18" x14ac:dyDescent="0.3">
      <c r="A77" s="132">
        <f t="shared" si="3"/>
        <v>46298</v>
      </c>
      <c r="B77" s="147" t="str">
        <f t="shared" si="2"/>
        <v>Saturday</v>
      </c>
      <c r="C77" s="148" t="s">
        <v>244</v>
      </c>
      <c r="D77" s="148" t="s">
        <v>244</v>
      </c>
      <c r="E77" s="148" t="s">
        <v>244</v>
      </c>
      <c r="F77" s="148" t="s">
        <v>244</v>
      </c>
      <c r="G77" s="148" t="s">
        <v>244</v>
      </c>
      <c r="H77" s="148" t="s">
        <v>244</v>
      </c>
      <c r="I77" s="148" t="s">
        <v>244</v>
      </c>
      <c r="J77" s="148" t="s">
        <v>244</v>
      </c>
      <c r="K77" s="148" t="s">
        <v>244</v>
      </c>
      <c r="L77" s="148" t="s">
        <v>244</v>
      </c>
    </row>
    <row r="78" spans="1:12" ht="18" x14ac:dyDescent="0.3">
      <c r="A78" s="132">
        <f t="shared" si="3"/>
        <v>46299</v>
      </c>
      <c r="B78" s="147" t="str">
        <f t="shared" si="2"/>
        <v>Sunday</v>
      </c>
      <c r="C78" s="148" t="s">
        <v>244</v>
      </c>
      <c r="D78" s="148" t="s">
        <v>244</v>
      </c>
      <c r="E78" s="148" t="s">
        <v>244</v>
      </c>
      <c r="F78" s="148" t="s">
        <v>244</v>
      </c>
      <c r="G78" s="148" t="s">
        <v>244</v>
      </c>
      <c r="H78" s="148" t="s">
        <v>244</v>
      </c>
      <c r="I78" s="148" t="s">
        <v>244</v>
      </c>
      <c r="J78" s="148" t="s">
        <v>244</v>
      </c>
      <c r="K78" s="148" t="s">
        <v>244</v>
      </c>
      <c r="L78" s="148" t="s">
        <v>244</v>
      </c>
    </row>
    <row r="79" spans="1:12" ht="18" x14ac:dyDescent="0.3">
      <c r="A79" s="132">
        <f t="shared" si="3"/>
        <v>46300</v>
      </c>
      <c r="B79" s="147" t="str">
        <f t="shared" si="2"/>
        <v>Monday</v>
      </c>
      <c r="C79" s="148" t="s">
        <v>244</v>
      </c>
      <c r="D79" s="148" t="s">
        <v>244</v>
      </c>
      <c r="E79" s="148" t="s">
        <v>244</v>
      </c>
      <c r="F79" s="148" t="s">
        <v>244</v>
      </c>
      <c r="G79" s="148" t="s">
        <v>244</v>
      </c>
      <c r="H79" s="148" t="s">
        <v>244</v>
      </c>
      <c r="I79" s="148" t="s">
        <v>244</v>
      </c>
      <c r="J79" s="148" t="s">
        <v>244</v>
      </c>
      <c r="K79" s="148" t="s">
        <v>244</v>
      </c>
      <c r="L79" s="148" t="s">
        <v>244</v>
      </c>
    </row>
    <row r="80" spans="1:12" ht="18" x14ac:dyDescent="0.3">
      <c r="A80" s="132">
        <f t="shared" si="3"/>
        <v>46301</v>
      </c>
      <c r="B80" s="147" t="str">
        <f t="shared" si="2"/>
        <v>Tuesday</v>
      </c>
      <c r="C80" s="148" t="s">
        <v>244</v>
      </c>
      <c r="D80" s="148" t="s">
        <v>244</v>
      </c>
      <c r="E80" s="148" t="s">
        <v>244</v>
      </c>
      <c r="F80" s="148" t="s">
        <v>244</v>
      </c>
      <c r="G80" s="148" t="s">
        <v>244</v>
      </c>
      <c r="H80" s="148" t="s">
        <v>244</v>
      </c>
      <c r="I80" s="148" t="s">
        <v>244</v>
      </c>
      <c r="J80" s="148" t="s">
        <v>244</v>
      </c>
      <c r="K80" s="148" t="s">
        <v>244</v>
      </c>
      <c r="L80" s="148" t="s">
        <v>244</v>
      </c>
    </row>
    <row r="81" spans="1:12" ht="18" x14ac:dyDescent="0.3">
      <c r="A81" s="132">
        <f t="shared" si="3"/>
        <v>46302</v>
      </c>
      <c r="B81" s="147" t="str">
        <f t="shared" si="2"/>
        <v>Wednesday</v>
      </c>
      <c r="C81" s="148" t="s">
        <v>244</v>
      </c>
      <c r="D81" s="148" t="s">
        <v>244</v>
      </c>
      <c r="E81" s="148" t="s">
        <v>244</v>
      </c>
      <c r="F81" s="148" t="s">
        <v>244</v>
      </c>
      <c r="G81" s="148" t="s">
        <v>244</v>
      </c>
      <c r="H81" s="148" t="s">
        <v>244</v>
      </c>
      <c r="I81" s="148" t="s">
        <v>244</v>
      </c>
      <c r="J81" s="148" t="s">
        <v>244</v>
      </c>
      <c r="K81" s="148" t="s">
        <v>244</v>
      </c>
      <c r="L81" s="148" t="s">
        <v>244</v>
      </c>
    </row>
    <row r="82" spans="1:12" ht="18" x14ac:dyDescent="0.3">
      <c r="A82" s="132">
        <f t="shared" si="3"/>
        <v>46303</v>
      </c>
      <c r="B82" s="147" t="str">
        <f t="shared" si="2"/>
        <v>Thursday</v>
      </c>
      <c r="C82" s="148" t="s">
        <v>244</v>
      </c>
      <c r="D82" s="148" t="s">
        <v>244</v>
      </c>
      <c r="E82" s="148" t="s">
        <v>244</v>
      </c>
      <c r="F82" s="148" t="s">
        <v>244</v>
      </c>
      <c r="G82" s="148" t="s">
        <v>244</v>
      </c>
      <c r="H82" s="148" t="s">
        <v>244</v>
      </c>
      <c r="I82" s="148" t="s">
        <v>244</v>
      </c>
      <c r="J82" s="148" t="s">
        <v>244</v>
      </c>
      <c r="K82" s="148" t="s">
        <v>244</v>
      </c>
      <c r="L82" s="148" t="s">
        <v>244</v>
      </c>
    </row>
    <row r="83" spans="1:12" ht="18" x14ac:dyDescent="0.3">
      <c r="A83" s="132">
        <f t="shared" si="3"/>
        <v>46304</v>
      </c>
      <c r="B83" s="147" t="str">
        <f t="shared" si="2"/>
        <v>Friday</v>
      </c>
      <c r="C83" s="148" t="s">
        <v>244</v>
      </c>
      <c r="D83" s="148" t="s">
        <v>244</v>
      </c>
      <c r="E83" s="148" t="s">
        <v>244</v>
      </c>
      <c r="F83" s="148" t="s">
        <v>244</v>
      </c>
      <c r="G83" s="148" t="s">
        <v>244</v>
      </c>
      <c r="H83" s="148" t="s">
        <v>244</v>
      </c>
      <c r="I83" s="148" t="s">
        <v>244</v>
      </c>
      <c r="J83" s="148" t="s">
        <v>244</v>
      </c>
      <c r="K83" s="148" t="s">
        <v>244</v>
      </c>
      <c r="L83" s="148" t="s">
        <v>244</v>
      </c>
    </row>
    <row r="84" spans="1:12" ht="18" x14ac:dyDescent="0.3">
      <c r="A84" s="132">
        <f t="shared" si="3"/>
        <v>46305</v>
      </c>
      <c r="B84" s="147" t="str">
        <f t="shared" si="2"/>
        <v>Saturday</v>
      </c>
      <c r="C84" s="148" t="s">
        <v>244</v>
      </c>
      <c r="D84" s="148" t="s">
        <v>244</v>
      </c>
      <c r="E84" s="148" t="s">
        <v>244</v>
      </c>
      <c r="F84" s="148" t="s">
        <v>244</v>
      </c>
      <c r="G84" s="148" t="s">
        <v>244</v>
      </c>
      <c r="H84" s="148" t="s">
        <v>244</v>
      </c>
      <c r="I84" s="148" t="s">
        <v>244</v>
      </c>
      <c r="J84" s="148" t="s">
        <v>244</v>
      </c>
      <c r="K84" s="148" t="s">
        <v>244</v>
      </c>
      <c r="L84" s="148" t="s">
        <v>244</v>
      </c>
    </row>
    <row r="85" spans="1:12" ht="18" x14ac:dyDescent="0.3">
      <c r="A85" s="132">
        <f t="shared" si="3"/>
        <v>46306</v>
      </c>
      <c r="B85" s="147" t="str">
        <f t="shared" si="2"/>
        <v>Sunday</v>
      </c>
      <c r="C85" s="148" t="s">
        <v>244</v>
      </c>
      <c r="D85" s="148" t="s">
        <v>244</v>
      </c>
      <c r="E85" s="148" t="s">
        <v>244</v>
      </c>
      <c r="F85" s="148" t="s">
        <v>244</v>
      </c>
      <c r="G85" s="148" t="s">
        <v>244</v>
      </c>
      <c r="H85" s="148" t="s">
        <v>244</v>
      </c>
      <c r="I85" s="148" t="s">
        <v>244</v>
      </c>
      <c r="J85" s="148" t="s">
        <v>244</v>
      </c>
      <c r="K85" s="148" t="s">
        <v>244</v>
      </c>
      <c r="L85" s="148" t="s">
        <v>244</v>
      </c>
    </row>
    <row r="86" spans="1:12" ht="18" x14ac:dyDescent="0.3">
      <c r="A86" s="132">
        <f t="shared" si="3"/>
        <v>46307</v>
      </c>
      <c r="B86" s="147" t="str">
        <f t="shared" si="2"/>
        <v>Monday</v>
      </c>
      <c r="C86" s="148" t="s">
        <v>244</v>
      </c>
      <c r="D86" s="148" t="s">
        <v>244</v>
      </c>
      <c r="E86" s="148" t="s">
        <v>244</v>
      </c>
      <c r="F86" s="148" t="s">
        <v>244</v>
      </c>
      <c r="G86" s="148" t="s">
        <v>244</v>
      </c>
      <c r="H86" s="148" t="s">
        <v>244</v>
      </c>
      <c r="I86" s="148" t="s">
        <v>244</v>
      </c>
      <c r="J86" s="148" t="s">
        <v>244</v>
      </c>
      <c r="K86" s="148" t="s">
        <v>244</v>
      </c>
      <c r="L86" s="148" t="s">
        <v>244</v>
      </c>
    </row>
    <row r="87" spans="1:12" ht="18" x14ac:dyDescent="0.3">
      <c r="A87" s="132">
        <f t="shared" si="3"/>
        <v>46308</v>
      </c>
      <c r="B87" s="147" t="str">
        <f t="shared" si="2"/>
        <v>Tuesday</v>
      </c>
      <c r="C87" s="148" t="s">
        <v>244</v>
      </c>
      <c r="D87" s="148" t="s">
        <v>244</v>
      </c>
      <c r="E87" s="148" t="s">
        <v>244</v>
      </c>
      <c r="F87" s="148" t="s">
        <v>244</v>
      </c>
      <c r="G87" s="148" t="s">
        <v>244</v>
      </c>
      <c r="H87" s="148" t="s">
        <v>244</v>
      </c>
      <c r="I87" s="148" t="s">
        <v>244</v>
      </c>
      <c r="J87" s="148" t="s">
        <v>244</v>
      </c>
      <c r="K87" s="148" t="s">
        <v>244</v>
      </c>
      <c r="L87" s="148" t="s">
        <v>244</v>
      </c>
    </row>
    <row r="88" spans="1:12" ht="18" x14ac:dyDescent="0.3">
      <c r="A88" s="132">
        <f t="shared" si="3"/>
        <v>46309</v>
      </c>
      <c r="B88" s="147" t="str">
        <f t="shared" si="2"/>
        <v>Wednesday</v>
      </c>
      <c r="C88" s="148" t="s">
        <v>244</v>
      </c>
      <c r="D88" s="148" t="s">
        <v>244</v>
      </c>
      <c r="E88" s="148" t="s">
        <v>244</v>
      </c>
      <c r="F88" s="148" t="s">
        <v>244</v>
      </c>
      <c r="G88" s="148" t="s">
        <v>244</v>
      </c>
      <c r="H88" s="148" t="s">
        <v>244</v>
      </c>
      <c r="I88" s="148" t="s">
        <v>244</v>
      </c>
      <c r="J88" s="148" t="s">
        <v>244</v>
      </c>
      <c r="K88" s="148" t="s">
        <v>244</v>
      </c>
      <c r="L88" s="148" t="s">
        <v>244</v>
      </c>
    </row>
    <row r="89" spans="1:12" ht="18" x14ac:dyDescent="0.3">
      <c r="A89" s="132">
        <f t="shared" si="3"/>
        <v>46310</v>
      </c>
      <c r="B89" s="147" t="str">
        <f t="shared" si="2"/>
        <v>Thursday</v>
      </c>
      <c r="C89" s="148" t="s">
        <v>244</v>
      </c>
      <c r="D89" s="148" t="s">
        <v>244</v>
      </c>
      <c r="E89" s="148" t="s">
        <v>244</v>
      </c>
      <c r="F89" s="148" t="s">
        <v>244</v>
      </c>
      <c r="G89" s="148" t="s">
        <v>244</v>
      </c>
      <c r="H89" s="148" t="s">
        <v>244</v>
      </c>
      <c r="I89" s="148" t="s">
        <v>244</v>
      </c>
      <c r="J89" s="148" t="s">
        <v>244</v>
      </c>
      <c r="K89" s="148" t="s">
        <v>244</v>
      </c>
      <c r="L89" s="148" t="s">
        <v>244</v>
      </c>
    </row>
    <row r="90" spans="1:12" ht="18" x14ac:dyDescent="0.3">
      <c r="A90" s="132">
        <f t="shared" si="3"/>
        <v>46311</v>
      </c>
      <c r="B90" s="147" t="str">
        <f t="shared" si="2"/>
        <v>Friday</v>
      </c>
      <c r="C90" s="148" t="s">
        <v>244</v>
      </c>
      <c r="D90" s="148" t="s">
        <v>244</v>
      </c>
      <c r="E90" s="148" t="s">
        <v>244</v>
      </c>
      <c r="F90" s="148" t="s">
        <v>244</v>
      </c>
      <c r="G90" s="148" t="s">
        <v>244</v>
      </c>
      <c r="H90" s="148" t="s">
        <v>244</v>
      </c>
      <c r="I90" s="148" t="s">
        <v>244</v>
      </c>
      <c r="J90" s="148" t="s">
        <v>244</v>
      </c>
      <c r="K90" s="148" t="s">
        <v>244</v>
      </c>
      <c r="L90" s="148" t="s">
        <v>244</v>
      </c>
    </row>
    <row r="91" spans="1:12" ht="18" x14ac:dyDescent="0.3">
      <c r="A91" s="132">
        <f t="shared" si="3"/>
        <v>46312</v>
      </c>
      <c r="B91" s="147" t="str">
        <f t="shared" si="2"/>
        <v>Saturday</v>
      </c>
      <c r="C91" s="148" t="s">
        <v>244</v>
      </c>
      <c r="D91" s="148" t="s">
        <v>244</v>
      </c>
      <c r="E91" s="148" t="s">
        <v>244</v>
      </c>
      <c r="F91" s="148" t="s">
        <v>244</v>
      </c>
      <c r="G91" s="148" t="s">
        <v>244</v>
      </c>
      <c r="H91" s="148" t="s">
        <v>244</v>
      </c>
      <c r="I91" s="148" t="s">
        <v>244</v>
      </c>
      <c r="J91" s="148" t="s">
        <v>244</v>
      </c>
      <c r="K91" s="148" t="s">
        <v>244</v>
      </c>
      <c r="L91" s="148" t="s">
        <v>244</v>
      </c>
    </row>
    <row r="92" spans="1:12" ht="18" x14ac:dyDescent="0.3">
      <c r="A92" s="132">
        <f t="shared" si="3"/>
        <v>46313</v>
      </c>
      <c r="B92" s="147" t="str">
        <f t="shared" si="2"/>
        <v>Sunday</v>
      </c>
      <c r="C92" s="148" t="s">
        <v>244</v>
      </c>
      <c r="D92" s="148" t="s">
        <v>244</v>
      </c>
      <c r="E92" s="148" t="s">
        <v>244</v>
      </c>
      <c r="F92" s="148" t="s">
        <v>244</v>
      </c>
      <c r="G92" s="148" t="s">
        <v>244</v>
      </c>
      <c r="H92" s="148" t="s">
        <v>244</v>
      </c>
      <c r="I92" s="148" t="s">
        <v>244</v>
      </c>
      <c r="J92" s="148" t="s">
        <v>244</v>
      </c>
      <c r="K92" s="148" t="s">
        <v>244</v>
      </c>
      <c r="L92" s="148" t="s">
        <v>244</v>
      </c>
    </row>
    <row r="93" spans="1:12" ht="18" x14ac:dyDescent="0.3">
      <c r="A93" s="132">
        <f t="shared" si="3"/>
        <v>46314</v>
      </c>
      <c r="B93" s="147" t="str">
        <f t="shared" si="2"/>
        <v>Monday</v>
      </c>
      <c r="C93" s="148" t="s">
        <v>244</v>
      </c>
      <c r="D93" s="148" t="s">
        <v>244</v>
      </c>
      <c r="E93" s="148" t="s">
        <v>244</v>
      </c>
      <c r="F93" s="148" t="s">
        <v>244</v>
      </c>
      <c r="G93" s="148" t="s">
        <v>244</v>
      </c>
      <c r="H93" s="148" t="s">
        <v>244</v>
      </c>
      <c r="I93" s="148" t="s">
        <v>244</v>
      </c>
      <c r="J93" s="148" t="s">
        <v>244</v>
      </c>
      <c r="K93" s="148" t="s">
        <v>244</v>
      </c>
      <c r="L93" s="148" t="s">
        <v>244</v>
      </c>
    </row>
    <row r="94" spans="1:12" ht="18" x14ac:dyDescent="0.3">
      <c r="A94" s="132">
        <f t="shared" si="3"/>
        <v>46315</v>
      </c>
      <c r="B94" s="147" t="str">
        <f t="shared" si="2"/>
        <v>Tuesday</v>
      </c>
      <c r="C94" s="148" t="s">
        <v>244</v>
      </c>
      <c r="D94" s="148" t="s">
        <v>244</v>
      </c>
      <c r="E94" s="148" t="s">
        <v>244</v>
      </c>
      <c r="F94" s="148" t="s">
        <v>244</v>
      </c>
      <c r="G94" s="148" t="s">
        <v>244</v>
      </c>
      <c r="H94" s="148" t="s">
        <v>244</v>
      </c>
      <c r="I94" s="148" t="s">
        <v>244</v>
      </c>
      <c r="J94" s="148" t="s">
        <v>244</v>
      </c>
      <c r="K94" s="148" t="s">
        <v>244</v>
      </c>
      <c r="L94" s="148" t="s">
        <v>244</v>
      </c>
    </row>
    <row r="95" spans="1:12" ht="18" x14ac:dyDescent="0.3">
      <c r="A95" s="132">
        <f t="shared" si="3"/>
        <v>46316</v>
      </c>
      <c r="B95" s="147" t="str">
        <f t="shared" si="2"/>
        <v>Wednesday</v>
      </c>
      <c r="C95" s="148" t="s">
        <v>244</v>
      </c>
      <c r="D95" s="148" t="s">
        <v>244</v>
      </c>
      <c r="E95" s="148" t="s">
        <v>244</v>
      </c>
      <c r="F95" s="148" t="s">
        <v>244</v>
      </c>
      <c r="G95" s="148" t="s">
        <v>244</v>
      </c>
      <c r="H95" s="148" t="s">
        <v>244</v>
      </c>
      <c r="I95" s="148" t="s">
        <v>244</v>
      </c>
      <c r="J95" s="148" t="s">
        <v>244</v>
      </c>
      <c r="K95" s="148" t="s">
        <v>244</v>
      </c>
      <c r="L95" s="148" t="s">
        <v>244</v>
      </c>
    </row>
    <row r="96" spans="1:12" ht="18" x14ac:dyDescent="0.3">
      <c r="A96" s="132">
        <f t="shared" si="3"/>
        <v>46317</v>
      </c>
      <c r="B96" s="147" t="str">
        <f t="shared" si="2"/>
        <v>Thursday</v>
      </c>
      <c r="C96" s="148" t="s">
        <v>244</v>
      </c>
      <c r="D96" s="148" t="s">
        <v>244</v>
      </c>
      <c r="E96" s="148" t="s">
        <v>244</v>
      </c>
      <c r="F96" s="148" t="s">
        <v>244</v>
      </c>
      <c r="G96" s="148" t="s">
        <v>244</v>
      </c>
      <c r="H96" s="148" t="s">
        <v>244</v>
      </c>
      <c r="I96" s="148" t="s">
        <v>244</v>
      </c>
      <c r="J96" s="148" t="s">
        <v>244</v>
      </c>
      <c r="K96" s="148" t="s">
        <v>244</v>
      </c>
      <c r="L96" s="148" t="s">
        <v>244</v>
      </c>
    </row>
    <row r="97" spans="1:12" ht="18" x14ac:dyDescent="0.3">
      <c r="A97" s="132">
        <f t="shared" si="3"/>
        <v>46318</v>
      </c>
      <c r="B97" s="147" t="str">
        <f t="shared" si="2"/>
        <v>Friday</v>
      </c>
      <c r="C97" s="148" t="s">
        <v>244</v>
      </c>
      <c r="D97" s="148" t="s">
        <v>244</v>
      </c>
      <c r="E97" s="148" t="s">
        <v>244</v>
      </c>
      <c r="F97" s="148" t="s">
        <v>244</v>
      </c>
      <c r="G97" s="148" t="s">
        <v>244</v>
      </c>
      <c r="H97" s="148" t="s">
        <v>244</v>
      </c>
      <c r="I97" s="148" t="s">
        <v>244</v>
      </c>
      <c r="J97" s="148" t="s">
        <v>244</v>
      </c>
      <c r="K97" s="148" t="s">
        <v>244</v>
      </c>
      <c r="L97" s="148" t="s">
        <v>244</v>
      </c>
    </row>
    <row r="98" spans="1:12" ht="18" x14ac:dyDescent="0.3">
      <c r="A98" s="132">
        <f t="shared" si="3"/>
        <v>46319</v>
      </c>
      <c r="B98" s="147" t="str">
        <f t="shared" si="2"/>
        <v>Saturday</v>
      </c>
      <c r="C98" s="148" t="s">
        <v>244</v>
      </c>
      <c r="D98" s="148" t="s">
        <v>244</v>
      </c>
      <c r="E98" s="148" t="s">
        <v>244</v>
      </c>
      <c r="F98" s="148" t="s">
        <v>244</v>
      </c>
      <c r="G98" s="148" t="s">
        <v>244</v>
      </c>
      <c r="H98" s="148" t="s">
        <v>244</v>
      </c>
      <c r="I98" s="148" t="s">
        <v>244</v>
      </c>
      <c r="J98" s="148" t="s">
        <v>244</v>
      </c>
      <c r="K98" s="148" t="s">
        <v>244</v>
      </c>
      <c r="L98" s="148" t="s">
        <v>244</v>
      </c>
    </row>
    <row r="99" spans="1:12" ht="18" x14ac:dyDescent="0.3">
      <c r="A99" s="132">
        <f t="shared" si="3"/>
        <v>46320</v>
      </c>
      <c r="B99" s="147" t="str">
        <f t="shared" si="2"/>
        <v>Sunday</v>
      </c>
      <c r="C99" s="148" t="s">
        <v>244</v>
      </c>
      <c r="D99" s="148" t="s">
        <v>244</v>
      </c>
      <c r="E99" s="148" t="s">
        <v>244</v>
      </c>
      <c r="F99" s="148" t="s">
        <v>244</v>
      </c>
      <c r="G99" s="148" t="s">
        <v>244</v>
      </c>
      <c r="H99" s="148" t="s">
        <v>244</v>
      </c>
      <c r="I99" s="148" t="s">
        <v>244</v>
      </c>
      <c r="J99" s="148" t="s">
        <v>244</v>
      </c>
      <c r="K99" s="148" t="s">
        <v>244</v>
      </c>
      <c r="L99" s="148" t="s">
        <v>244</v>
      </c>
    </row>
    <row r="100" spans="1:12" ht="18" x14ac:dyDescent="0.3">
      <c r="A100" s="132">
        <f t="shared" si="3"/>
        <v>46321</v>
      </c>
      <c r="B100" s="147" t="str">
        <f t="shared" si="2"/>
        <v>Monday</v>
      </c>
      <c r="C100" s="148" t="s">
        <v>244</v>
      </c>
      <c r="D100" s="148" t="s">
        <v>244</v>
      </c>
      <c r="E100" s="148" t="s">
        <v>244</v>
      </c>
      <c r="F100" s="148" t="s">
        <v>244</v>
      </c>
      <c r="G100" s="148" t="s">
        <v>244</v>
      </c>
      <c r="H100" s="148" t="s">
        <v>244</v>
      </c>
      <c r="I100" s="148" t="s">
        <v>244</v>
      </c>
      <c r="J100" s="148" t="s">
        <v>244</v>
      </c>
      <c r="K100" s="148" t="s">
        <v>244</v>
      </c>
      <c r="L100" s="148" t="s">
        <v>244</v>
      </c>
    </row>
    <row r="101" spans="1:12" ht="18" x14ac:dyDescent="0.3">
      <c r="A101" s="132">
        <f t="shared" si="3"/>
        <v>46322</v>
      </c>
      <c r="B101" s="147" t="str">
        <f t="shared" si="2"/>
        <v>Tuesday</v>
      </c>
      <c r="C101" s="148" t="s">
        <v>244</v>
      </c>
      <c r="D101" s="148" t="s">
        <v>244</v>
      </c>
      <c r="E101" s="148" t="s">
        <v>244</v>
      </c>
      <c r="F101" s="148" t="s">
        <v>244</v>
      </c>
      <c r="G101" s="148" t="s">
        <v>244</v>
      </c>
      <c r="H101" s="148" t="s">
        <v>244</v>
      </c>
      <c r="I101" s="148" t="s">
        <v>244</v>
      </c>
      <c r="J101" s="148" t="s">
        <v>244</v>
      </c>
      <c r="K101" s="148" t="s">
        <v>244</v>
      </c>
      <c r="L101" s="148" t="s">
        <v>244</v>
      </c>
    </row>
    <row r="102" spans="1:12" ht="18" x14ac:dyDescent="0.3">
      <c r="A102" s="132">
        <f t="shared" si="3"/>
        <v>46323</v>
      </c>
      <c r="B102" s="147" t="str">
        <f t="shared" si="2"/>
        <v>Wednesday</v>
      </c>
      <c r="C102" s="148" t="s">
        <v>244</v>
      </c>
      <c r="D102" s="148" t="s">
        <v>244</v>
      </c>
      <c r="E102" s="148" t="s">
        <v>244</v>
      </c>
      <c r="F102" s="148" t="s">
        <v>244</v>
      </c>
      <c r="G102" s="148" t="s">
        <v>244</v>
      </c>
      <c r="H102" s="148" t="s">
        <v>244</v>
      </c>
      <c r="I102" s="148" t="s">
        <v>244</v>
      </c>
      <c r="J102" s="148" t="s">
        <v>244</v>
      </c>
      <c r="K102" s="148" t="s">
        <v>244</v>
      </c>
      <c r="L102" s="148" t="s">
        <v>244</v>
      </c>
    </row>
    <row r="103" spans="1:12" ht="18" x14ac:dyDescent="0.3">
      <c r="A103" s="132">
        <f t="shared" si="3"/>
        <v>46324</v>
      </c>
      <c r="B103" s="147" t="str">
        <f t="shared" si="2"/>
        <v>Thursday</v>
      </c>
      <c r="C103" s="148" t="s">
        <v>244</v>
      </c>
      <c r="D103" s="148" t="s">
        <v>244</v>
      </c>
      <c r="E103" s="148" t="s">
        <v>244</v>
      </c>
      <c r="F103" s="148" t="s">
        <v>244</v>
      </c>
      <c r="G103" s="148" t="s">
        <v>244</v>
      </c>
      <c r="H103" s="148" t="s">
        <v>244</v>
      </c>
      <c r="I103" s="148" t="s">
        <v>244</v>
      </c>
      <c r="J103" s="148" t="s">
        <v>244</v>
      </c>
      <c r="K103" s="148" t="s">
        <v>244</v>
      </c>
      <c r="L103" s="148" t="s">
        <v>244</v>
      </c>
    </row>
    <row r="104" spans="1:12" ht="18" x14ac:dyDescent="0.3">
      <c r="A104" s="132">
        <f t="shared" si="3"/>
        <v>46325</v>
      </c>
      <c r="B104" s="147" t="str">
        <f t="shared" si="2"/>
        <v>Friday</v>
      </c>
      <c r="C104" s="148" t="s">
        <v>244</v>
      </c>
      <c r="D104" s="148" t="s">
        <v>244</v>
      </c>
      <c r="E104" s="148" t="s">
        <v>244</v>
      </c>
      <c r="F104" s="148" t="s">
        <v>244</v>
      </c>
      <c r="G104" s="148" t="s">
        <v>244</v>
      </c>
      <c r="H104" s="148" t="s">
        <v>244</v>
      </c>
      <c r="I104" s="148" t="s">
        <v>244</v>
      </c>
      <c r="J104" s="148" t="s">
        <v>244</v>
      </c>
      <c r="K104" s="148" t="s">
        <v>244</v>
      </c>
      <c r="L104" s="148" t="s">
        <v>244</v>
      </c>
    </row>
    <row r="105" spans="1:12" ht="18" x14ac:dyDescent="0.3">
      <c r="A105" s="132">
        <f t="shared" si="3"/>
        <v>46326</v>
      </c>
      <c r="B105" s="147" t="str">
        <f t="shared" si="2"/>
        <v>Saturday</v>
      </c>
      <c r="C105" s="148" t="s">
        <v>244</v>
      </c>
      <c r="D105" s="148" t="s">
        <v>244</v>
      </c>
      <c r="E105" s="148" t="s">
        <v>244</v>
      </c>
      <c r="F105" s="148" t="s">
        <v>244</v>
      </c>
      <c r="G105" s="148" t="s">
        <v>244</v>
      </c>
      <c r="H105" s="148" t="s">
        <v>244</v>
      </c>
      <c r="I105" s="148" t="s">
        <v>244</v>
      </c>
      <c r="J105" s="148" t="s">
        <v>244</v>
      </c>
      <c r="K105" s="148" t="s">
        <v>244</v>
      </c>
      <c r="L105" s="148" t="s">
        <v>244</v>
      </c>
    </row>
    <row r="106" spans="1:12" ht="18" x14ac:dyDescent="0.3">
      <c r="A106" s="132">
        <f t="shared" si="3"/>
        <v>46327</v>
      </c>
      <c r="B106" s="147" t="str">
        <f t="shared" si="2"/>
        <v>Sunday</v>
      </c>
      <c r="C106" s="148" t="s">
        <v>244</v>
      </c>
      <c r="D106" s="148" t="s">
        <v>244</v>
      </c>
      <c r="E106" s="148" t="s">
        <v>244</v>
      </c>
      <c r="F106" s="148" t="s">
        <v>244</v>
      </c>
      <c r="G106" s="148" t="s">
        <v>244</v>
      </c>
      <c r="H106" s="148" t="s">
        <v>244</v>
      </c>
      <c r="I106" s="148" t="s">
        <v>244</v>
      </c>
      <c r="J106" s="148" t="s">
        <v>244</v>
      </c>
      <c r="K106" s="148" t="s">
        <v>244</v>
      </c>
      <c r="L106" s="148" t="s">
        <v>244</v>
      </c>
    </row>
    <row r="107" spans="1:12" ht="18" x14ac:dyDescent="0.3">
      <c r="A107" s="132">
        <f t="shared" si="3"/>
        <v>46328</v>
      </c>
      <c r="B107" s="147" t="str">
        <f t="shared" si="2"/>
        <v>Monday</v>
      </c>
      <c r="C107" s="148" t="s">
        <v>244</v>
      </c>
      <c r="D107" s="148" t="s">
        <v>244</v>
      </c>
      <c r="E107" s="148" t="s">
        <v>244</v>
      </c>
      <c r="F107" s="148" t="s">
        <v>244</v>
      </c>
      <c r="G107" s="148" t="s">
        <v>244</v>
      </c>
      <c r="H107" s="148" t="s">
        <v>244</v>
      </c>
      <c r="I107" s="148" t="s">
        <v>244</v>
      </c>
      <c r="J107" s="148" t="s">
        <v>244</v>
      </c>
      <c r="K107" s="148" t="s">
        <v>244</v>
      </c>
      <c r="L107" s="148" t="s">
        <v>244</v>
      </c>
    </row>
    <row r="108" spans="1:12" ht="18" x14ac:dyDescent="0.3">
      <c r="A108" s="132">
        <f t="shared" si="3"/>
        <v>46329</v>
      </c>
      <c r="B108" s="147" t="str">
        <f t="shared" si="2"/>
        <v>Tuesday</v>
      </c>
      <c r="C108" s="148" t="s">
        <v>244</v>
      </c>
      <c r="D108" s="148" t="s">
        <v>244</v>
      </c>
      <c r="E108" s="148" t="s">
        <v>244</v>
      </c>
      <c r="F108" s="148" t="s">
        <v>244</v>
      </c>
      <c r="G108" s="148" t="s">
        <v>244</v>
      </c>
      <c r="H108" s="148" t="s">
        <v>244</v>
      </c>
      <c r="I108" s="148" t="s">
        <v>244</v>
      </c>
      <c r="J108" s="148" t="s">
        <v>244</v>
      </c>
      <c r="K108" s="148" t="s">
        <v>244</v>
      </c>
      <c r="L108" s="148" t="s">
        <v>244</v>
      </c>
    </row>
    <row r="109" spans="1:12" ht="18" x14ac:dyDescent="0.3">
      <c r="A109" s="132">
        <f t="shared" si="3"/>
        <v>46330</v>
      </c>
      <c r="B109" s="147" t="str">
        <f t="shared" si="2"/>
        <v>Wednesday</v>
      </c>
      <c r="C109" s="148" t="s">
        <v>244</v>
      </c>
      <c r="D109" s="148" t="s">
        <v>244</v>
      </c>
      <c r="E109" s="148" t="s">
        <v>244</v>
      </c>
      <c r="F109" s="148" t="s">
        <v>244</v>
      </c>
      <c r="G109" s="148" t="s">
        <v>244</v>
      </c>
      <c r="H109" s="148" t="s">
        <v>244</v>
      </c>
      <c r="I109" s="148" t="s">
        <v>244</v>
      </c>
      <c r="J109" s="148" t="s">
        <v>244</v>
      </c>
      <c r="K109" s="148" t="s">
        <v>244</v>
      </c>
      <c r="L109" s="148" t="s">
        <v>244</v>
      </c>
    </row>
    <row r="110" spans="1:12" ht="18" x14ac:dyDescent="0.3">
      <c r="A110" s="132">
        <f t="shared" si="3"/>
        <v>46331</v>
      </c>
      <c r="B110" s="147" t="str">
        <f t="shared" si="2"/>
        <v>Thursday</v>
      </c>
      <c r="C110" s="148" t="s">
        <v>244</v>
      </c>
      <c r="D110" s="148" t="s">
        <v>244</v>
      </c>
      <c r="E110" s="148" t="s">
        <v>244</v>
      </c>
      <c r="F110" s="148" t="s">
        <v>244</v>
      </c>
      <c r="G110" s="148" t="s">
        <v>244</v>
      </c>
      <c r="H110" s="148" t="s">
        <v>244</v>
      </c>
      <c r="I110" s="148" t="s">
        <v>244</v>
      </c>
      <c r="J110" s="148" t="s">
        <v>244</v>
      </c>
      <c r="K110" s="148" t="s">
        <v>244</v>
      </c>
      <c r="L110" s="148" t="s">
        <v>244</v>
      </c>
    </row>
    <row r="111" spans="1:12" ht="18" x14ac:dyDescent="0.3">
      <c r="A111" s="132">
        <f t="shared" si="3"/>
        <v>46332</v>
      </c>
      <c r="B111" s="147" t="str">
        <f t="shared" si="2"/>
        <v>Friday</v>
      </c>
      <c r="C111" s="148" t="s">
        <v>244</v>
      </c>
      <c r="D111" s="148" t="s">
        <v>244</v>
      </c>
      <c r="E111" s="148" t="s">
        <v>244</v>
      </c>
      <c r="F111" s="148" t="s">
        <v>244</v>
      </c>
      <c r="G111" s="148" t="s">
        <v>244</v>
      </c>
      <c r="H111" s="148" t="s">
        <v>244</v>
      </c>
      <c r="I111" s="148" t="s">
        <v>244</v>
      </c>
      <c r="J111" s="148" t="s">
        <v>244</v>
      </c>
      <c r="K111" s="148" t="s">
        <v>244</v>
      </c>
      <c r="L111" s="148" t="s">
        <v>244</v>
      </c>
    </row>
    <row r="112" spans="1:12" ht="18" x14ac:dyDescent="0.3">
      <c r="A112" s="132">
        <f t="shared" si="3"/>
        <v>46333</v>
      </c>
      <c r="B112" s="147" t="str">
        <f t="shared" si="2"/>
        <v>Saturday</v>
      </c>
      <c r="C112" s="148" t="s">
        <v>244</v>
      </c>
      <c r="D112" s="148" t="s">
        <v>244</v>
      </c>
      <c r="E112" s="148" t="s">
        <v>244</v>
      </c>
      <c r="F112" s="148" t="s">
        <v>244</v>
      </c>
      <c r="G112" s="148" t="s">
        <v>244</v>
      </c>
      <c r="H112" s="148" t="s">
        <v>244</v>
      </c>
      <c r="I112" s="148" t="s">
        <v>244</v>
      </c>
      <c r="J112" s="148" t="s">
        <v>244</v>
      </c>
      <c r="K112" s="148" t="s">
        <v>244</v>
      </c>
      <c r="L112" s="148" t="s">
        <v>244</v>
      </c>
    </row>
    <row r="113" spans="1:12" ht="18" x14ac:dyDescent="0.3">
      <c r="A113" s="132">
        <f t="shared" si="3"/>
        <v>46334</v>
      </c>
      <c r="B113" s="147" t="str">
        <f t="shared" si="2"/>
        <v>Sunday</v>
      </c>
      <c r="C113" s="148" t="s">
        <v>244</v>
      </c>
      <c r="D113" s="148" t="s">
        <v>244</v>
      </c>
      <c r="E113" s="148" t="s">
        <v>244</v>
      </c>
      <c r="F113" s="148" t="s">
        <v>244</v>
      </c>
      <c r="G113" s="148" t="s">
        <v>244</v>
      </c>
      <c r="H113" s="148" t="s">
        <v>244</v>
      </c>
      <c r="I113" s="148" t="s">
        <v>244</v>
      </c>
      <c r="J113" s="148" t="s">
        <v>244</v>
      </c>
      <c r="K113" s="148" t="s">
        <v>244</v>
      </c>
      <c r="L113" s="148" t="s">
        <v>244</v>
      </c>
    </row>
    <row r="114" spans="1:12" ht="18" x14ac:dyDescent="0.3">
      <c r="A114" s="132">
        <f t="shared" si="3"/>
        <v>46335</v>
      </c>
      <c r="B114" s="147" t="str">
        <f t="shared" si="2"/>
        <v>Monday</v>
      </c>
      <c r="C114" s="148" t="s">
        <v>244</v>
      </c>
      <c r="D114" s="148" t="s">
        <v>244</v>
      </c>
      <c r="E114" s="148" t="s">
        <v>244</v>
      </c>
      <c r="F114" s="148" t="s">
        <v>244</v>
      </c>
      <c r="G114" s="148" t="s">
        <v>244</v>
      </c>
      <c r="H114" s="148" t="s">
        <v>244</v>
      </c>
      <c r="I114" s="148" t="s">
        <v>244</v>
      </c>
      <c r="J114" s="148" t="s">
        <v>244</v>
      </c>
      <c r="K114" s="148" t="s">
        <v>244</v>
      </c>
      <c r="L114" s="148" t="s">
        <v>244</v>
      </c>
    </row>
    <row r="115" spans="1:12" ht="18" x14ac:dyDescent="0.3">
      <c r="A115" s="132">
        <f t="shared" si="3"/>
        <v>46336</v>
      </c>
      <c r="B115" s="147" t="str">
        <f t="shared" si="2"/>
        <v>Tuesday</v>
      </c>
      <c r="C115" s="148" t="s">
        <v>244</v>
      </c>
      <c r="D115" s="148" t="s">
        <v>244</v>
      </c>
      <c r="E115" s="148" t="s">
        <v>244</v>
      </c>
      <c r="F115" s="148" t="s">
        <v>244</v>
      </c>
      <c r="G115" s="148" t="s">
        <v>244</v>
      </c>
      <c r="H115" s="148" t="s">
        <v>244</v>
      </c>
      <c r="I115" s="148" t="s">
        <v>244</v>
      </c>
      <c r="J115" s="148" t="s">
        <v>244</v>
      </c>
      <c r="K115" s="148" t="s">
        <v>244</v>
      </c>
      <c r="L115" s="148" t="s">
        <v>244</v>
      </c>
    </row>
    <row r="116" spans="1:12" ht="18" x14ac:dyDescent="0.3">
      <c r="A116" s="132">
        <f t="shared" si="3"/>
        <v>46337</v>
      </c>
      <c r="B116" s="147" t="str">
        <f t="shared" si="2"/>
        <v>Wednesday</v>
      </c>
      <c r="C116" s="148" t="s">
        <v>244</v>
      </c>
      <c r="D116" s="148" t="s">
        <v>244</v>
      </c>
      <c r="E116" s="148" t="s">
        <v>244</v>
      </c>
      <c r="F116" s="148" t="s">
        <v>244</v>
      </c>
      <c r="G116" s="148" t="s">
        <v>244</v>
      </c>
      <c r="H116" s="148" t="s">
        <v>244</v>
      </c>
      <c r="I116" s="148" t="s">
        <v>244</v>
      </c>
      <c r="J116" s="148" t="s">
        <v>244</v>
      </c>
      <c r="K116" s="148" t="s">
        <v>244</v>
      </c>
      <c r="L116" s="148" t="s">
        <v>244</v>
      </c>
    </row>
    <row r="117" spans="1:12" ht="18" x14ac:dyDescent="0.3">
      <c r="A117" s="132">
        <f t="shared" si="3"/>
        <v>46338</v>
      </c>
      <c r="B117" s="147" t="str">
        <f t="shared" si="2"/>
        <v>Thursday</v>
      </c>
      <c r="C117" s="148" t="s">
        <v>244</v>
      </c>
      <c r="D117" s="148" t="s">
        <v>244</v>
      </c>
      <c r="E117" s="148" t="s">
        <v>244</v>
      </c>
      <c r="F117" s="148" t="s">
        <v>244</v>
      </c>
      <c r="G117" s="148" t="s">
        <v>244</v>
      </c>
      <c r="H117" s="148" t="s">
        <v>244</v>
      </c>
      <c r="I117" s="148" t="s">
        <v>244</v>
      </c>
      <c r="J117" s="148" t="s">
        <v>244</v>
      </c>
      <c r="K117" s="148" t="s">
        <v>244</v>
      </c>
      <c r="L117" s="148" t="s">
        <v>244</v>
      </c>
    </row>
    <row r="118" spans="1:12" ht="18" x14ac:dyDescent="0.3">
      <c r="A118" s="132">
        <f t="shared" si="3"/>
        <v>46339</v>
      </c>
      <c r="B118" s="147" t="str">
        <f t="shared" si="2"/>
        <v>Friday</v>
      </c>
      <c r="C118" s="148" t="s">
        <v>244</v>
      </c>
      <c r="D118" s="148" t="s">
        <v>244</v>
      </c>
      <c r="E118" s="148" t="s">
        <v>244</v>
      </c>
      <c r="F118" s="148" t="s">
        <v>244</v>
      </c>
      <c r="G118" s="148" t="s">
        <v>244</v>
      </c>
      <c r="H118" s="148" t="s">
        <v>244</v>
      </c>
      <c r="I118" s="148" t="s">
        <v>244</v>
      </c>
      <c r="J118" s="148" t="s">
        <v>244</v>
      </c>
      <c r="K118" s="148" t="s">
        <v>244</v>
      </c>
      <c r="L118" s="148" t="s">
        <v>244</v>
      </c>
    </row>
    <row r="119" spans="1:12" ht="18" x14ac:dyDescent="0.3">
      <c r="A119" s="132">
        <f t="shared" si="3"/>
        <v>46340</v>
      </c>
      <c r="B119" s="147" t="str">
        <f t="shared" si="2"/>
        <v>Saturday</v>
      </c>
      <c r="C119" s="148" t="s">
        <v>244</v>
      </c>
      <c r="D119" s="148" t="s">
        <v>244</v>
      </c>
      <c r="E119" s="148" t="s">
        <v>244</v>
      </c>
      <c r="F119" s="148" t="s">
        <v>244</v>
      </c>
      <c r="G119" s="148" t="s">
        <v>244</v>
      </c>
      <c r="H119" s="148" t="s">
        <v>244</v>
      </c>
      <c r="I119" s="148" t="s">
        <v>244</v>
      </c>
      <c r="J119" s="148" t="s">
        <v>244</v>
      </c>
      <c r="K119" s="148" t="s">
        <v>244</v>
      </c>
      <c r="L119" s="148" t="s">
        <v>244</v>
      </c>
    </row>
    <row r="120" spans="1:12" ht="18" x14ac:dyDescent="0.3">
      <c r="A120" s="132">
        <f t="shared" si="3"/>
        <v>46341</v>
      </c>
      <c r="B120" s="147" t="str">
        <f t="shared" si="2"/>
        <v>Sunday</v>
      </c>
      <c r="C120" s="148" t="s">
        <v>244</v>
      </c>
      <c r="D120" s="148" t="s">
        <v>244</v>
      </c>
      <c r="E120" s="148" t="s">
        <v>244</v>
      </c>
      <c r="F120" s="148" t="s">
        <v>244</v>
      </c>
      <c r="G120" s="148" t="s">
        <v>244</v>
      </c>
      <c r="H120" s="148" t="s">
        <v>244</v>
      </c>
      <c r="I120" s="148" t="s">
        <v>244</v>
      </c>
      <c r="J120" s="148" t="s">
        <v>244</v>
      </c>
      <c r="K120" s="148" t="s">
        <v>244</v>
      </c>
      <c r="L120" s="148" t="s">
        <v>244</v>
      </c>
    </row>
    <row r="121" spans="1:12" ht="18" x14ac:dyDescent="0.3">
      <c r="A121" s="132">
        <f t="shared" si="3"/>
        <v>46342</v>
      </c>
      <c r="B121" s="147" t="str">
        <f t="shared" si="2"/>
        <v>Monday</v>
      </c>
      <c r="C121" s="148" t="s">
        <v>244</v>
      </c>
      <c r="D121" s="148" t="s">
        <v>244</v>
      </c>
      <c r="E121" s="148" t="s">
        <v>244</v>
      </c>
      <c r="F121" s="148" t="s">
        <v>244</v>
      </c>
      <c r="G121" s="148" t="s">
        <v>244</v>
      </c>
      <c r="H121" s="148" t="s">
        <v>244</v>
      </c>
      <c r="I121" s="148" t="s">
        <v>244</v>
      </c>
      <c r="J121" s="148" t="s">
        <v>244</v>
      </c>
      <c r="K121" s="148" t="s">
        <v>244</v>
      </c>
      <c r="L121" s="148" t="s">
        <v>244</v>
      </c>
    </row>
    <row r="122" spans="1:12" ht="18" x14ac:dyDescent="0.3">
      <c r="A122" s="132">
        <f t="shared" si="3"/>
        <v>46343</v>
      </c>
      <c r="B122" s="147" t="str">
        <f t="shared" si="2"/>
        <v>Tuesday</v>
      </c>
      <c r="C122" s="148" t="s">
        <v>244</v>
      </c>
      <c r="D122" s="148" t="s">
        <v>244</v>
      </c>
      <c r="E122" s="148" t="s">
        <v>244</v>
      </c>
      <c r="F122" s="148" t="s">
        <v>244</v>
      </c>
      <c r="G122" s="148" t="s">
        <v>244</v>
      </c>
      <c r="H122" s="148" t="s">
        <v>244</v>
      </c>
      <c r="I122" s="148" t="s">
        <v>244</v>
      </c>
      <c r="J122" s="148" t="s">
        <v>244</v>
      </c>
      <c r="K122" s="148" t="s">
        <v>244</v>
      </c>
      <c r="L122" s="148" t="s">
        <v>244</v>
      </c>
    </row>
    <row r="123" spans="1:12" ht="18" x14ac:dyDescent="0.3">
      <c r="A123" s="132">
        <f t="shared" si="3"/>
        <v>46344</v>
      </c>
      <c r="B123" s="147" t="str">
        <f t="shared" si="2"/>
        <v>Wednesday</v>
      </c>
      <c r="C123" s="148" t="s">
        <v>244</v>
      </c>
      <c r="D123" s="148" t="s">
        <v>244</v>
      </c>
      <c r="E123" s="148" t="s">
        <v>244</v>
      </c>
      <c r="F123" s="148" t="s">
        <v>244</v>
      </c>
      <c r="G123" s="148" t="s">
        <v>244</v>
      </c>
      <c r="H123" s="148" t="s">
        <v>244</v>
      </c>
      <c r="I123" s="148" t="s">
        <v>244</v>
      </c>
      <c r="J123" s="148" t="s">
        <v>244</v>
      </c>
      <c r="K123" s="148" t="s">
        <v>244</v>
      </c>
      <c r="L123" s="148" t="s">
        <v>244</v>
      </c>
    </row>
    <row r="124" spans="1:12" ht="18" x14ac:dyDescent="0.3">
      <c r="A124" s="132">
        <f t="shared" si="3"/>
        <v>46345</v>
      </c>
      <c r="B124" s="147" t="str">
        <f t="shared" si="2"/>
        <v>Thursday</v>
      </c>
      <c r="C124" s="148" t="s">
        <v>244</v>
      </c>
      <c r="D124" s="148" t="s">
        <v>244</v>
      </c>
      <c r="E124" s="148" t="s">
        <v>244</v>
      </c>
      <c r="F124" s="148" t="s">
        <v>244</v>
      </c>
      <c r="G124" s="148" t="s">
        <v>244</v>
      </c>
      <c r="H124" s="148" t="s">
        <v>244</v>
      </c>
      <c r="I124" s="148" t="s">
        <v>244</v>
      </c>
      <c r="J124" s="148" t="s">
        <v>244</v>
      </c>
      <c r="K124" s="148" t="s">
        <v>244</v>
      </c>
      <c r="L124" s="148" t="s">
        <v>244</v>
      </c>
    </row>
    <row r="125" spans="1:12" ht="18" x14ac:dyDescent="0.3">
      <c r="A125" s="132">
        <f t="shared" si="3"/>
        <v>46346</v>
      </c>
      <c r="B125" s="147" t="str">
        <f t="shared" si="2"/>
        <v>Friday</v>
      </c>
      <c r="C125" s="148" t="s">
        <v>244</v>
      </c>
      <c r="D125" s="148" t="s">
        <v>244</v>
      </c>
      <c r="E125" s="148" t="s">
        <v>244</v>
      </c>
      <c r="F125" s="148" t="s">
        <v>244</v>
      </c>
      <c r="G125" s="148" t="s">
        <v>244</v>
      </c>
      <c r="H125" s="148" t="s">
        <v>244</v>
      </c>
      <c r="I125" s="148" t="s">
        <v>244</v>
      </c>
      <c r="J125" s="148" t="s">
        <v>244</v>
      </c>
      <c r="K125" s="148" t="s">
        <v>244</v>
      </c>
      <c r="L125" s="148" t="s">
        <v>244</v>
      </c>
    </row>
    <row r="126" spans="1:12" ht="18" x14ac:dyDescent="0.3">
      <c r="A126" s="132">
        <f t="shared" si="3"/>
        <v>46347</v>
      </c>
      <c r="B126" s="147" t="str">
        <f t="shared" si="2"/>
        <v>Saturday</v>
      </c>
      <c r="C126" s="148" t="s">
        <v>244</v>
      </c>
      <c r="D126" s="148" t="s">
        <v>244</v>
      </c>
      <c r="E126" s="148" t="s">
        <v>244</v>
      </c>
      <c r="F126" s="148" t="s">
        <v>244</v>
      </c>
      <c r="G126" s="148" t="s">
        <v>244</v>
      </c>
      <c r="H126" s="148" t="s">
        <v>244</v>
      </c>
      <c r="I126" s="148" t="s">
        <v>244</v>
      </c>
      <c r="J126" s="148" t="s">
        <v>244</v>
      </c>
      <c r="K126" s="148" t="s">
        <v>244</v>
      </c>
      <c r="L126" s="148" t="s">
        <v>244</v>
      </c>
    </row>
    <row r="127" spans="1:12" ht="18" x14ac:dyDescent="0.3">
      <c r="A127" s="132">
        <f t="shared" si="3"/>
        <v>46348</v>
      </c>
      <c r="B127" s="147" t="str">
        <f t="shared" si="2"/>
        <v>Sunday</v>
      </c>
      <c r="C127" s="148" t="s">
        <v>244</v>
      </c>
      <c r="D127" s="148" t="s">
        <v>244</v>
      </c>
      <c r="E127" s="148" t="s">
        <v>244</v>
      </c>
      <c r="F127" s="148" t="s">
        <v>244</v>
      </c>
      <c r="G127" s="148" t="s">
        <v>244</v>
      </c>
      <c r="H127" s="148" t="s">
        <v>244</v>
      </c>
      <c r="I127" s="148" t="s">
        <v>244</v>
      </c>
      <c r="J127" s="148" t="s">
        <v>244</v>
      </c>
      <c r="K127" s="148" t="s">
        <v>244</v>
      </c>
      <c r="L127" s="148" t="s">
        <v>244</v>
      </c>
    </row>
    <row r="128" spans="1:12" ht="18" x14ac:dyDescent="0.3">
      <c r="A128" s="132">
        <f t="shared" si="3"/>
        <v>46349</v>
      </c>
      <c r="B128" s="147" t="str">
        <f t="shared" si="2"/>
        <v>Monday</v>
      </c>
      <c r="C128" s="148" t="s">
        <v>244</v>
      </c>
      <c r="D128" s="148" t="s">
        <v>244</v>
      </c>
      <c r="E128" s="148" t="s">
        <v>244</v>
      </c>
      <c r="F128" s="148" t="s">
        <v>244</v>
      </c>
      <c r="G128" s="148" t="s">
        <v>244</v>
      </c>
      <c r="H128" s="148" t="s">
        <v>244</v>
      </c>
      <c r="I128" s="148" t="s">
        <v>244</v>
      </c>
      <c r="J128" s="148" t="s">
        <v>244</v>
      </c>
      <c r="K128" s="148" t="s">
        <v>244</v>
      </c>
      <c r="L128" s="148" t="s">
        <v>244</v>
      </c>
    </row>
    <row r="129" spans="1:12" ht="18" x14ac:dyDescent="0.3">
      <c r="A129" s="132">
        <f t="shared" si="3"/>
        <v>46350</v>
      </c>
      <c r="B129" s="147" t="str">
        <f t="shared" si="2"/>
        <v>Tuesday</v>
      </c>
      <c r="C129" s="148" t="s">
        <v>244</v>
      </c>
      <c r="D129" s="148" t="s">
        <v>244</v>
      </c>
      <c r="E129" s="148" t="s">
        <v>244</v>
      </c>
      <c r="F129" s="148" t="s">
        <v>244</v>
      </c>
      <c r="G129" s="148" t="s">
        <v>244</v>
      </c>
      <c r="H129" s="148" t="s">
        <v>244</v>
      </c>
      <c r="I129" s="148" t="s">
        <v>244</v>
      </c>
      <c r="J129" s="148" t="s">
        <v>244</v>
      </c>
      <c r="K129" s="148" t="s">
        <v>244</v>
      </c>
      <c r="L129" s="148" t="s">
        <v>244</v>
      </c>
    </row>
    <row r="130" spans="1:12" ht="18" x14ac:dyDescent="0.3">
      <c r="A130" s="132">
        <f t="shared" si="3"/>
        <v>46351</v>
      </c>
      <c r="B130" s="147" t="str">
        <f t="shared" ref="B130:B193" si="4">CHOOSE(WEEKDAY(A130,2),"Monday","Tuesday","Wednesday","Thursday","Friday","Saturday","Sunday")</f>
        <v>Wednesday</v>
      </c>
      <c r="C130" s="148" t="s">
        <v>244</v>
      </c>
      <c r="D130" s="148" t="s">
        <v>244</v>
      </c>
      <c r="E130" s="148" t="s">
        <v>244</v>
      </c>
      <c r="F130" s="148" t="s">
        <v>244</v>
      </c>
      <c r="G130" s="148" t="s">
        <v>244</v>
      </c>
      <c r="H130" s="148" t="s">
        <v>244</v>
      </c>
      <c r="I130" s="148" t="s">
        <v>244</v>
      </c>
      <c r="J130" s="148" t="s">
        <v>244</v>
      </c>
      <c r="K130" s="148" t="s">
        <v>244</v>
      </c>
      <c r="L130" s="148" t="s">
        <v>244</v>
      </c>
    </row>
    <row r="131" spans="1:12" ht="18" x14ac:dyDescent="0.3">
      <c r="A131" s="132">
        <f t="shared" si="3"/>
        <v>46352</v>
      </c>
      <c r="B131" s="147" t="str">
        <f t="shared" si="4"/>
        <v>Thursday</v>
      </c>
      <c r="C131" s="148" t="s">
        <v>244</v>
      </c>
      <c r="D131" s="148" t="s">
        <v>244</v>
      </c>
      <c r="E131" s="148" t="s">
        <v>244</v>
      </c>
      <c r="F131" s="148" t="s">
        <v>244</v>
      </c>
      <c r="G131" s="148" t="s">
        <v>244</v>
      </c>
      <c r="H131" s="148" t="s">
        <v>244</v>
      </c>
      <c r="I131" s="148" t="s">
        <v>244</v>
      </c>
      <c r="J131" s="148" t="s">
        <v>244</v>
      </c>
      <c r="K131" s="148" t="s">
        <v>244</v>
      </c>
      <c r="L131" s="148" t="s">
        <v>244</v>
      </c>
    </row>
    <row r="132" spans="1:12" ht="18" x14ac:dyDescent="0.3">
      <c r="A132" s="132">
        <f t="shared" ref="A132:A195" si="5">A131+1</f>
        <v>46353</v>
      </c>
      <c r="B132" s="147" t="str">
        <f t="shared" si="4"/>
        <v>Friday</v>
      </c>
      <c r="C132" s="148" t="s">
        <v>244</v>
      </c>
      <c r="D132" s="148" t="s">
        <v>244</v>
      </c>
      <c r="E132" s="148" t="s">
        <v>244</v>
      </c>
      <c r="F132" s="148" t="s">
        <v>244</v>
      </c>
      <c r="G132" s="148" t="s">
        <v>244</v>
      </c>
      <c r="H132" s="148" t="s">
        <v>244</v>
      </c>
      <c r="I132" s="148" t="s">
        <v>244</v>
      </c>
      <c r="J132" s="148" t="s">
        <v>244</v>
      </c>
      <c r="K132" s="148" t="s">
        <v>244</v>
      </c>
      <c r="L132" s="148" t="s">
        <v>244</v>
      </c>
    </row>
    <row r="133" spans="1:12" ht="18" x14ac:dyDescent="0.3">
      <c r="A133" s="132">
        <f t="shared" si="5"/>
        <v>46354</v>
      </c>
      <c r="B133" s="147" t="str">
        <f t="shared" si="4"/>
        <v>Saturday</v>
      </c>
      <c r="C133" s="148" t="s">
        <v>244</v>
      </c>
      <c r="D133" s="148" t="s">
        <v>244</v>
      </c>
      <c r="E133" s="148" t="s">
        <v>244</v>
      </c>
      <c r="F133" s="148" t="s">
        <v>244</v>
      </c>
      <c r="G133" s="148" t="s">
        <v>244</v>
      </c>
      <c r="H133" s="148" t="s">
        <v>244</v>
      </c>
      <c r="I133" s="148" t="s">
        <v>244</v>
      </c>
      <c r="J133" s="148" t="s">
        <v>244</v>
      </c>
      <c r="K133" s="148" t="s">
        <v>244</v>
      </c>
      <c r="L133" s="148" t="s">
        <v>244</v>
      </c>
    </row>
    <row r="134" spans="1:12" ht="18" x14ac:dyDescent="0.3">
      <c r="A134" s="132">
        <f t="shared" si="5"/>
        <v>46355</v>
      </c>
      <c r="B134" s="147" t="str">
        <f t="shared" si="4"/>
        <v>Sunday</v>
      </c>
      <c r="C134" s="148" t="s">
        <v>244</v>
      </c>
      <c r="D134" s="148" t="s">
        <v>244</v>
      </c>
      <c r="E134" s="148" t="s">
        <v>244</v>
      </c>
      <c r="F134" s="148" t="s">
        <v>244</v>
      </c>
      <c r="G134" s="148" t="s">
        <v>244</v>
      </c>
      <c r="H134" s="148" t="s">
        <v>244</v>
      </c>
      <c r="I134" s="148" t="s">
        <v>244</v>
      </c>
      <c r="J134" s="148" t="s">
        <v>244</v>
      </c>
      <c r="K134" s="148" t="s">
        <v>244</v>
      </c>
      <c r="L134" s="148" t="s">
        <v>244</v>
      </c>
    </row>
    <row r="135" spans="1:12" ht="18" x14ac:dyDescent="0.3">
      <c r="A135" s="132">
        <f t="shared" si="5"/>
        <v>46356</v>
      </c>
      <c r="B135" s="147" t="str">
        <f t="shared" si="4"/>
        <v>Monday</v>
      </c>
      <c r="C135" s="148" t="s">
        <v>244</v>
      </c>
      <c r="D135" s="148" t="s">
        <v>244</v>
      </c>
      <c r="E135" s="148" t="s">
        <v>244</v>
      </c>
      <c r="F135" s="148" t="s">
        <v>244</v>
      </c>
      <c r="G135" s="148" t="s">
        <v>244</v>
      </c>
      <c r="H135" s="148" t="s">
        <v>244</v>
      </c>
      <c r="I135" s="148" t="s">
        <v>244</v>
      </c>
      <c r="J135" s="148" t="s">
        <v>244</v>
      </c>
      <c r="K135" s="148" t="s">
        <v>244</v>
      </c>
      <c r="L135" s="148" t="s">
        <v>244</v>
      </c>
    </row>
    <row r="136" spans="1:12" ht="18" x14ac:dyDescent="0.3">
      <c r="A136" s="132">
        <f t="shared" si="5"/>
        <v>46357</v>
      </c>
      <c r="B136" s="147" t="str">
        <f t="shared" si="4"/>
        <v>Tuesday</v>
      </c>
      <c r="C136" s="148" t="s">
        <v>244</v>
      </c>
      <c r="D136" s="148" t="s">
        <v>244</v>
      </c>
      <c r="E136" s="148" t="s">
        <v>244</v>
      </c>
      <c r="F136" s="148" t="s">
        <v>244</v>
      </c>
      <c r="G136" s="148" t="s">
        <v>244</v>
      </c>
      <c r="H136" s="148" t="s">
        <v>244</v>
      </c>
      <c r="I136" s="148" t="s">
        <v>244</v>
      </c>
      <c r="J136" s="148" t="s">
        <v>244</v>
      </c>
      <c r="K136" s="148" t="s">
        <v>244</v>
      </c>
      <c r="L136" s="148" t="s">
        <v>244</v>
      </c>
    </row>
    <row r="137" spans="1:12" ht="18" x14ac:dyDescent="0.3">
      <c r="A137" s="132">
        <f t="shared" si="5"/>
        <v>46358</v>
      </c>
      <c r="B137" s="147" t="str">
        <f t="shared" si="4"/>
        <v>Wednesday</v>
      </c>
      <c r="C137" s="148" t="s">
        <v>244</v>
      </c>
      <c r="D137" s="148" t="s">
        <v>244</v>
      </c>
      <c r="E137" s="148" t="s">
        <v>244</v>
      </c>
      <c r="F137" s="148" t="s">
        <v>244</v>
      </c>
      <c r="G137" s="148" t="s">
        <v>244</v>
      </c>
      <c r="H137" s="148" t="s">
        <v>244</v>
      </c>
      <c r="I137" s="148" t="s">
        <v>244</v>
      </c>
      <c r="J137" s="148" t="s">
        <v>244</v>
      </c>
      <c r="K137" s="148" t="s">
        <v>244</v>
      </c>
      <c r="L137" s="148" t="s">
        <v>244</v>
      </c>
    </row>
    <row r="138" spans="1:12" ht="18" x14ac:dyDescent="0.3">
      <c r="A138" s="132">
        <f t="shared" si="5"/>
        <v>46359</v>
      </c>
      <c r="B138" s="147" t="str">
        <f t="shared" si="4"/>
        <v>Thursday</v>
      </c>
      <c r="C138" s="148" t="s">
        <v>244</v>
      </c>
      <c r="D138" s="148" t="s">
        <v>244</v>
      </c>
      <c r="E138" s="148" t="s">
        <v>244</v>
      </c>
      <c r="F138" s="148" t="s">
        <v>244</v>
      </c>
      <c r="G138" s="148" t="s">
        <v>244</v>
      </c>
      <c r="H138" s="148" t="s">
        <v>244</v>
      </c>
      <c r="I138" s="148" t="s">
        <v>244</v>
      </c>
      <c r="J138" s="148" t="s">
        <v>244</v>
      </c>
      <c r="K138" s="148" t="s">
        <v>244</v>
      </c>
      <c r="L138" s="148" t="s">
        <v>244</v>
      </c>
    </row>
    <row r="139" spans="1:12" ht="18" x14ac:dyDescent="0.3">
      <c r="A139" s="132">
        <f t="shared" si="5"/>
        <v>46360</v>
      </c>
      <c r="B139" s="147" t="str">
        <f t="shared" si="4"/>
        <v>Friday</v>
      </c>
      <c r="C139" s="148" t="s">
        <v>244</v>
      </c>
      <c r="D139" s="148" t="s">
        <v>244</v>
      </c>
      <c r="E139" s="148" t="s">
        <v>244</v>
      </c>
      <c r="F139" s="148" t="s">
        <v>244</v>
      </c>
      <c r="G139" s="148" t="s">
        <v>244</v>
      </c>
      <c r="H139" s="148" t="s">
        <v>244</v>
      </c>
      <c r="I139" s="148" t="s">
        <v>244</v>
      </c>
      <c r="J139" s="148" t="s">
        <v>244</v>
      </c>
      <c r="K139" s="148" t="s">
        <v>244</v>
      </c>
      <c r="L139" s="148" t="s">
        <v>244</v>
      </c>
    </row>
    <row r="140" spans="1:12" ht="18" x14ac:dyDescent="0.3">
      <c r="A140" s="132">
        <f t="shared" si="5"/>
        <v>46361</v>
      </c>
      <c r="B140" s="147" t="str">
        <f t="shared" si="4"/>
        <v>Saturday</v>
      </c>
      <c r="C140" s="148" t="s">
        <v>244</v>
      </c>
      <c r="D140" s="148" t="s">
        <v>244</v>
      </c>
      <c r="E140" s="148" t="s">
        <v>244</v>
      </c>
      <c r="F140" s="148" t="s">
        <v>244</v>
      </c>
      <c r="G140" s="148" t="s">
        <v>244</v>
      </c>
      <c r="H140" s="148" t="s">
        <v>244</v>
      </c>
      <c r="I140" s="148" t="s">
        <v>244</v>
      </c>
      <c r="J140" s="148" t="s">
        <v>244</v>
      </c>
      <c r="K140" s="148" t="s">
        <v>244</v>
      </c>
      <c r="L140" s="148" t="s">
        <v>244</v>
      </c>
    </row>
    <row r="141" spans="1:12" ht="18" x14ac:dyDescent="0.3">
      <c r="A141" s="132">
        <f t="shared" si="5"/>
        <v>46362</v>
      </c>
      <c r="B141" s="147" t="str">
        <f t="shared" si="4"/>
        <v>Sunday</v>
      </c>
      <c r="C141" s="148" t="s">
        <v>244</v>
      </c>
      <c r="D141" s="148" t="s">
        <v>244</v>
      </c>
      <c r="E141" s="148" t="s">
        <v>244</v>
      </c>
      <c r="F141" s="148" t="s">
        <v>244</v>
      </c>
      <c r="G141" s="148" t="s">
        <v>244</v>
      </c>
      <c r="H141" s="148" t="s">
        <v>244</v>
      </c>
      <c r="I141" s="148" t="s">
        <v>244</v>
      </c>
      <c r="J141" s="148" t="s">
        <v>244</v>
      </c>
      <c r="K141" s="148" t="s">
        <v>244</v>
      </c>
      <c r="L141" s="148" t="s">
        <v>244</v>
      </c>
    </row>
    <row r="142" spans="1:12" ht="18" x14ac:dyDescent="0.3">
      <c r="A142" s="132">
        <f t="shared" si="5"/>
        <v>46363</v>
      </c>
      <c r="B142" s="147" t="str">
        <f t="shared" si="4"/>
        <v>Monday</v>
      </c>
      <c r="C142" s="148" t="s">
        <v>244</v>
      </c>
      <c r="D142" s="148" t="s">
        <v>244</v>
      </c>
      <c r="E142" s="148" t="s">
        <v>244</v>
      </c>
      <c r="F142" s="148" t="s">
        <v>244</v>
      </c>
      <c r="G142" s="148" t="s">
        <v>244</v>
      </c>
      <c r="H142" s="148" t="s">
        <v>244</v>
      </c>
      <c r="I142" s="148" t="s">
        <v>244</v>
      </c>
      <c r="J142" s="148" t="s">
        <v>244</v>
      </c>
      <c r="K142" s="148" t="s">
        <v>244</v>
      </c>
      <c r="L142" s="148" t="s">
        <v>244</v>
      </c>
    </row>
    <row r="143" spans="1:12" ht="18" x14ac:dyDescent="0.3">
      <c r="A143" s="132">
        <f t="shared" si="5"/>
        <v>46364</v>
      </c>
      <c r="B143" s="147" t="str">
        <f t="shared" si="4"/>
        <v>Tuesday</v>
      </c>
      <c r="C143" s="148" t="s">
        <v>244</v>
      </c>
      <c r="D143" s="148" t="s">
        <v>244</v>
      </c>
      <c r="E143" s="148" t="s">
        <v>244</v>
      </c>
      <c r="F143" s="148" t="s">
        <v>244</v>
      </c>
      <c r="G143" s="148" t="s">
        <v>244</v>
      </c>
      <c r="H143" s="148" t="s">
        <v>244</v>
      </c>
      <c r="I143" s="148" t="s">
        <v>244</v>
      </c>
      <c r="J143" s="148" t="s">
        <v>244</v>
      </c>
      <c r="K143" s="148" t="s">
        <v>244</v>
      </c>
      <c r="L143" s="148" t="s">
        <v>244</v>
      </c>
    </row>
    <row r="144" spans="1:12" ht="18" x14ac:dyDescent="0.3">
      <c r="A144" s="132">
        <f t="shared" si="5"/>
        <v>46365</v>
      </c>
      <c r="B144" s="147" t="str">
        <f t="shared" si="4"/>
        <v>Wednesday</v>
      </c>
      <c r="C144" s="148" t="s">
        <v>244</v>
      </c>
      <c r="D144" s="148" t="s">
        <v>244</v>
      </c>
      <c r="E144" s="148" t="s">
        <v>244</v>
      </c>
      <c r="F144" s="148" t="s">
        <v>244</v>
      </c>
      <c r="G144" s="148" t="s">
        <v>244</v>
      </c>
      <c r="H144" s="148" t="s">
        <v>244</v>
      </c>
      <c r="I144" s="148" t="s">
        <v>244</v>
      </c>
      <c r="J144" s="148" t="s">
        <v>244</v>
      </c>
      <c r="K144" s="148" t="s">
        <v>244</v>
      </c>
      <c r="L144" s="148" t="s">
        <v>244</v>
      </c>
    </row>
    <row r="145" spans="1:12" ht="18" x14ac:dyDescent="0.3">
      <c r="A145" s="132">
        <f t="shared" si="5"/>
        <v>46366</v>
      </c>
      <c r="B145" s="147" t="str">
        <f t="shared" si="4"/>
        <v>Thursday</v>
      </c>
      <c r="C145" s="148" t="s">
        <v>244</v>
      </c>
      <c r="D145" s="148" t="s">
        <v>244</v>
      </c>
      <c r="E145" s="148" t="s">
        <v>244</v>
      </c>
      <c r="F145" s="148" t="s">
        <v>244</v>
      </c>
      <c r="G145" s="148" t="s">
        <v>244</v>
      </c>
      <c r="H145" s="148" t="s">
        <v>244</v>
      </c>
      <c r="I145" s="148" t="s">
        <v>244</v>
      </c>
      <c r="J145" s="148" t="s">
        <v>244</v>
      </c>
      <c r="K145" s="148" t="s">
        <v>244</v>
      </c>
      <c r="L145" s="148" t="s">
        <v>244</v>
      </c>
    </row>
    <row r="146" spans="1:12" ht="18" x14ac:dyDescent="0.3">
      <c r="A146" s="132">
        <f t="shared" si="5"/>
        <v>46367</v>
      </c>
      <c r="B146" s="147" t="str">
        <f t="shared" si="4"/>
        <v>Friday</v>
      </c>
      <c r="C146" s="148" t="s">
        <v>244</v>
      </c>
      <c r="D146" s="148" t="s">
        <v>244</v>
      </c>
      <c r="E146" s="148" t="s">
        <v>244</v>
      </c>
      <c r="F146" s="148" t="s">
        <v>244</v>
      </c>
      <c r="G146" s="148" t="s">
        <v>244</v>
      </c>
      <c r="H146" s="148" t="s">
        <v>244</v>
      </c>
      <c r="I146" s="148" t="s">
        <v>244</v>
      </c>
      <c r="J146" s="148" t="s">
        <v>244</v>
      </c>
      <c r="K146" s="148" t="s">
        <v>244</v>
      </c>
      <c r="L146" s="148" t="s">
        <v>244</v>
      </c>
    </row>
    <row r="147" spans="1:12" ht="18" x14ac:dyDescent="0.3">
      <c r="A147" s="132">
        <f t="shared" si="5"/>
        <v>46368</v>
      </c>
      <c r="B147" s="147" t="str">
        <f t="shared" si="4"/>
        <v>Saturday</v>
      </c>
      <c r="C147" s="148" t="s">
        <v>244</v>
      </c>
      <c r="D147" s="148" t="s">
        <v>244</v>
      </c>
      <c r="E147" s="148" t="s">
        <v>244</v>
      </c>
      <c r="F147" s="148" t="s">
        <v>244</v>
      </c>
      <c r="G147" s="148" t="s">
        <v>244</v>
      </c>
      <c r="H147" s="148" t="s">
        <v>244</v>
      </c>
      <c r="I147" s="148" t="s">
        <v>244</v>
      </c>
      <c r="J147" s="148" t="s">
        <v>244</v>
      </c>
      <c r="K147" s="148" t="s">
        <v>244</v>
      </c>
      <c r="L147" s="148" t="s">
        <v>244</v>
      </c>
    </row>
    <row r="148" spans="1:12" ht="18" x14ac:dyDescent="0.3">
      <c r="A148" s="132">
        <f t="shared" si="5"/>
        <v>46369</v>
      </c>
      <c r="B148" s="147" t="str">
        <f t="shared" si="4"/>
        <v>Sunday</v>
      </c>
      <c r="C148" s="148" t="s">
        <v>244</v>
      </c>
      <c r="D148" s="148" t="s">
        <v>244</v>
      </c>
      <c r="E148" s="148" t="s">
        <v>244</v>
      </c>
      <c r="F148" s="148" t="s">
        <v>244</v>
      </c>
      <c r="G148" s="148" t="s">
        <v>244</v>
      </c>
      <c r="H148" s="148" t="s">
        <v>244</v>
      </c>
      <c r="I148" s="148" t="s">
        <v>244</v>
      </c>
      <c r="J148" s="148" t="s">
        <v>244</v>
      </c>
      <c r="K148" s="148" t="s">
        <v>244</v>
      </c>
      <c r="L148" s="148" t="s">
        <v>244</v>
      </c>
    </row>
    <row r="149" spans="1:12" ht="18" x14ac:dyDescent="0.3">
      <c r="A149" s="132">
        <f t="shared" si="5"/>
        <v>46370</v>
      </c>
      <c r="B149" s="147" t="str">
        <f t="shared" si="4"/>
        <v>Monday</v>
      </c>
      <c r="C149" s="148" t="s">
        <v>244</v>
      </c>
      <c r="D149" s="148" t="s">
        <v>244</v>
      </c>
      <c r="E149" s="148" t="s">
        <v>244</v>
      </c>
      <c r="F149" s="148" t="s">
        <v>244</v>
      </c>
      <c r="G149" s="148" t="s">
        <v>244</v>
      </c>
      <c r="H149" s="148" t="s">
        <v>244</v>
      </c>
      <c r="I149" s="148" t="s">
        <v>244</v>
      </c>
      <c r="J149" s="148" t="s">
        <v>244</v>
      </c>
      <c r="K149" s="148" t="s">
        <v>244</v>
      </c>
      <c r="L149" s="148" t="s">
        <v>244</v>
      </c>
    </row>
    <row r="150" spans="1:12" ht="18" x14ac:dyDescent="0.3">
      <c r="A150" s="132">
        <f t="shared" si="5"/>
        <v>46371</v>
      </c>
      <c r="B150" s="147" t="str">
        <f t="shared" si="4"/>
        <v>Tuesday</v>
      </c>
      <c r="C150" s="148" t="s">
        <v>244</v>
      </c>
      <c r="D150" s="148" t="s">
        <v>244</v>
      </c>
      <c r="E150" s="148" t="s">
        <v>244</v>
      </c>
      <c r="F150" s="148" t="s">
        <v>244</v>
      </c>
      <c r="G150" s="148" t="s">
        <v>244</v>
      </c>
      <c r="H150" s="148" t="s">
        <v>244</v>
      </c>
      <c r="I150" s="148" t="s">
        <v>244</v>
      </c>
      <c r="J150" s="148" t="s">
        <v>244</v>
      </c>
      <c r="K150" s="148" t="s">
        <v>244</v>
      </c>
      <c r="L150" s="148" t="s">
        <v>244</v>
      </c>
    </row>
    <row r="151" spans="1:12" ht="18" x14ac:dyDescent="0.3">
      <c r="A151" s="132">
        <f t="shared" si="5"/>
        <v>46372</v>
      </c>
      <c r="B151" s="147" t="str">
        <f t="shared" si="4"/>
        <v>Wednesday</v>
      </c>
      <c r="C151" s="148" t="s">
        <v>244</v>
      </c>
      <c r="D151" s="148" t="s">
        <v>244</v>
      </c>
      <c r="E151" s="148" t="s">
        <v>244</v>
      </c>
      <c r="F151" s="148" t="s">
        <v>244</v>
      </c>
      <c r="G151" s="148" t="s">
        <v>244</v>
      </c>
      <c r="H151" s="148" t="s">
        <v>244</v>
      </c>
      <c r="I151" s="148" t="s">
        <v>244</v>
      </c>
      <c r="J151" s="148" t="s">
        <v>244</v>
      </c>
      <c r="K151" s="148" t="s">
        <v>244</v>
      </c>
      <c r="L151" s="148" t="s">
        <v>244</v>
      </c>
    </row>
    <row r="152" spans="1:12" ht="18" x14ac:dyDescent="0.3">
      <c r="A152" s="132">
        <f t="shared" si="5"/>
        <v>46373</v>
      </c>
      <c r="B152" s="147" t="str">
        <f t="shared" si="4"/>
        <v>Thursday</v>
      </c>
      <c r="C152" s="148" t="s">
        <v>244</v>
      </c>
      <c r="D152" s="148" t="s">
        <v>244</v>
      </c>
      <c r="E152" s="148" t="s">
        <v>244</v>
      </c>
      <c r="F152" s="148" t="s">
        <v>244</v>
      </c>
      <c r="G152" s="148" t="s">
        <v>244</v>
      </c>
      <c r="H152" s="148" t="s">
        <v>244</v>
      </c>
      <c r="I152" s="148" t="s">
        <v>244</v>
      </c>
      <c r="J152" s="148" t="s">
        <v>244</v>
      </c>
      <c r="K152" s="148" t="s">
        <v>244</v>
      </c>
      <c r="L152" s="148" t="s">
        <v>244</v>
      </c>
    </row>
    <row r="153" spans="1:12" ht="18" x14ac:dyDescent="0.3">
      <c r="A153" s="132">
        <f t="shared" si="5"/>
        <v>46374</v>
      </c>
      <c r="B153" s="147" t="str">
        <f t="shared" si="4"/>
        <v>Friday</v>
      </c>
      <c r="C153" s="148" t="s">
        <v>244</v>
      </c>
      <c r="D153" s="148" t="s">
        <v>244</v>
      </c>
      <c r="E153" s="148" t="s">
        <v>244</v>
      </c>
      <c r="F153" s="148" t="s">
        <v>244</v>
      </c>
      <c r="G153" s="148" t="s">
        <v>244</v>
      </c>
      <c r="H153" s="148" t="s">
        <v>244</v>
      </c>
      <c r="I153" s="148" t="s">
        <v>244</v>
      </c>
      <c r="J153" s="148" t="s">
        <v>244</v>
      </c>
      <c r="K153" s="148" t="s">
        <v>244</v>
      </c>
      <c r="L153" s="148" t="s">
        <v>244</v>
      </c>
    </row>
    <row r="154" spans="1:12" ht="18" x14ac:dyDescent="0.3">
      <c r="A154" s="132">
        <f t="shared" si="5"/>
        <v>46375</v>
      </c>
      <c r="B154" s="147" t="str">
        <f t="shared" si="4"/>
        <v>Saturday</v>
      </c>
      <c r="C154" s="148" t="s">
        <v>244</v>
      </c>
      <c r="D154" s="148" t="s">
        <v>244</v>
      </c>
      <c r="E154" s="148" t="s">
        <v>244</v>
      </c>
      <c r="F154" s="148" t="s">
        <v>244</v>
      </c>
      <c r="G154" s="148" t="s">
        <v>244</v>
      </c>
      <c r="H154" s="148" t="s">
        <v>244</v>
      </c>
      <c r="I154" s="148" t="s">
        <v>244</v>
      </c>
      <c r="J154" s="148" t="s">
        <v>244</v>
      </c>
      <c r="K154" s="148" t="s">
        <v>244</v>
      </c>
      <c r="L154" s="148" t="s">
        <v>244</v>
      </c>
    </row>
    <row r="155" spans="1:12" ht="18" x14ac:dyDescent="0.3">
      <c r="A155" s="132">
        <f t="shared" si="5"/>
        <v>46376</v>
      </c>
      <c r="B155" s="147" t="str">
        <f t="shared" si="4"/>
        <v>Sunday</v>
      </c>
      <c r="C155" s="148" t="s">
        <v>244</v>
      </c>
      <c r="D155" s="148" t="s">
        <v>244</v>
      </c>
      <c r="E155" s="148" t="s">
        <v>244</v>
      </c>
      <c r="F155" s="148" t="s">
        <v>244</v>
      </c>
      <c r="G155" s="148" t="s">
        <v>244</v>
      </c>
      <c r="H155" s="148" t="s">
        <v>244</v>
      </c>
      <c r="I155" s="148" t="s">
        <v>244</v>
      </c>
      <c r="J155" s="148" t="s">
        <v>244</v>
      </c>
      <c r="K155" s="148" t="s">
        <v>244</v>
      </c>
      <c r="L155" s="148" t="s">
        <v>244</v>
      </c>
    </row>
    <row r="156" spans="1:12" ht="18" x14ac:dyDescent="0.3">
      <c r="A156" s="132">
        <f t="shared" si="5"/>
        <v>46377</v>
      </c>
      <c r="B156" s="147" t="str">
        <f t="shared" si="4"/>
        <v>Monday</v>
      </c>
      <c r="C156" s="148" t="s">
        <v>244</v>
      </c>
      <c r="D156" s="148" t="s">
        <v>244</v>
      </c>
      <c r="E156" s="148" t="s">
        <v>244</v>
      </c>
      <c r="F156" s="148" t="s">
        <v>244</v>
      </c>
      <c r="G156" s="148" t="s">
        <v>244</v>
      </c>
      <c r="H156" s="148" t="s">
        <v>244</v>
      </c>
      <c r="I156" s="148" t="s">
        <v>244</v>
      </c>
      <c r="J156" s="148" t="s">
        <v>244</v>
      </c>
      <c r="K156" s="148" t="s">
        <v>244</v>
      </c>
      <c r="L156" s="148" t="s">
        <v>244</v>
      </c>
    </row>
    <row r="157" spans="1:12" ht="18" x14ac:dyDescent="0.3">
      <c r="A157" s="132">
        <f t="shared" si="5"/>
        <v>46378</v>
      </c>
      <c r="B157" s="147" t="str">
        <f t="shared" si="4"/>
        <v>Tuesday</v>
      </c>
      <c r="C157" s="148" t="s">
        <v>244</v>
      </c>
      <c r="D157" s="148" t="s">
        <v>244</v>
      </c>
      <c r="E157" s="148" t="s">
        <v>244</v>
      </c>
      <c r="F157" s="148" t="s">
        <v>244</v>
      </c>
      <c r="G157" s="148" t="s">
        <v>244</v>
      </c>
      <c r="H157" s="148" t="s">
        <v>244</v>
      </c>
      <c r="I157" s="148" t="s">
        <v>244</v>
      </c>
      <c r="J157" s="148" t="s">
        <v>244</v>
      </c>
      <c r="K157" s="148" t="s">
        <v>244</v>
      </c>
      <c r="L157" s="148" t="s">
        <v>244</v>
      </c>
    </row>
    <row r="158" spans="1:12" ht="18" x14ac:dyDescent="0.3">
      <c r="A158" s="132">
        <f t="shared" si="5"/>
        <v>46379</v>
      </c>
      <c r="B158" s="147" t="str">
        <f t="shared" si="4"/>
        <v>Wednesday</v>
      </c>
      <c r="C158" s="148" t="s">
        <v>244</v>
      </c>
      <c r="D158" s="148" t="s">
        <v>244</v>
      </c>
      <c r="E158" s="148" t="s">
        <v>244</v>
      </c>
      <c r="F158" s="148" t="s">
        <v>244</v>
      </c>
      <c r="G158" s="148" t="s">
        <v>244</v>
      </c>
      <c r="H158" s="148" t="s">
        <v>244</v>
      </c>
      <c r="I158" s="148" t="s">
        <v>244</v>
      </c>
      <c r="J158" s="148" t="s">
        <v>244</v>
      </c>
      <c r="K158" s="148" t="s">
        <v>244</v>
      </c>
      <c r="L158" s="148" t="s">
        <v>244</v>
      </c>
    </row>
    <row r="159" spans="1:12" ht="18" x14ac:dyDescent="0.3">
      <c r="A159" s="132">
        <f t="shared" si="5"/>
        <v>46380</v>
      </c>
      <c r="B159" s="147" t="str">
        <f t="shared" si="4"/>
        <v>Thursday</v>
      </c>
      <c r="C159" s="148" t="s">
        <v>244</v>
      </c>
      <c r="D159" s="148" t="s">
        <v>244</v>
      </c>
      <c r="E159" s="148" t="s">
        <v>244</v>
      </c>
      <c r="F159" s="148" t="s">
        <v>244</v>
      </c>
      <c r="G159" s="148" t="s">
        <v>244</v>
      </c>
      <c r="H159" s="148" t="s">
        <v>244</v>
      </c>
      <c r="I159" s="148" t="s">
        <v>244</v>
      </c>
      <c r="J159" s="148" t="s">
        <v>244</v>
      </c>
      <c r="K159" s="148" t="s">
        <v>244</v>
      </c>
      <c r="L159" s="148" t="s">
        <v>244</v>
      </c>
    </row>
    <row r="160" spans="1:12" ht="18" x14ac:dyDescent="0.3">
      <c r="A160" s="132">
        <f t="shared" si="5"/>
        <v>46381</v>
      </c>
      <c r="B160" s="147" t="str">
        <f t="shared" si="4"/>
        <v>Friday</v>
      </c>
      <c r="C160" s="148" t="s">
        <v>244</v>
      </c>
      <c r="D160" s="148" t="s">
        <v>244</v>
      </c>
      <c r="E160" s="148" t="s">
        <v>244</v>
      </c>
      <c r="F160" s="148" t="s">
        <v>244</v>
      </c>
      <c r="G160" s="148" t="s">
        <v>244</v>
      </c>
      <c r="H160" s="148" t="s">
        <v>244</v>
      </c>
      <c r="I160" s="148" t="s">
        <v>244</v>
      </c>
      <c r="J160" s="148" t="s">
        <v>244</v>
      </c>
      <c r="K160" s="148" t="s">
        <v>244</v>
      </c>
      <c r="L160" s="148" t="s">
        <v>244</v>
      </c>
    </row>
    <row r="161" spans="1:12" ht="18" x14ac:dyDescent="0.3">
      <c r="A161" s="132">
        <f t="shared" si="5"/>
        <v>46382</v>
      </c>
      <c r="B161" s="147" t="str">
        <f t="shared" si="4"/>
        <v>Saturday</v>
      </c>
      <c r="C161" s="148" t="s">
        <v>244</v>
      </c>
      <c r="D161" s="148" t="s">
        <v>244</v>
      </c>
      <c r="E161" s="148" t="s">
        <v>244</v>
      </c>
      <c r="F161" s="148" t="s">
        <v>244</v>
      </c>
      <c r="G161" s="148" t="s">
        <v>244</v>
      </c>
      <c r="H161" s="148" t="s">
        <v>244</v>
      </c>
      <c r="I161" s="148" t="s">
        <v>244</v>
      </c>
      <c r="J161" s="148" t="s">
        <v>244</v>
      </c>
      <c r="K161" s="148" t="s">
        <v>244</v>
      </c>
      <c r="L161" s="148" t="s">
        <v>244</v>
      </c>
    </row>
    <row r="162" spans="1:12" ht="18" x14ac:dyDescent="0.3">
      <c r="A162" s="132">
        <f t="shared" si="5"/>
        <v>46383</v>
      </c>
      <c r="B162" s="147" t="str">
        <f t="shared" si="4"/>
        <v>Sunday</v>
      </c>
      <c r="C162" s="148" t="s">
        <v>244</v>
      </c>
      <c r="D162" s="148" t="s">
        <v>244</v>
      </c>
      <c r="E162" s="148" t="s">
        <v>244</v>
      </c>
      <c r="F162" s="148" t="s">
        <v>244</v>
      </c>
      <c r="G162" s="148" t="s">
        <v>244</v>
      </c>
      <c r="H162" s="148" t="s">
        <v>244</v>
      </c>
      <c r="I162" s="148" t="s">
        <v>244</v>
      </c>
      <c r="J162" s="148" t="s">
        <v>244</v>
      </c>
      <c r="K162" s="148" t="s">
        <v>244</v>
      </c>
      <c r="L162" s="148" t="s">
        <v>244</v>
      </c>
    </row>
    <row r="163" spans="1:12" ht="18" x14ac:dyDescent="0.3">
      <c r="A163" s="132">
        <f t="shared" si="5"/>
        <v>46384</v>
      </c>
      <c r="B163" s="147" t="str">
        <f t="shared" si="4"/>
        <v>Monday</v>
      </c>
      <c r="C163" s="148" t="s">
        <v>244</v>
      </c>
      <c r="D163" s="148" t="s">
        <v>244</v>
      </c>
      <c r="E163" s="148" t="s">
        <v>244</v>
      </c>
      <c r="F163" s="148" t="s">
        <v>244</v>
      </c>
      <c r="G163" s="148" t="s">
        <v>244</v>
      </c>
      <c r="H163" s="148" t="s">
        <v>244</v>
      </c>
      <c r="I163" s="148" t="s">
        <v>244</v>
      </c>
      <c r="J163" s="148" t="s">
        <v>244</v>
      </c>
      <c r="K163" s="148" t="s">
        <v>244</v>
      </c>
      <c r="L163" s="148" t="s">
        <v>244</v>
      </c>
    </row>
    <row r="164" spans="1:12" ht="18" x14ac:dyDescent="0.3">
      <c r="A164" s="132">
        <f t="shared" si="5"/>
        <v>46385</v>
      </c>
      <c r="B164" s="147" t="str">
        <f t="shared" si="4"/>
        <v>Tuesday</v>
      </c>
      <c r="C164" s="148" t="s">
        <v>244</v>
      </c>
      <c r="D164" s="148" t="s">
        <v>244</v>
      </c>
      <c r="E164" s="148" t="s">
        <v>244</v>
      </c>
      <c r="F164" s="148" t="s">
        <v>244</v>
      </c>
      <c r="G164" s="148" t="s">
        <v>244</v>
      </c>
      <c r="H164" s="148" t="s">
        <v>244</v>
      </c>
      <c r="I164" s="148" t="s">
        <v>244</v>
      </c>
      <c r="J164" s="148" t="s">
        <v>244</v>
      </c>
      <c r="K164" s="148" t="s">
        <v>244</v>
      </c>
      <c r="L164" s="148" t="s">
        <v>244</v>
      </c>
    </row>
    <row r="165" spans="1:12" ht="18" x14ac:dyDescent="0.3">
      <c r="A165" s="132">
        <f t="shared" si="5"/>
        <v>46386</v>
      </c>
      <c r="B165" s="147" t="str">
        <f t="shared" si="4"/>
        <v>Wednesday</v>
      </c>
      <c r="C165" s="148" t="s">
        <v>244</v>
      </c>
      <c r="D165" s="148" t="s">
        <v>244</v>
      </c>
      <c r="E165" s="148" t="s">
        <v>244</v>
      </c>
      <c r="F165" s="148" t="s">
        <v>244</v>
      </c>
      <c r="G165" s="148" t="s">
        <v>244</v>
      </c>
      <c r="H165" s="148" t="s">
        <v>244</v>
      </c>
      <c r="I165" s="148" t="s">
        <v>244</v>
      </c>
      <c r="J165" s="148" t="s">
        <v>244</v>
      </c>
      <c r="K165" s="148" t="s">
        <v>244</v>
      </c>
      <c r="L165" s="148" t="s">
        <v>244</v>
      </c>
    </row>
    <row r="166" spans="1:12" ht="18" x14ac:dyDescent="0.3">
      <c r="A166" s="132">
        <f t="shared" si="5"/>
        <v>46387</v>
      </c>
      <c r="B166" s="147" t="str">
        <f t="shared" si="4"/>
        <v>Thursday</v>
      </c>
      <c r="C166" s="148" t="s">
        <v>244</v>
      </c>
      <c r="D166" s="148" t="s">
        <v>244</v>
      </c>
      <c r="E166" s="148" t="s">
        <v>244</v>
      </c>
      <c r="F166" s="148" t="s">
        <v>244</v>
      </c>
      <c r="G166" s="148" t="s">
        <v>244</v>
      </c>
      <c r="H166" s="148" t="s">
        <v>244</v>
      </c>
      <c r="I166" s="148" t="s">
        <v>244</v>
      </c>
      <c r="J166" s="148" t="s">
        <v>244</v>
      </c>
      <c r="K166" s="148" t="s">
        <v>244</v>
      </c>
      <c r="L166" s="148" t="s">
        <v>244</v>
      </c>
    </row>
    <row r="167" spans="1:12" ht="18" x14ac:dyDescent="0.3">
      <c r="A167" s="132">
        <f t="shared" si="5"/>
        <v>46388</v>
      </c>
      <c r="B167" s="147" t="str">
        <f t="shared" si="4"/>
        <v>Friday</v>
      </c>
      <c r="C167" s="148" t="s">
        <v>244</v>
      </c>
      <c r="D167" s="148" t="s">
        <v>244</v>
      </c>
      <c r="E167" s="148" t="s">
        <v>244</v>
      </c>
      <c r="F167" s="148" t="s">
        <v>244</v>
      </c>
      <c r="G167" s="148" t="s">
        <v>244</v>
      </c>
      <c r="H167" s="148" t="s">
        <v>244</v>
      </c>
      <c r="I167" s="148" t="s">
        <v>244</v>
      </c>
      <c r="J167" s="148" t="s">
        <v>244</v>
      </c>
      <c r="K167" s="148" t="s">
        <v>244</v>
      </c>
      <c r="L167" s="148" t="s">
        <v>244</v>
      </c>
    </row>
    <row r="168" spans="1:12" ht="18" x14ac:dyDescent="0.3">
      <c r="A168" s="132">
        <f t="shared" si="5"/>
        <v>46389</v>
      </c>
      <c r="B168" s="147" t="str">
        <f t="shared" si="4"/>
        <v>Saturday</v>
      </c>
      <c r="C168" s="148" t="s">
        <v>244</v>
      </c>
      <c r="D168" s="148" t="s">
        <v>244</v>
      </c>
      <c r="E168" s="148" t="s">
        <v>244</v>
      </c>
      <c r="F168" s="148" t="s">
        <v>244</v>
      </c>
      <c r="G168" s="148" t="s">
        <v>244</v>
      </c>
      <c r="H168" s="148" t="s">
        <v>244</v>
      </c>
      <c r="I168" s="148" t="s">
        <v>244</v>
      </c>
      <c r="J168" s="148" t="s">
        <v>244</v>
      </c>
      <c r="K168" s="148" t="s">
        <v>244</v>
      </c>
      <c r="L168" s="148" t="s">
        <v>244</v>
      </c>
    </row>
    <row r="169" spans="1:12" ht="18" x14ac:dyDescent="0.3">
      <c r="A169" s="132">
        <f t="shared" si="5"/>
        <v>46390</v>
      </c>
      <c r="B169" s="147" t="str">
        <f t="shared" si="4"/>
        <v>Sunday</v>
      </c>
      <c r="C169" s="148" t="s">
        <v>244</v>
      </c>
      <c r="D169" s="148" t="s">
        <v>244</v>
      </c>
      <c r="E169" s="148" t="s">
        <v>244</v>
      </c>
      <c r="F169" s="148" t="s">
        <v>244</v>
      </c>
      <c r="G169" s="148" t="s">
        <v>244</v>
      </c>
      <c r="H169" s="148" t="s">
        <v>244</v>
      </c>
      <c r="I169" s="148" t="s">
        <v>244</v>
      </c>
      <c r="J169" s="148" t="s">
        <v>244</v>
      </c>
      <c r="K169" s="148" t="s">
        <v>244</v>
      </c>
      <c r="L169" s="148" t="s">
        <v>244</v>
      </c>
    </row>
    <row r="170" spans="1:12" ht="18" x14ac:dyDescent="0.3">
      <c r="A170" s="132">
        <f t="shared" si="5"/>
        <v>46391</v>
      </c>
      <c r="B170" s="147" t="str">
        <f t="shared" si="4"/>
        <v>Monday</v>
      </c>
      <c r="C170" s="148" t="s">
        <v>244</v>
      </c>
      <c r="D170" s="148" t="s">
        <v>244</v>
      </c>
      <c r="E170" s="148" t="s">
        <v>244</v>
      </c>
      <c r="F170" s="148" t="s">
        <v>244</v>
      </c>
      <c r="G170" s="148" t="s">
        <v>244</v>
      </c>
      <c r="H170" s="148" t="s">
        <v>244</v>
      </c>
      <c r="I170" s="148" t="s">
        <v>244</v>
      </c>
      <c r="J170" s="148" t="s">
        <v>244</v>
      </c>
      <c r="K170" s="148" t="s">
        <v>244</v>
      </c>
      <c r="L170" s="148" t="s">
        <v>244</v>
      </c>
    </row>
    <row r="171" spans="1:12" ht="18" x14ac:dyDescent="0.3">
      <c r="A171" s="132">
        <f t="shared" si="5"/>
        <v>46392</v>
      </c>
      <c r="B171" s="147" t="str">
        <f t="shared" si="4"/>
        <v>Tuesday</v>
      </c>
      <c r="C171" s="148" t="s">
        <v>244</v>
      </c>
      <c r="D171" s="148" t="s">
        <v>244</v>
      </c>
      <c r="E171" s="148" t="s">
        <v>244</v>
      </c>
      <c r="F171" s="148" t="s">
        <v>244</v>
      </c>
      <c r="G171" s="148" t="s">
        <v>244</v>
      </c>
      <c r="H171" s="148" t="s">
        <v>244</v>
      </c>
      <c r="I171" s="148" t="s">
        <v>244</v>
      </c>
      <c r="J171" s="148" t="s">
        <v>244</v>
      </c>
      <c r="K171" s="148" t="s">
        <v>244</v>
      </c>
      <c r="L171" s="148" t="s">
        <v>244</v>
      </c>
    </row>
    <row r="172" spans="1:12" ht="18" x14ac:dyDescent="0.3">
      <c r="A172" s="132">
        <f t="shared" si="5"/>
        <v>46393</v>
      </c>
      <c r="B172" s="147" t="str">
        <f t="shared" si="4"/>
        <v>Wednesday</v>
      </c>
      <c r="C172" s="148" t="s">
        <v>244</v>
      </c>
      <c r="D172" s="148" t="s">
        <v>244</v>
      </c>
      <c r="E172" s="148" t="s">
        <v>244</v>
      </c>
      <c r="F172" s="148" t="s">
        <v>244</v>
      </c>
      <c r="G172" s="148" t="s">
        <v>244</v>
      </c>
      <c r="H172" s="148" t="s">
        <v>244</v>
      </c>
      <c r="I172" s="148" t="s">
        <v>244</v>
      </c>
      <c r="J172" s="148" t="s">
        <v>244</v>
      </c>
      <c r="K172" s="148" t="s">
        <v>244</v>
      </c>
      <c r="L172" s="148" t="s">
        <v>244</v>
      </c>
    </row>
    <row r="173" spans="1:12" ht="18" x14ac:dyDescent="0.3">
      <c r="A173" s="132">
        <f t="shared" si="5"/>
        <v>46394</v>
      </c>
      <c r="B173" s="147" t="str">
        <f t="shared" si="4"/>
        <v>Thursday</v>
      </c>
      <c r="C173" s="148" t="s">
        <v>244</v>
      </c>
      <c r="D173" s="148" t="s">
        <v>244</v>
      </c>
      <c r="E173" s="148" t="s">
        <v>244</v>
      </c>
      <c r="F173" s="148" t="s">
        <v>244</v>
      </c>
      <c r="G173" s="148" t="s">
        <v>244</v>
      </c>
      <c r="H173" s="148" t="s">
        <v>244</v>
      </c>
      <c r="I173" s="148" t="s">
        <v>244</v>
      </c>
      <c r="J173" s="148" t="s">
        <v>244</v>
      </c>
      <c r="K173" s="148" t="s">
        <v>244</v>
      </c>
      <c r="L173" s="148" t="s">
        <v>244</v>
      </c>
    </row>
    <row r="174" spans="1:12" ht="18" x14ac:dyDescent="0.3">
      <c r="A174" s="132">
        <f t="shared" si="5"/>
        <v>46395</v>
      </c>
      <c r="B174" s="147" t="str">
        <f t="shared" si="4"/>
        <v>Friday</v>
      </c>
      <c r="C174" s="148" t="s">
        <v>244</v>
      </c>
      <c r="D174" s="148" t="s">
        <v>244</v>
      </c>
      <c r="E174" s="148" t="s">
        <v>244</v>
      </c>
      <c r="F174" s="148" t="s">
        <v>244</v>
      </c>
      <c r="G174" s="148" t="s">
        <v>244</v>
      </c>
      <c r="H174" s="148" t="s">
        <v>244</v>
      </c>
      <c r="I174" s="148" t="s">
        <v>244</v>
      </c>
      <c r="J174" s="148" t="s">
        <v>244</v>
      </c>
      <c r="K174" s="148" t="s">
        <v>244</v>
      </c>
      <c r="L174" s="148" t="s">
        <v>244</v>
      </c>
    </row>
    <row r="175" spans="1:12" ht="18" x14ac:dyDescent="0.3">
      <c r="A175" s="132">
        <f t="shared" si="5"/>
        <v>46396</v>
      </c>
      <c r="B175" s="147" t="str">
        <f t="shared" si="4"/>
        <v>Saturday</v>
      </c>
      <c r="C175" s="148" t="s">
        <v>244</v>
      </c>
      <c r="D175" s="148" t="s">
        <v>244</v>
      </c>
      <c r="E175" s="148" t="s">
        <v>244</v>
      </c>
      <c r="F175" s="148" t="s">
        <v>244</v>
      </c>
      <c r="G175" s="148" t="s">
        <v>244</v>
      </c>
      <c r="H175" s="148" t="s">
        <v>244</v>
      </c>
      <c r="I175" s="148" t="s">
        <v>244</v>
      </c>
      <c r="J175" s="148" t="s">
        <v>244</v>
      </c>
      <c r="K175" s="148" t="s">
        <v>244</v>
      </c>
      <c r="L175" s="148" t="s">
        <v>244</v>
      </c>
    </row>
    <row r="176" spans="1:12" ht="18" x14ac:dyDescent="0.3">
      <c r="A176" s="132">
        <f t="shared" si="5"/>
        <v>46397</v>
      </c>
      <c r="B176" s="147" t="str">
        <f t="shared" si="4"/>
        <v>Sunday</v>
      </c>
      <c r="C176" s="148" t="s">
        <v>244</v>
      </c>
      <c r="D176" s="148" t="s">
        <v>244</v>
      </c>
      <c r="E176" s="148" t="s">
        <v>244</v>
      </c>
      <c r="F176" s="148" t="s">
        <v>244</v>
      </c>
      <c r="G176" s="148" t="s">
        <v>244</v>
      </c>
      <c r="H176" s="148" t="s">
        <v>244</v>
      </c>
      <c r="I176" s="148" t="s">
        <v>244</v>
      </c>
      <c r="J176" s="148" t="s">
        <v>244</v>
      </c>
      <c r="K176" s="148" t="s">
        <v>244</v>
      </c>
      <c r="L176" s="148" t="s">
        <v>244</v>
      </c>
    </row>
    <row r="177" spans="1:12" ht="18" x14ac:dyDescent="0.3">
      <c r="A177" s="132">
        <f t="shared" si="5"/>
        <v>46398</v>
      </c>
      <c r="B177" s="147" t="str">
        <f t="shared" si="4"/>
        <v>Monday</v>
      </c>
      <c r="C177" s="148" t="s">
        <v>244</v>
      </c>
      <c r="D177" s="148" t="s">
        <v>244</v>
      </c>
      <c r="E177" s="148" t="s">
        <v>244</v>
      </c>
      <c r="F177" s="148" t="s">
        <v>244</v>
      </c>
      <c r="G177" s="148" t="s">
        <v>244</v>
      </c>
      <c r="H177" s="148" t="s">
        <v>244</v>
      </c>
      <c r="I177" s="148" t="s">
        <v>244</v>
      </c>
      <c r="J177" s="148" t="s">
        <v>244</v>
      </c>
      <c r="K177" s="148" t="s">
        <v>244</v>
      </c>
      <c r="L177" s="148" t="s">
        <v>244</v>
      </c>
    </row>
    <row r="178" spans="1:12" ht="18" x14ac:dyDescent="0.3">
      <c r="A178" s="132">
        <f t="shared" si="5"/>
        <v>46399</v>
      </c>
      <c r="B178" s="147" t="str">
        <f t="shared" si="4"/>
        <v>Tuesday</v>
      </c>
      <c r="C178" s="148" t="s">
        <v>244</v>
      </c>
      <c r="D178" s="148" t="s">
        <v>244</v>
      </c>
      <c r="E178" s="148" t="s">
        <v>244</v>
      </c>
      <c r="F178" s="148" t="s">
        <v>244</v>
      </c>
      <c r="G178" s="148" t="s">
        <v>244</v>
      </c>
      <c r="H178" s="148" t="s">
        <v>244</v>
      </c>
      <c r="I178" s="148" t="s">
        <v>244</v>
      </c>
      <c r="J178" s="148" t="s">
        <v>244</v>
      </c>
      <c r="K178" s="148" t="s">
        <v>244</v>
      </c>
      <c r="L178" s="148" t="s">
        <v>244</v>
      </c>
    </row>
    <row r="179" spans="1:12" ht="18" x14ac:dyDescent="0.3">
      <c r="A179" s="132">
        <f t="shared" si="5"/>
        <v>46400</v>
      </c>
      <c r="B179" s="147" t="str">
        <f t="shared" si="4"/>
        <v>Wednesday</v>
      </c>
      <c r="C179" s="148" t="s">
        <v>244</v>
      </c>
      <c r="D179" s="148" t="s">
        <v>244</v>
      </c>
      <c r="E179" s="148" t="s">
        <v>244</v>
      </c>
      <c r="F179" s="148" t="s">
        <v>244</v>
      </c>
      <c r="G179" s="148" t="s">
        <v>244</v>
      </c>
      <c r="H179" s="148" t="s">
        <v>244</v>
      </c>
      <c r="I179" s="148" t="s">
        <v>244</v>
      </c>
      <c r="J179" s="148" t="s">
        <v>244</v>
      </c>
      <c r="K179" s="148" t="s">
        <v>244</v>
      </c>
      <c r="L179" s="148" t="s">
        <v>244</v>
      </c>
    </row>
    <row r="180" spans="1:12" ht="18" x14ac:dyDescent="0.3">
      <c r="A180" s="132">
        <f t="shared" si="5"/>
        <v>46401</v>
      </c>
      <c r="B180" s="147" t="str">
        <f t="shared" si="4"/>
        <v>Thursday</v>
      </c>
      <c r="C180" s="148" t="s">
        <v>244</v>
      </c>
      <c r="D180" s="148" t="s">
        <v>244</v>
      </c>
      <c r="E180" s="148" t="s">
        <v>244</v>
      </c>
      <c r="F180" s="148" t="s">
        <v>244</v>
      </c>
      <c r="G180" s="148" t="s">
        <v>244</v>
      </c>
      <c r="H180" s="148" t="s">
        <v>244</v>
      </c>
      <c r="I180" s="148" t="s">
        <v>244</v>
      </c>
      <c r="J180" s="148" t="s">
        <v>244</v>
      </c>
      <c r="K180" s="148" t="s">
        <v>244</v>
      </c>
      <c r="L180" s="148" t="s">
        <v>244</v>
      </c>
    </row>
    <row r="181" spans="1:12" ht="18" x14ac:dyDescent="0.3">
      <c r="A181" s="132">
        <f t="shared" si="5"/>
        <v>46402</v>
      </c>
      <c r="B181" s="147" t="str">
        <f t="shared" si="4"/>
        <v>Friday</v>
      </c>
      <c r="C181" s="148" t="s">
        <v>244</v>
      </c>
      <c r="D181" s="148" t="s">
        <v>244</v>
      </c>
      <c r="E181" s="148" t="s">
        <v>244</v>
      </c>
      <c r="F181" s="148" t="s">
        <v>244</v>
      </c>
      <c r="G181" s="148" t="s">
        <v>244</v>
      </c>
      <c r="H181" s="148" t="s">
        <v>244</v>
      </c>
      <c r="I181" s="148" t="s">
        <v>244</v>
      </c>
      <c r="J181" s="148" t="s">
        <v>244</v>
      </c>
      <c r="K181" s="148" t="s">
        <v>244</v>
      </c>
      <c r="L181" s="148" t="s">
        <v>244</v>
      </c>
    </row>
    <row r="182" spans="1:12" ht="18" x14ac:dyDescent="0.3">
      <c r="A182" s="132">
        <f t="shared" si="5"/>
        <v>46403</v>
      </c>
      <c r="B182" s="147" t="str">
        <f t="shared" si="4"/>
        <v>Saturday</v>
      </c>
      <c r="C182" s="148" t="s">
        <v>244</v>
      </c>
      <c r="D182" s="148" t="s">
        <v>244</v>
      </c>
      <c r="E182" s="148" t="s">
        <v>244</v>
      </c>
      <c r="F182" s="148" t="s">
        <v>244</v>
      </c>
      <c r="G182" s="148" t="s">
        <v>244</v>
      </c>
      <c r="H182" s="148" t="s">
        <v>244</v>
      </c>
      <c r="I182" s="148" t="s">
        <v>244</v>
      </c>
      <c r="J182" s="148" t="s">
        <v>244</v>
      </c>
      <c r="K182" s="148" t="s">
        <v>244</v>
      </c>
      <c r="L182" s="148" t="s">
        <v>244</v>
      </c>
    </row>
    <row r="183" spans="1:12" ht="18" x14ac:dyDescent="0.3">
      <c r="A183" s="132">
        <f t="shared" si="5"/>
        <v>46404</v>
      </c>
      <c r="B183" s="147" t="str">
        <f t="shared" si="4"/>
        <v>Sunday</v>
      </c>
      <c r="C183" s="148" t="s">
        <v>244</v>
      </c>
      <c r="D183" s="148" t="s">
        <v>244</v>
      </c>
      <c r="E183" s="148" t="s">
        <v>244</v>
      </c>
      <c r="F183" s="148" t="s">
        <v>244</v>
      </c>
      <c r="G183" s="148" t="s">
        <v>244</v>
      </c>
      <c r="H183" s="148" t="s">
        <v>244</v>
      </c>
      <c r="I183" s="148" t="s">
        <v>244</v>
      </c>
      <c r="J183" s="148" t="s">
        <v>244</v>
      </c>
      <c r="K183" s="148" t="s">
        <v>244</v>
      </c>
      <c r="L183" s="148" t="s">
        <v>244</v>
      </c>
    </row>
    <row r="184" spans="1:12" ht="18" x14ac:dyDescent="0.3">
      <c r="A184" s="132">
        <f t="shared" si="5"/>
        <v>46405</v>
      </c>
      <c r="B184" s="147" t="str">
        <f t="shared" si="4"/>
        <v>Monday</v>
      </c>
      <c r="C184" s="148" t="s">
        <v>244</v>
      </c>
      <c r="D184" s="148" t="s">
        <v>244</v>
      </c>
      <c r="E184" s="148" t="s">
        <v>244</v>
      </c>
      <c r="F184" s="148" t="s">
        <v>244</v>
      </c>
      <c r="G184" s="148" t="s">
        <v>244</v>
      </c>
      <c r="H184" s="148" t="s">
        <v>244</v>
      </c>
      <c r="I184" s="148" t="s">
        <v>244</v>
      </c>
      <c r="J184" s="148" t="s">
        <v>244</v>
      </c>
      <c r="K184" s="148" t="s">
        <v>244</v>
      </c>
      <c r="L184" s="148" t="s">
        <v>244</v>
      </c>
    </row>
    <row r="185" spans="1:12" ht="18" x14ac:dyDescent="0.3">
      <c r="A185" s="132">
        <f t="shared" si="5"/>
        <v>46406</v>
      </c>
      <c r="B185" s="147" t="str">
        <f t="shared" si="4"/>
        <v>Tuesday</v>
      </c>
      <c r="C185" s="148" t="s">
        <v>244</v>
      </c>
      <c r="D185" s="148" t="s">
        <v>244</v>
      </c>
      <c r="E185" s="148" t="s">
        <v>244</v>
      </c>
      <c r="F185" s="148" t="s">
        <v>244</v>
      </c>
      <c r="G185" s="148" t="s">
        <v>244</v>
      </c>
      <c r="H185" s="148" t="s">
        <v>244</v>
      </c>
      <c r="I185" s="148" t="s">
        <v>244</v>
      </c>
      <c r="J185" s="148" t="s">
        <v>244</v>
      </c>
      <c r="K185" s="148" t="s">
        <v>244</v>
      </c>
      <c r="L185" s="148" t="s">
        <v>244</v>
      </c>
    </row>
    <row r="186" spans="1:12" ht="18" x14ac:dyDescent="0.3">
      <c r="A186" s="132">
        <f t="shared" si="5"/>
        <v>46407</v>
      </c>
      <c r="B186" s="147" t="str">
        <f t="shared" si="4"/>
        <v>Wednesday</v>
      </c>
      <c r="C186" s="148" t="s">
        <v>244</v>
      </c>
      <c r="D186" s="148" t="s">
        <v>244</v>
      </c>
      <c r="E186" s="148" t="s">
        <v>244</v>
      </c>
      <c r="F186" s="148" t="s">
        <v>244</v>
      </c>
      <c r="G186" s="148" t="s">
        <v>244</v>
      </c>
      <c r="H186" s="148" t="s">
        <v>244</v>
      </c>
      <c r="I186" s="148" t="s">
        <v>244</v>
      </c>
      <c r="J186" s="148" t="s">
        <v>244</v>
      </c>
      <c r="K186" s="148" t="s">
        <v>244</v>
      </c>
      <c r="L186" s="148" t="s">
        <v>244</v>
      </c>
    </row>
    <row r="187" spans="1:12" ht="18" x14ac:dyDescent="0.3">
      <c r="A187" s="132">
        <f t="shared" si="5"/>
        <v>46408</v>
      </c>
      <c r="B187" s="147" t="str">
        <f t="shared" si="4"/>
        <v>Thursday</v>
      </c>
      <c r="C187" s="148" t="s">
        <v>244</v>
      </c>
      <c r="D187" s="148" t="s">
        <v>244</v>
      </c>
      <c r="E187" s="148" t="s">
        <v>244</v>
      </c>
      <c r="F187" s="148" t="s">
        <v>244</v>
      </c>
      <c r="G187" s="148" t="s">
        <v>244</v>
      </c>
      <c r="H187" s="148" t="s">
        <v>244</v>
      </c>
      <c r="I187" s="148" t="s">
        <v>244</v>
      </c>
      <c r="J187" s="148" t="s">
        <v>244</v>
      </c>
      <c r="K187" s="148" t="s">
        <v>244</v>
      </c>
      <c r="L187" s="148" t="s">
        <v>244</v>
      </c>
    </row>
    <row r="188" spans="1:12" ht="18" x14ac:dyDescent="0.3">
      <c r="A188" s="132">
        <f t="shared" si="5"/>
        <v>46409</v>
      </c>
      <c r="B188" s="147" t="str">
        <f t="shared" si="4"/>
        <v>Friday</v>
      </c>
      <c r="C188" s="148" t="s">
        <v>244</v>
      </c>
      <c r="D188" s="148" t="s">
        <v>244</v>
      </c>
      <c r="E188" s="148" t="s">
        <v>244</v>
      </c>
      <c r="F188" s="148" t="s">
        <v>244</v>
      </c>
      <c r="G188" s="148" t="s">
        <v>244</v>
      </c>
      <c r="H188" s="148" t="s">
        <v>244</v>
      </c>
      <c r="I188" s="148" t="s">
        <v>244</v>
      </c>
      <c r="J188" s="148" t="s">
        <v>244</v>
      </c>
      <c r="K188" s="148" t="s">
        <v>244</v>
      </c>
      <c r="L188" s="148" t="s">
        <v>244</v>
      </c>
    </row>
    <row r="189" spans="1:12" ht="18" x14ac:dyDescent="0.3">
      <c r="A189" s="132">
        <f t="shared" si="5"/>
        <v>46410</v>
      </c>
      <c r="B189" s="147" t="str">
        <f t="shared" si="4"/>
        <v>Saturday</v>
      </c>
      <c r="C189" s="148" t="s">
        <v>244</v>
      </c>
      <c r="D189" s="148" t="s">
        <v>244</v>
      </c>
      <c r="E189" s="148" t="s">
        <v>244</v>
      </c>
      <c r="F189" s="148" t="s">
        <v>244</v>
      </c>
      <c r="G189" s="148" t="s">
        <v>244</v>
      </c>
      <c r="H189" s="148" t="s">
        <v>244</v>
      </c>
      <c r="I189" s="148" t="s">
        <v>244</v>
      </c>
      <c r="J189" s="148" t="s">
        <v>244</v>
      </c>
      <c r="K189" s="148" t="s">
        <v>244</v>
      </c>
      <c r="L189" s="148" t="s">
        <v>244</v>
      </c>
    </row>
    <row r="190" spans="1:12" ht="18" x14ac:dyDescent="0.3">
      <c r="A190" s="132">
        <f t="shared" si="5"/>
        <v>46411</v>
      </c>
      <c r="B190" s="147" t="str">
        <f t="shared" si="4"/>
        <v>Sunday</v>
      </c>
      <c r="C190" s="148" t="s">
        <v>244</v>
      </c>
      <c r="D190" s="148" t="s">
        <v>244</v>
      </c>
      <c r="E190" s="148" t="s">
        <v>244</v>
      </c>
      <c r="F190" s="148" t="s">
        <v>244</v>
      </c>
      <c r="G190" s="148" t="s">
        <v>244</v>
      </c>
      <c r="H190" s="148" t="s">
        <v>244</v>
      </c>
      <c r="I190" s="148" t="s">
        <v>244</v>
      </c>
      <c r="J190" s="148" t="s">
        <v>244</v>
      </c>
      <c r="K190" s="148" t="s">
        <v>244</v>
      </c>
      <c r="L190" s="148" t="s">
        <v>244</v>
      </c>
    </row>
    <row r="191" spans="1:12" ht="18" x14ac:dyDescent="0.3">
      <c r="A191" s="132">
        <f t="shared" si="5"/>
        <v>46412</v>
      </c>
      <c r="B191" s="147" t="str">
        <f t="shared" si="4"/>
        <v>Monday</v>
      </c>
      <c r="C191" s="148" t="s">
        <v>244</v>
      </c>
      <c r="D191" s="148" t="s">
        <v>244</v>
      </c>
      <c r="E191" s="148" t="s">
        <v>244</v>
      </c>
      <c r="F191" s="148" t="s">
        <v>244</v>
      </c>
      <c r="G191" s="148" t="s">
        <v>244</v>
      </c>
      <c r="H191" s="148" t="s">
        <v>244</v>
      </c>
      <c r="I191" s="148" t="s">
        <v>244</v>
      </c>
      <c r="J191" s="148" t="s">
        <v>244</v>
      </c>
      <c r="K191" s="148" t="s">
        <v>244</v>
      </c>
      <c r="L191" s="148" t="s">
        <v>244</v>
      </c>
    </row>
    <row r="192" spans="1:12" ht="18" x14ac:dyDescent="0.3">
      <c r="A192" s="132">
        <f t="shared" si="5"/>
        <v>46413</v>
      </c>
      <c r="B192" s="147" t="str">
        <f t="shared" si="4"/>
        <v>Tuesday</v>
      </c>
      <c r="C192" s="148" t="s">
        <v>244</v>
      </c>
      <c r="D192" s="148" t="s">
        <v>244</v>
      </c>
      <c r="E192" s="148" t="s">
        <v>244</v>
      </c>
      <c r="F192" s="148" t="s">
        <v>244</v>
      </c>
      <c r="G192" s="148" t="s">
        <v>244</v>
      </c>
      <c r="H192" s="148" t="s">
        <v>244</v>
      </c>
      <c r="I192" s="148" t="s">
        <v>244</v>
      </c>
      <c r="J192" s="148" t="s">
        <v>244</v>
      </c>
      <c r="K192" s="148" t="s">
        <v>244</v>
      </c>
      <c r="L192" s="148" t="s">
        <v>244</v>
      </c>
    </row>
    <row r="193" spans="1:12" ht="18" x14ac:dyDescent="0.3">
      <c r="A193" s="132">
        <f t="shared" si="5"/>
        <v>46414</v>
      </c>
      <c r="B193" s="147" t="str">
        <f t="shared" si="4"/>
        <v>Wednesday</v>
      </c>
      <c r="C193" s="148" t="s">
        <v>244</v>
      </c>
      <c r="D193" s="148" t="s">
        <v>244</v>
      </c>
      <c r="E193" s="148" t="s">
        <v>244</v>
      </c>
      <c r="F193" s="148" t="s">
        <v>244</v>
      </c>
      <c r="G193" s="148" t="s">
        <v>244</v>
      </c>
      <c r="H193" s="148" t="s">
        <v>244</v>
      </c>
      <c r="I193" s="148" t="s">
        <v>244</v>
      </c>
      <c r="J193" s="148" t="s">
        <v>244</v>
      </c>
      <c r="K193" s="148" t="s">
        <v>244</v>
      </c>
      <c r="L193" s="148" t="s">
        <v>244</v>
      </c>
    </row>
    <row r="194" spans="1:12" ht="18" x14ac:dyDescent="0.3">
      <c r="A194" s="132">
        <f t="shared" si="5"/>
        <v>46415</v>
      </c>
      <c r="B194" s="147" t="str">
        <f t="shared" ref="B194:B257" si="6">CHOOSE(WEEKDAY(A194,2),"Monday","Tuesday","Wednesday","Thursday","Friday","Saturday","Sunday")</f>
        <v>Thursday</v>
      </c>
      <c r="C194" s="148" t="s">
        <v>244</v>
      </c>
      <c r="D194" s="148" t="s">
        <v>244</v>
      </c>
      <c r="E194" s="148" t="s">
        <v>244</v>
      </c>
      <c r="F194" s="148" t="s">
        <v>244</v>
      </c>
      <c r="G194" s="148" t="s">
        <v>244</v>
      </c>
      <c r="H194" s="148" t="s">
        <v>244</v>
      </c>
      <c r="I194" s="148" t="s">
        <v>244</v>
      </c>
      <c r="J194" s="148" t="s">
        <v>244</v>
      </c>
      <c r="K194" s="148" t="s">
        <v>244</v>
      </c>
      <c r="L194" s="148" t="s">
        <v>244</v>
      </c>
    </row>
    <row r="195" spans="1:12" ht="18" x14ac:dyDescent="0.3">
      <c r="A195" s="132">
        <f t="shared" si="5"/>
        <v>46416</v>
      </c>
      <c r="B195" s="147" t="str">
        <f t="shared" si="6"/>
        <v>Friday</v>
      </c>
      <c r="C195" s="148" t="s">
        <v>244</v>
      </c>
      <c r="D195" s="148" t="s">
        <v>244</v>
      </c>
      <c r="E195" s="148" t="s">
        <v>244</v>
      </c>
      <c r="F195" s="148" t="s">
        <v>244</v>
      </c>
      <c r="G195" s="148" t="s">
        <v>244</v>
      </c>
      <c r="H195" s="148" t="s">
        <v>244</v>
      </c>
      <c r="I195" s="148" t="s">
        <v>244</v>
      </c>
      <c r="J195" s="148" t="s">
        <v>244</v>
      </c>
      <c r="K195" s="148" t="s">
        <v>244</v>
      </c>
      <c r="L195" s="148" t="s">
        <v>244</v>
      </c>
    </row>
    <row r="196" spans="1:12" ht="18" x14ac:dyDescent="0.3">
      <c r="A196" s="132">
        <f t="shared" ref="A196:A259" si="7">A195+1</f>
        <v>46417</v>
      </c>
      <c r="B196" s="147" t="str">
        <f t="shared" si="6"/>
        <v>Saturday</v>
      </c>
      <c r="C196" s="148" t="s">
        <v>244</v>
      </c>
      <c r="D196" s="148" t="s">
        <v>244</v>
      </c>
      <c r="E196" s="148" t="s">
        <v>244</v>
      </c>
      <c r="F196" s="148" t="s">
        <v>244</v>
      </c>
      <c r="G196" s="148" t="s">
        <v>244</v>
      </c>
      <c r="H196" s="148" t="s">
        <v>244</v>
      </c>
      <c r="I196" s="148" t="s">
        <v>244</v>
      </c>
      <c r="J196" s="148" t="s">
        <v>244</v>
      </c>
      <c r="K196" s="148" t="s">
        <v>244</v>
      </c>
      <c r="L196" s="148" t="s">
        <v>244</v>
      </c>
    </row>
    <row r="197" spans="1:12" ht="18" x14ac:dyDescent="0.3">
      <c r="A197" s="132">
        <f t="shared" si="7"/>
        <v>46418</v>
      </c>
      <c r="B197" s="147" t="str">
        <f t="shared" si="6"/>
        <v>Sunday</v>
      </c>
      <c r="C197" s="148" t="s">
        <v>244</v>
      </c>
      <c r="D197" s="148" t="s">
        <v>244</v>
      </c>
      <c r="E197" s="148" t="s">
        <v>244</v>
      </c>
      <c r="F197" s="148" t="s">
        <v>244</v>
      </c>
      <c r="G197" s="148" t="s">
        <v>244</v>
      </c>
      <c r="H197" s="148" t="s">
        <v>244</v>
      </c>
      <c r="I197" s="148" t="s">
        <v>244</v>
      </c>
      <c r="J197" s="148" t="s">
        <v>244</v>
      </c>
      <c r="K197" s="148" t="s">
        <v>244</v>
      </c>
      <c r="L197" s="148" t="s">
        <v>244</v>
      </c>
    </row>
    <row r="198" spans="1:12" ht="18" x14ac:dyDescent="0.3">
      <c r="A198" s="132">
        <f t="shared" si="7"/>
        <v>46419</v>
      </c>
      <c r="B198" s="147" t="str">
        <f t="shared" si="6"/>
        <v>Monday</v>
      </c>
      <c r="C198" s="148" t="s">
        <v>244</v>
      </c>
      <c r="D198" s="148" t="s">
        <v>244</v>
      </c>
      <c r="E198" s="148" t="s">
        <v>244</v>
      </c>
      <c r="F198" s="148" t="s">
        <v>244</v>
      </c>
      <c r="G198" s="148" t="s">
        <v>244</v>
      </c>
      <c r="H198" s="148" t="s">
        <v>244</v>
      </c>
      <c r="I198" s="148" t="s">
        <v>244</v>
      </c>
      <c r="J198" s="148" t="s">
        <v>244</v>
      </c>
      <c r="K198" s="148" t="s">
        <v>244</v>
      </c>
      <c r="L198" s="148" t="s">
        <v>244</v>
      </c>
    </row>
    <row r="199" spans="1:12" ht="18" x14ac:dyDescent="0.3">
      <c r="A199" s="132">
        <f t="shared" si="7"/>
        <v>46420</v>
      </c>
      <c r="B199" s="147" t="str">
        <f t="shared" si="6"/>
        <v>Tuesday</v>
      </c>
      <c r="C199" s="148" t="s">
        <v>244</v>
      </c>
      <c r="D199" s="148" t="s">
        <v>244</v>
      </c>
      <c r="E199" s="148" t="s">
        <v>244</v>
      </c>
      <c r="F199" s="148" t="s">
        <v>244</v>
      </c>
      <c r="G199" s="148" t="s">
        <v>244</v>
      </c>
      <c r="H199" s="148" t="s">
        <v>244</v>
      </c>
      <c r="I199" s="148" t="s">
        <v>244</v>
      </c>
      <c r="J199" s="148" t="s">
        <v>244</v>
      </c>
      <c r="K199" s="148" t="s">
        <v>244</v>
      </c>
      <c r="L199" s="148" t="s">
        <v>244</v>
      </c>
    </row>
    <row r="200" spans="1:12" ht="18" x14ac:dyDescent="0.3">
      <c r="A200" s="132">
        <f t="shared" si="7"/>
        <v>46421</v>
      </c>
      <c r="B200" s="147" t="str">
        <f t="shared" si="6"/>
        <v>Wednesday</v>
      </c>
      <c r="C200" s="148" t="s">
        <v>244</v>
      </c>
      <c r="D200" s="148" t="s">
        <v>244</v>
      </c>
      <c r="E200" s="148" t="s">
        <v>244</v>
      </c>
      <c r="F200" s="148" t="s">
        <v>244</v>
      </c>
      <c r="G200" s="148" t="s">
        <v>244</v>
      </c>
      <c r="H200" s="148" t="s">
        <v>244</v>
      </c>
      <c r="I200" s="148" t="s">
        <v>244</v>
      </c>
      <c r="J200" s="148" t="s">
        <v>244</v>
      </c>
      <c r="K200" s="148" t="s">
        <v>244</v>
      </c>
      <c r="L200" s="148" t="s">
        <v>244</v>
      </c>
    </row>
    <row r="201" spans="1:12" ht="18" x14ac:dyDescent="0.3">
      <c r="A201" s="132">
        <f t="shared" si="7"/>
        <v>46422</v>
      </c>
      <c r="B201" s="147" t="str">
        <f t="shared" si="6"/>
        <v>Thursday</v>
      </c>
      <c r="C201" s="148" t="s">
        <v>244</v>
      </c>
      <c r="D201" s="148" t="s">
        <v>244</v>
      </c>
      <c r="E201" s="148" t="s">
        <v>244</v>
      </c>
      <c r="F201" s="148" t="s">
        <v>244</v>
      </c>
      <c r="G201" s="148" t="s">
        <v>244</v>
      </c>
      <c r="H201" s="148" t="s">
        <v>244</v>
      </c>
      <c r="I201" s="148" t="s">
        <v>244</v>
      </c>
      <c r="J201" s="148" t="s">
        <v>244</v>
      </c>
      <c r="K201" s="148" t="s">
        <v>244</v>
      </c>
      <c r="L201" s="148" t="s">
        <v>244</v>
      </c>
    </row>
    <row r="202" spans="1:12" ht="18" x14ac:dyDescent="0.3">
      <c r="A202" s="132">
        <f t="shared" si="7"/>
        <v>46423</v>
      </c>
      <c r="B202" s="147" t="str">
        <f t="shared" si="6"/>
        <v>Friday</v>
      </c>
      <c r="C202" s="148" t="s">
        <v>244</v>
      </c>
      <c r="D202" s="148" t="s">
        <v>244</v>
      </c>
      <c r="E202" s="148" t="s">
        <v>244</v>
      </c>
      <c r="F202" s="148" t="s">
        <v>244</v>
      </c>
      <c r="G202" s="148" t="s">
        <v>244</v>
      </c>
      <c r="H202" s="148" t="s">
        <v>244</v>
      </c>
      <c r="I202" s="148" t="s">
        <v>244</v>
      </c>
      <c r="J202" s="148" t="s">
        <v>244</v>
      </c>
      <c r="K202" s="148" t="s">
        <v>244</v>
      </c>
      <c r="L202" s="148" t="s">
        <v>244</v>
      </c>
    </row>
    <row r="203" spans="1:12" ht="18" x14ac:dyDescent="0.3">
      <c r="A203" s="132">
        <f t="shared" si="7"/>
        <v>46424</v>
      </c>
      <c r="B203" s="147" t="str">
        <f t="shared" si="6"/>
        <v>Saturday</v>
      </c>
      <c r="C203" s="148" t="s">
        <v>244</v>
      </c>
      <c r="D203" s="148" t="s">
        <v>244</v>
      </c>
      <c r="E203" s="148" t="s">
        <v>244</v>
      </c>
      <c r="F203" s="148" t="s">
        <v>244</v>
      </c>
      <c r="G203" s="148" t="s">
        <v>244</v>
      </c>
      <c r="H203" s="148" t="s">
        <v>244</v>
      </c>
      <c r="I203" s="148" t="s">
        <v>244</v>
      </c>
      <c r="J203" s="148" t="s">
        <v>244</v>
      </c>
      <c r="K203" s="148" t="s">
        <v>244</v>
      </c>
      <c r="L203" s="148" t="s">
        <v>244</v>
      </c>
    </row>
    <row r="204" spans="1:12" ht="18" x14ac:dyDescent="0.3">
      <c r="A204" s="132">
        <f t="shared" si="7"/>
        <v>46425</v>
      </c>
      <c r="B204" s="147" t="str">
        <f t="shared" si="6"/>
        <v>Sunday</v>
      </c>
      <c r="C204" s="148" t="s">
        <v>244</v>
      </c>
      <c r="D204" s="148" t="s">
        <v>244</v>
      </c>
      <c r="E204" s="148" t="s">
        <v>244</v>
      </c>
      <c r="F204" s="148" t="s">
        <v>244</v>
      </c>
      <c r="G204" s="148" t="s">
        <v>244</v>
      </c>
      <c r="H204" s="148" t="s">
        <v>244</v>
      </c>
      <c r="I204" s="148" t="s">
        <v>244</v>
      </c>
      <c r="J204" s="148" t="s">
        <v>244</v>
      </c>
      <c r="K204" s="148" t="s">
        <v>244</v>
      </c>
      <c r="L204" s="148" t="s">
        <v>244</v>
      </c>
    </row>
    <row r="205" spans="1:12" ht="18" x14ac:dyDescent="0.3">
      <c r="A205" s="132">
        <f t="shared" si="7"/>
        <v>46426</v>
      </c>
      <c r="B205" s="147" t="str">
        <f t="shared" si="6"/>
        <v>Monday</v>
      </c>
      <c r="C205" s="148" t="s">
        <v>244</v>
      </c>
      <c r="D205" s="148" t="s">
        <v>244</v>
      </c>
      <c r="E205" s="148" t="s">
        <v>244</v>
      </c>
      <c r="F205" s="148" t="s">
        <v>244</v>
      </c>
      <c r="G205" s="148" t="s">
        <v>244</v>
      </c>
      <c r="H205" s="148" t="s">
        <v>244</v>
      </c>
      <c r="I205" s="148" t="s">
        <v>244</v>
      </c>
      <c r="J205" s="148" t="s">
        <v>244</v>
      </c>
      <c r="K205" s="148" t="s">
        <v>244</v>
      </c>
      <c r="L205" s="148" t="s">
        <v>244</v>
      </c>
    </row>
    <row r="206" spans="1:12" ht="18" x14ac:dyDescent="0.3">
      <c r="A206" s="132">
        <f t="shared" si="7"/>
        <v>46427</v>
      </c>
      <c r="B206" s="147" t="str">
        <f t="shared" si="6"/>
        <v>Tuesday</v>
      </c>
      <c r="C206" s="148" t="s">
        <v>244</v>
      </c>
      <c r="D206" s="148" t="s">
        <v>244</v>
      </c>
      <c r="E206" s="148" t="s">
        <v>244</v>
      </c>
      <c r="F206" s="148" t="s">
        <v>244</v>
      </c>
      <c r="G206" s="148" t="s">
        <v>244</v>
      </c>
      <c r="H206" s="148" t="s">
        <v>244</v>
      </c>
      <c r="I206" s="148" t="s">
        <v>244</v>
      </c>
      <c r="J206" s="148" t="s">
        <v>244</v>
      </c>
      <c r="K206" s="148" t="s">
        <v>244</v>
      </c>
      <c r="L206" s="148" t="s">
        <v>244</v>
      </c>
    </row>
    <row r="207" spans="1:12" ht="18" x14ac:dyDescent="0.3">
      <c r="A207" s="132">
        <f t="shared" si="7"/>
        <v>46428</v>
      </c>
      <c r="B207" s="147" t="str">
        <f t="shared" si="6"/>
        <v>Wednesday</v>
      </c>
      <c r="C207" s="148" t="s">
        <v>244</v>
      </c>
      <c r="D207" s="148" t="s">
        <v>244</v>
      </c>
      <c r="E207" s="148" t="s">
        <v>244</v>
      </c>
      <c r="F207" s="148" t="s">
        <v>244</v>
      </c>
      <c r="G207" s="148" t="s">
        <v>244</v>
      </c>
      <c r="H207" s="148" t="s">
        <v>244</v>
      </c>
      <c r="I207" s="148" t="s">
        <v>244</v>
      </c>
      <c r="J207" s="148" t="s">
        <v>244</v>
      </c>
      <c r="K207" s="148" t="s">
        <v>244</v>
      </c>
      <c r="L207" s="148" t="s">
        <v>244</v>
      </c>
    </row>
    <row r="208" spans="1:12" ht="18" x14ac:dyDescent="0.3">
      <c r="A208" s="132">
        <f t="shared" si="7"/>
        <v>46429</v>
      </c>
      <c r="B208" s="147" t="str">
        <f t="shared" si="6"/>
        <v>Thursday</v>
      </c>
      <c r="C208" s="148" t="s">
        <v>244</v>
      </c>
      <c r="D208" s="148" t="s">
        <v>244</v>
      </c>
      <c r="E208" s="148" t="s">
        <v>244</v>
      </c>
      <c r="F208" s="148" t="s">
        <v>244</v>
      </c>
      <c r="G208" s="148" t="s">
        <v>244</v>
      </c>
      <c r="H208" s="148" t="s">
        <v>244</v>
      </c>
      <c r="I208" s="148" t="s">
        <v>244</v>
      </c>
      <c r="J208" s="148" t="s">
        <v>244</v>
      </c>
      <c r="K208" s="148" t="s">
        <v>244</v>
      </c>
      <c r="L208" s="148" t="s">
        <v>244</v>
      </c>
    </row>
    <row r="209" spans="1:12" ht="18" x14ac:dyDescent="0.3">
      <c r="A209" s="132">
        <f t="shared" si="7"/>
        <v>46430</v>
      </c>
      <c r="B209" s="147" t="str">
        <f t="shared" si="6"/>
        <v>Friday</v>
      </c>
      <c r="C209" s="148" t="s">
        <v>244</v>
      </c>
      <c r="D209" s="148" t="s">
        <v>244</v>
      </c>
      <c r="E209" s="148" t="s">
        <v>244</v>
      </c>
      <c r="F209" s="148" t="s">
        <v>244</v>
      </c>
      <c r="G209" s="148" t="s">
        <v>244</v>
      </c>
      <c r="H209" s="148" t="s">
        <v>244</v>
      </c>
      <c r="I209" s="148" t="s">
        <v>244</v>
      </c>
      <c r="J209" s="148" t="s">
        <v>244</v>
      </c>
      <c r="K209" s="148" t="s">
        <v>244</v>
      </c>
      <c r="L209" s="148" t="s">
        <v>244</v>
      </c>
    </row>
    <row r="210" spans="1:12" ht="18" x14ac:dyDescent="0.3">
      <c r="A210" s="132">
        <f t="shared" si="7"/>
        <v>46431</v>
      </c>
      <c r="B210" s="147" t="str">
        <f t="shared" si="6"/>
        <v>Saturday</v>
      </c>
      <c r="C210" s="148" t="s">
        <v>244</v>
      </c>
      <c r="D210" s="148" t="s">
        <v>244</v>
      </c>
      <c r="E210" s="148" t="s">
        <v>244</v>
      </c>
      <c r="F210" s="148" t="s">
        <v>244</v>
      </c>
      <c r="G210" s="148" t="s">
        <v>244</v>
      </c>
      <c r="H210" s="148" t="s">
        <v>244</v>
      </c>
      <c r="I210" s="148" t="s">
        <v>244</v>
      </c>
      <c r="J210" s="148" t="s">
        <v>244</v>
      </c>
      <c r="K210" s="148" t="s">
        <v>244</v>
      </c>
      <c r="L210" s="148" t="s">
        <v>244</v>
      </c>
    </row>
    <row r="211" spans="1:12" ht="18" x14ac:dyDescent="0.3">
      <c r="A211" s="132">
        <f t="shared" si="7"/>
        <v>46432</v>
      </c>
      <c r="B211" s="147" t="str">
        <f t="shared" si="6"/>
        <v>Sunday</v>
      </c>
      <c r="C211" s="148" t="s">
        <v>244</v>
      </c>
      <c r="D211" s="148" t="s">
        <v>244</v>
      </c>
      <c r="E211" s="148" t="s">
        <v>244</v>
      </c>
      <c r="F211" s="148" t="s">
        <v>244</v>
      </c>
      <c r="G211" s="148" t="s">
        <v>244</v>
      </c>
      <c r="H211" s="148" t="s">
        <v>244</v>
      </c>
      <c r="I211" s="148" t="s">
        <v>244</v>
      </c>
      <c r="J211" s="148" t="s">
        <v>244</v>
      </c>
      <c r="K211" s="148" t="s">
        <v>244</v>
      </c>
      <c r="L211" s="148" t="s">
        <v>244</v>
      </c>
    </row>
    <row r="212" spans="1:12" ht="18" x14ac:dyDescent="0.3">
      <c r="A212" s="132">
        <f t="shared" si="7"/>
        <v>46433</v>
      </c>
      <c r="B212" s="147" t="str">
        <f t="shared" si="6"/>
        <v>Monday</v>
      </c>
      <c r="C212" s="148" t="s">
        <v>244</v>
      </c>
      <c r="D212" s="148" t="s">
        <v>244</v>
      </c>
      <c r="E212" s="148" t="s">
        <v>244</v>
      </c>
      <c r="F212" s="148" t="s">
        <v>244</v>
      </c>
      <c r="G212" s="148" t="s">
        <v>244</v>
      </c>
      <c r="H212" s="148" t="s">
        <v>244</v>
      </c>
      <c r="I212" s="148" t="s">
        <v>244</v>
      </c>
      <c r="J212" s="148" t="s">
        <v>244</v>
      </c>
      <c r="K212" s="148" t="s">
        <v>244</v>
      </c>
      <c r="L212" s="148" t="s">
        <v>244</v>
      </c>
    </row>
    <row r="213" spans="1:12" ht="18" x14ac:dyDescent="0.3">
      <c r="A213" s="132">
        <f t="shared" si="7"/>
        <v>46434</v>
      </c>
      <c r="B213" s="147" t="str">
        <f t="shared" si="6"/>
        <v>Tuesday</v>
      </c>
      <c r="C213" s="148" t="s">
        <v>244</v>
      </c>
      <c r="D213" s="148" t="s">
        <v>244</v>
      </c>
      <c r="E213" s="148" t="s">
        <v>244</v>
      </c>
      <c r="F213" s="148" t="s">
        <v>244</v>
      </c>
      <c r="G213" s="148" t="s">
        <v>244</v>
      </c>
      <c r="H213" s="148" t="s">
        <v>244</v>
      </c>
      <c r="I213" s="148" t="s">
        <v>244</v>
      </c>
      <c r="J213" s="148" t="s">
        <v>244</v>
      </c>
      <c r="K213" s="148" t="s">
        <v>244</v>
      </c>
      <c r="L213" s="148" t="s">
        <v>244</v>
      </c>
    </row>
    <row r="214" spans="1:12" ht="18" x14ac:dyDescent="0.3">
      <c r="A214" s="132">
        <f t="shared" si="7"/>
        <v>46435</v>
      </c>
      <c r="B214" s="147" t="str">
        <f t="shared" si="6"/>
        <v>Wednesday</v>
      </c>
      <c r="C214" s="148" t="s">
        <v>244</v>
      </c>
      <c r="D214" s="148" t="s">
        <v>244</v>
      </c>
      <c r="E214" s="148" t="s">
        <v>244</v>
      </c>
      <c r="F214" s="148" t="s">
        <v>244</v>
      </c>
      <c r="G214" s="148" t="s">
        <v>244</v>
      </c>
      <c r="H214" s="148" t="s">
        <v>244</v>
      </c>
      <c r="I214" s="148" t="s">
        <v>244</v>
      </c>
      <c r="J214" s="148" t="s">
        <v>244</v>
      </c>
      <c r="K214" s="148" t="s">
        <v>244</v>
      </c>
      <c r="L214" s="148" t="s">
        <v>244</v>
      </c>
    </row>
    <row r="215" spans="1:12" ht="18" x14ac:dyDescent="0.3">
      <c r="A215" s="132">
        <f t="shared" si="7"/>
        <v>46436</v>
      </c>
      <c r="B215" s="147" t="str">
        <f t="shared" si="6"/>
        <v>Thursday</v>
      </c>
      <c r="C215" s="148" t="s">
        <v>244</v>
      </c>
      <c r="D215" s="148" t="s">
        <v>244</v>
      </c>
      <c r="E215" s="148" t="s">
        <v>244</v>
      </c>
      <c r="F215" s="148" t="s">
        <v>244</v>
      </c>
      <c r="G215" s="148" t="s">
        <v>244</v>
      </c>
      <c r="H215" s="148" t="s">
        <v>244</v>
      </c>
      <c r="I215" s="148" t="s">
        <v>244</v>
      </c>
      <c r="J215" s="148" t="s">
        <v>244</v>
      </c>
      <c r="K215" s="148" t="s">
        <v>244</v>
      </c>
      <c r="L215" s="148" t="s">
        <v>244</v>
      </c>
    </row>
    <row r="216" spans="1:12" ht="18" x14ac:dyDescent="0.3">
      <c r="A216" s="132">
        <f t="shared" si="7"/>
        <v>46437</v>
      </c>
      <c r="B216" s="147" t="str">
        <f t="shared" si="6"/>
        <v>Friday</v>
      </c>
      <c r="C216" s="148" t="s">
        <v>244</v>
      </c>
      <c r="D216" s="148" t="s">
        <v>244</v>
      </c>
      <c r="E216" s="148" t="s">
        <v>244</v>
      </c>
      <c r="F216" s="148" t="s">
        <v>244</v>
      </c>
      <c r="G216" s="148" t="s">
        <v>244</v>
      </c>
      <c r="H216" s="148" t="s">
        <v>244</v>
      </c>
      <c r="I216" s="148" t="s">
        <v>244</v>
      </c>
      <c r="J216" s="148" t="s">
        <v>244</v>
      </c>
      <c r="K216" s="148" t="s">
        <v>244</v>
      </c>
      <c r="L216" s="148" t="s">
        <v>244</v>
      </c>
    </row>
    <row r="217" spans="1:12" ht="18" x14ac:dyDescent="0.3">
      <c r="A217" s="132">
        <f t="shared" si="7"/>
        <v>46438</v>
      </c>
      <c r="B217" s="147" t="str">
        <f t="shared" si="6"/>
        <v>Saturday</v>
      </c>
      <c r="C217" s="148" t="s">
        <v>244</v>
      </c>
      <c r="D217" s="148" t="s">
        <v>244</v>
      </c>
      <c r="E217" s="148" t="s">
        <v>244</v>
      </c>
      <c r="F217" s="148" t="s">
        <v>244</v>
      </c>
      <c r="G217" s="148" t="s">
        <v>244</v>
      </c>
      <c r="H217" s="148" t="s">
        <v>244</v>
      </c>
      <c r="I217" s="148" t="s">
        <v>244</v>
      </c>
      <c r="J217" s="148" t="s">
        <v>244</v>
      </c>
      <c r="K217" s="148" t="s">
        <v>244</v>
      </c>
      <c r="L217" s="148" t="s">
        <v>244</v>
      </c>
    </row>
    <row r="218" spans="1:12" ht="18" x14ac:dyDescent="0.3">
      <c r="A218" s="132">
        <f t="shared" si="7"/>
        <v>46439</v>
      </c>
      <c r="B218" s="147" t="str">
        <f t="shared" si="6"/>
        <v>Sunday</v>
      </c>
      <c r="C218" s="148" t="s">
        <v>244</v>
      </c>
      <c r="D218" s="148" t="s">
        <v>244</v>
      </c>
      <c r="E218" s="148" t="s">
        <v>244</v>
      </c>
      <c r="F218" s="148" t="s">
        <v>244</v>
      </c>
      <c r="G218" s="148" t="s">
        <v>244</v>
      </c>
      <c r="H218" s="148" t="s">
        <v>244</v>
      </c>
      <c r="I218" s="148" t="s">
        <v>244</v>
      </c>
      <c r="J218" s="148" t="s">
        <v>244</v>
      </c>
      <c r="K218" s="148" t="s">
        <v>244</v>
      </c>
      <c r="L218" s="148" t="s">
        <v>244</v>
      </c>
    </row>
    <row r="219" spans="1:12" ht="18" x14ac:dyDescent="0.3">
      <c r="A219" s="132">
        <f t="shared" si="7"/>
        <v>46440</v>
      </c>
      <c r="B219" s="147" t="str">
        <f t="shared" si="6"/>
        <v>Monday</v>
      </c>
      <c r="C219" s="148" t="s">
        <v>244</v>
      </c>
      <c r="D219" s="148" t="s">
        <v>244</v>
      </c>
      <c r="E219" s="148" t="s">
        <v>244</v>
      </c>
      <c r="F219" s="148" t="s">
        <v>244</v>
      </c>
      <c r="G219" s="148" t="s">
        <v>244</v>
      </c>
      <c r="H219" s="148" t="s">
        <v>244</v>
      </c>
      <c r="I219" s="148" t="s">
        <v>244</v>
      </c>
      <c r="J219" s="148" t="s">
        <v>244</v>
      </c>
      <c r="K219" s="148" t="s">
        <v>244</v>
      </c>
      <c r="L219" s="148" t="s">
        <v>244</v>
      </c>
    </row>
    <row r="220" spans="1:12" ht="18" x14ac:dyDescent="0.3">
      <c r="A220" s="132">
        <f t="shared" si="7"/>
        <v>46441</v>
      </c>
      <c r="B220" s="147" t="str">
        <f t="shared" si="6"/>
        <v>Tuesday</v>
      </c>
      <c r="C220" s="148" t="s">
        <v>244</v>
      </c>
      <c r="D220" s="148" t="s">
        <v>244</v>
      </c>
      <c r="E220" s="148" t="s">
        <v>244</v>
      </c>
      <c r="F220" s="148" t="s">
        <v>244</v>
      </c>
      <c r="G220" s="148" t="s">
        <v>244</v>
      </c>
      <c r="H220" s="148" t="s">
        <v>244</v>
      </c>
      <c r="I220" s="148" t="s">
        <v>244</v>
      </c>
      <c r="J220" s="148" t="s">
        <v>244</v>
      </c>
      <c r="K220" s="148" t="s">
        <v>244</v>
      </c>
      <c r="L220" s="148" t="s">
        <v>244</v>
      </c>
    </row>
    <row r="221" spans="1:12" ht="18" x14ac:dyDescent="0.3">
      <c r="A221" s="132">
        <f t="shared" si="7"/>
        <v>46442</v>
      </c>
      <c r="B221" s="147" t="str">
        <f t="shared" si="6"/>
        <v>Wednesday</v>
      </c>
      <c r="C221" s="148" t="s">
        <v>244</v>
      </c>
      <c r="D221" s="148" t="s">
        <v>244</v>
      </c>
      <c r="E221" s="148" t="s">
        <v>244</v>
      </c>
      <c r="F221" s="148" t="s">
        <v>244</v>
      </c>
      <c r="G221" s="148" t="s">
        <v>244</v>
      </c>
      <c r="H221" s="148" t="s">
        <v>244</v>
      </c>
      <c r="I221" s="148" t="s">
        <v>244</v>
      </c>
      <c r="J221" s="148" t="s">
        <v>244</v>
      </c>
      <c r="K221" s="148" t="s">
        <v>244</v>
      </c>
      <c r="L221" s="148" t="s">
        <v>244</v>
      </c>
    </row>
    <row r="222" spans="1:12" ht="18" x14ac:dyDescent="0.3">
      <c r="A222" s="132">
        <f t="shared" si="7"/>
        <v>46443</v>
      </c>
      <c r="B222" s="147" t="str">
        <f t="shared" si="6"/>
        <v>Thursday</v>
      </c>
      <c r="C222" s="148" t="s">
        <v>244</v>
      </c>
      <c r="D222" s="148" t="s">
        <v>244</v>
      </c>
      <c r="E222" s="148" t="s">
        <v>244</v>
      </c>
      <c r="F222" s="148" t="s">
        <v>244</v>
      </c>
      <c r="G222" s="148" t="s">
        <v>244</v>
      </c>
      <c r="H222" s="148" t="s">
        <v>244</v>
      </c>
      <c r="I222" s="148" t="s">
        <v>244</v>
      </c>
      <c r="J222" s="148" t="s">
        <v>244</v>
      </c>
      <c r="K222" s="148" t="s">
        <v>244</v>
      </c>
      <c r="L222" s="148" t="s">
        <v>244</v>
      </c>
    </row>
    <row r="223" spans="1:12" ht="18" x14ac:dyDescent="0.3">
      <c r="A223" s="132">
        <f t="shared" si="7"/>
        <v>46444</v>
      </c>
      <c r="B223" s="147" t="str">
        <f t="shared" si="6"/>
        <v>Friday</v>
      </c>
      <c r="C223" s="148" t="s">
        <v>244</v>
      </c>
      <c r="D223" s="148" t="s">
        <v>244</v>
      </c>
      <c r="E223" s="148" t="s">
        <v>244</v>
      </c>
      <c r="F223" s="148" t="s">
        <v>244</v>
      </c>
      <c r="G223" s="148" t="s">
        <v>244</v>
      </c>
      <c r="H223" s="148" t="s">
        <v>244</v>
      </c>
      <c r="I223" s="148" t="s">
        <v>244</v>
      </c>
      <c r="J223" s="148" t="s">
        <v>244</v>
      </c>
      <c r="K223" s="148" t="s">
        <v>244</v>
      </c>
      <c r="L223" s="148" t="s">
        <v>244</v>
      </c>
    </row>
    <row r="224" spans="1:12" ht="18" x14ac:dyDescent="0.3">
      <c r="A224" s="132">
        <f t="shared" si="7"/>
        <v>46445</v>
      </c>
      <c r="B224" s="147" t="str">
        <f t="shared" si="6"/>
        <v>Saturday</v>
      </c>
      <c r="C224" s="148" t="s">
        <v>244</v>
      </c>
      <c r="D224" s="148" t="s">
        <v>244</v>
      </c>
      <c r="E224" s="148" t="s">
        <v>244</v>
      </c>
      <c r="F224" s="148" t="s">
        <v>244</v>
      </c>
      <c r="G224" s="148" t="s">
        <v>244</v>
      </c>
      <c r="H224" s="148" t="s">
        <v>244</v>
      </c>
      <c r="I224" s="148" t="s">
        <v>244</v>
      </c>
      <c r="J224" s="148" t="s">
        <v>244</v>
      </c>
      <c r="K224" s="148" t="s">
        <v>244</v>
      </c>
      <c r="L224" s="148" t="s">
        <v>244</v>
      </c>
    </row>
    <row r="225" spans="1:12" ht="18" x14ac:dyDescent="0.3">
      <c r="A225" s="132">
        <f t="shared" si="7"/>
        <v>46446</v>
      </c>
      <c r="B225" s="147" t="str">
        <f t="shared" si="6"/>
        <v>Sunday</v>
      </c>
      <c r="C225" s="148" t="s">
        <v>244</v>
      </c>
      <c r="D225" s="148" t="s">
        <v>244</v>
      </c>
      <c r="E225" s="148" t="s">
        <v>244</v>
      </c>
      <c r="F225" s="148" t="s">
        <v>244</v>
      </c>
      <c r="G225" s="148" t="s">
        <v>244</v>
      </c>
      <c r="H225" s="148" t="s">
        <v>244</v>
      </c>
      <c r="I225" s="148" t="s">
        <v>244</v>
      </c>
      <c r="J225" s="148" t="s">
        <v>244</v>
      </c>
      <c r="K225" s="148" t="s">
        <v>244</v>
      </c>
      <c r="L225" s="148" t="s">
        <v>244</v>
      </c>
    </row>
    <row r="226" spans="1:12" ht="18" x14ac:dyDescent="0.3">
      <c r="A226" s="132">
        <f t="shared" si="7"/>
        <v>46447</v>
      </c>
      <c r="B226" s="147" t="str">
        <f t="shared" si="6"/>
        <v>Monday</v>
      </c>
      <c r="C226" s="148" t="s">
        <v>244</v>
      </c>
      <c r="D226" s="148" t="s">
        <v>244</v>
      </c>
      <c r="E226" s="148" t="s">
        <v>244</v>
      </c>
      <c r="F226" s="148" t="s">
        <v>244</v>
      </c>
      <c r="G226" s="148" t="s">
        <v>244</v>
      </c>
      <c r="H226" s="148" t="s">
        <v>244</v>
      </c>
      <c r="I226" s="148" t="s">
        <v>244</v>
      </c>
      <c r="J226" s="148" t="s">
        <v>244</v>
      </c>
      <c r="K226" s="148" t="s">
        <v>244</v>
      </c>
      <c r="L226" s="148" t="s">
        <v>244</v>
      </c>
    </row>
    <row r="227" spans="1:12" ht="18" x14ac:dyDescent="0.3">
      <c r="A227" s="132">
        <f t="shared" si="7"/>
        <v>46448</v>
      </c>
      <c r="B227" s="147" t="str">
        <f t="shared" si="6"/>
        <v>Tuesday</v>
      </c>
      <c r="C227" s="148" t="s">
        <v>244</v>
      </c>
      <c r="D227" s="148" t="s">
        <v>244</v>
      </c>
      <c r="E227" s="148" t="s">
        <v>244</v>
      </c>
      <c r="F227" s="148" t="s">
        <v>244</v>
      </c>
      <c r="G227" s="148" t="s">
        <v>244</v>
      </c>
      <c r="H227" s="148" t="s">
        <v>244</v>
      </c>
      <c r="I227" s="148" t="s">
        <v>244</v>
      </c>
      <c r="J227" s="148" t="s">
        <v>244</v>
      </c>
      <c r="K227" s="148" t="s">
        <v>244</v>
      </c>
      <c r="L227" s="148" t="s">
        <v>244</v>
      </c>
    </row>
    <row r="228" spans="1:12" ht="18" x14ac:dyDescent="0.3">
      <c r="A228" s="132">
        <f t="shared" si="7"/>
        <v>46449</v>
      </c>
      <c r="B228" s="147" t="str">
        <f t="shared" si="6"/>
        <v>Wednesday</v>
      </c>
      <c r="C228" s="148" t="s">
        <v>244</v>
      </c>
      <c r="D228" s="148" t="s">
        <v>244</v>
      </c>
      <c r="E228" s="148" t="s">
        <v>244</v>
      </c>
      <c r="F228" s="148" t="s">
        <v>244</v>
      </c>
      <c r="G228" s="148" t="s">
        <v>244</v>
      </c>
      <c r="H228" s="148" t="s">
        <v>244</v>
      </c>
      <c r="I228" s="148" t="s">
        <v>244</v>
      </c>
      <c r="J228" s="148" t="s">
        <v>244</v>
      </c>
      <c r="K228" s="148" t="s">
        <v>244</v>
      </c>
      <c r="L228" s="148" t="s">
        <v>244</v>
      </c>
    </row>
    <row r="229" spans="1:12" ht="18" x14ac:dyDescent="0.3">
      <c r="A229" s="132">
        <f t="shared" si="7"/>
        <v>46450</v>
      </c>
      <c r="B229" s="147" t="str">
        <f t="shared" si="6"/>
        <v>Thursday</v>
      </c>
      <c r="C229" s="148" t="s">
        <v>244</v>
      </c>
      <c r="D229" s="148" t="s">
        <v>244</v>
      </c>
      <c r="E229" s="148" t="s">
        <v>244</v>
      </c>
      <c r="F229" s="148" t="s">
        <v>244</v>
      </c>
      <c r="G229" s="148" t="s">
        <v>244</v>
      </c>
      <c r="H229" s="148" t="s">
        <v>244</v>
      </c>
      <c r="I229" s="148" t="s">
        <v>244</v>
      </c>
      <c r="J229" s="148" t="s">
        <v>244</v>
      </c>
      <c r="K229" s="148" t="s">
        <v>244</v>
      </c>
      <c r="L229" s="148" t="s">
        <v>244</v>
      </c>
    </row>
    <row r="230" spans="1:12" ht="18" x14ac:dyDescent="0.3">
      <c r="A230" s="132">
        <f t="shared" si="7"/>
        <v>46451</v>
      </c>
      <c r="B230" s="147" t="str">
        <f t="shared" si="6"/>
        <v>Friday</v>
      </c>
      <c r="C230" s="148" t="s">
        <v>244</v>
      </c>
      <c r="D230" s="148" t="s">
        <v>244</v>
      </c>
      <c r="E230" s="148" t="s">
        <v>244</v>
      </c>
      <c r="F230" s="148" t="s">
        <v>244</v>
      </c>
      <c r="G230" s="148" t="s">
        <v>244</v>
      </c>
      <c r="H230" s="148" t="s">
        <v>244</v>
      </c>
      <c r="I230" s="148" t="s">
        <v>244</v>
      </c>
      <c r="J230" s="148" t="s">
        <v>244</v>
      </c>
      <c r="K230" s="148" t="s">
        <v>244</v>
      </c>
      <c r="L230" s="148" t="s">
        <v>244</v>
      </c>
    </row>
    <row r="231" spans="1:12" ht="18" x14ac:dyDescent="0.3">
      <c r="A231" s="132">
        <f t="shared" si="7"/>
        <v>46452</v>
      </c>
      <c r="B231" s="147" t="str">
        <f t="shared" si="6"/>
        <v>Saturday</v>
      </c>
      <c r="C231" s="148" t="s">
        <v>244</v>
      </c>
      <c r="D231" s="148" t="s">
        <v>244</v>
      </c>
      <c r="E231" s="148" t="s">
        <v>244</v>
      </c>
      <c r="F231" s="148" t="s">
        <v>244</v>
      </c>
      <c r="G231" s="148" t="s">
        <v>244</v>
      </c>
      <c r="H231" s="148" t="s">
        <v>244</v>
      </c>
      <c r="I231" s="148" t="s">
        <v>244</v>
      </c>
      <c r="J231" s="148" t="s">
        <v>244</v>
      </c>
      <c r="K231" s="148" t="s">
        <v>244</v>
      </c>
      <c r="L231" s="148" t="s">
        <v>244</v>
      </c>
    </row>
    <row r="232" spans="1:12" ht="18" x14ac:dyDescent="0.3">
      <c r="A232" s="132">
        <f t="shared" si="7"/>
        <v>46453</v>
      </c>
      <c r="B232" s="147" t="str">
        <f t="shared" si="6"/>
        <v>Sunday</v>
      </c>
      <c r="C232" s="148" t="s">
        <v>244</v>
      </c>
      <c r="D232" s="148" t="s">
        <v>244</v>
      </c>
      <c r="E232" s="148" t="s">
        <v>244</v>
      </c>
      <c r="F232" s="148" t="s">
        <v>244</v>
      </c>
      <c r="G232" s="148" t="s">
        <v>244</v>
      </c>
      <c r="H232" s="148" t="s">
        <v>244</v>
      </c>
      <c r="I232" s="148" t="s">
        <v>244</v>
      </c>
      <c r="J232" s="148" t="s">
        <v>244</v>
      </c>
      <c r="K232" s="148" t="s">
        <v>244</v>
      </c>
      <c r="L232" s="148" t="s">
        <v>244</v>
      </c>
    </row>
    <row r="233" spans="1:12" ht="18" x14ac:dyDescent="0.3">
      <c r="A233" s="132">
        <f t="shared" si="7"/>
        <v>46454</v>
      </c>
      <c r="B233" s="147" t="str">
        <f t="shared" si="6"/>
        <v>Monday</v>
      </c>
      <c r="C233" s="148" t="s">
        <v>244</v>
      </c>
      <c r="D233" s="148" t="s">
        <v>244</v>
      </c>
      <c r="E233" s="148" t="s">
        <v>244</v>
      </c>
      <c r="F233" s="148" t="s">
        <v>244</v>
      </c>
      <c r="G233" s="148" t="s">
        <v>244</v>
      </c>
      <c r="H233" s="148" t="s">
        <v>244</v>
      </c>
      <c r="I233" s="148" t="s">
        <v>244</v>
      </c>
      <c r="J233" s="148" t="s">
        <v>244</v>
      </c>
      <c r="K233" s="148" t="s">
        <v>244</v>
      </c>
      <c r="L233" s="148" t="s">
        <v>244</v>
      </c>
    </row>
    <row r="234" spans="1:12" ht="18" x14ac:dyDescent="0.3">
      <c r="A234" s="132">
        <f t="shared" si="7"/>
        <v>46455</v>
      </c>
      <c r="B234" s="147" t="str">
        <f t="shared" si="6"/>
        <v>Tuesday</v>
      </c>
      <c r="C234" s="148" t="s">
        <v>244</v>
      </c>
      <c r="D234" s="148" t="s">
        <v>244</v>
      </c>
      <c r="E234" s="148" t="s">
        <v>244</v>
      </c>
      <c r="F234" s="148" t="s">
        <v>244</v>
      </c>
      <c r="G234" s="148" t="s">
        <v>244</v>
      </c>
      <c r="H234" s="148" t="s">
        <v>244</v>
      </c>
      <c r="I234" s="148" t="s">
        <v>244</v>
      </c>
      <c r="J234" s="148" t="s">
        <v>244</v>
      </c>
      <c r="K234" s="148" t="s">
        <v>244</v>
      </c>
      <c r="L234" s="148" t="s">
        <v>244</v>
      </c>
    </row>
    <row r="235" spans="1:12" ht="18" x14ac:dyDescent="0.3">
      <c r="A235" s="132">
        <f t="shared" si="7"/>
        <v>46456</v>
      </c>
      <c r="B235" s="147" t="str">
        <f t="shared" si="6"/>
        <v>Wednesday</v>
      </c>
      <c r="C235" s="148" t="s">
        <v>244</v>
      </c>
      <c r="D235" s="148" t="s">
        <v>244</v>
      </c>
      <c r="E235" s="148" t="s">
        <v>244</v>
      </c>
      <c r="F235" s="148" t="s">
        <v>244</v>
      </c>
      <c r="G235" s="148" t="s">
        <v>244</v>
      </c>
      <c r="H235" s="148" t="s">
        <v>244</v>
      </c>
      <c r="I235" s="148" t="s">
        <v>244</v>
      </c>
      <c r="J235" s="148" t="s">
        <v>244</v>
      </c>
      <c r="K235" s="148" t="s">
        <v>244</v>
      </c>
      <c r="L235" s="148" t="s">
        <v>244</v>
      </c>
    </row>
    <row r="236" spans="1:12" ht="18" x14ac:dyDescent="0.3">
      <c r="A236" s="132">
        <f t="shared" si="7"/>
        <v>46457</v>
      </c>
      <c r="B236" s="147" t="str">
        <f t="shared" si="6"/>
        <v>Thursday</v>
      </c>
      <c r="C236" s="148" t="s">
        <v>244</v>
      </c>
      <c r="D236" s="148" t="s">
        <v>244</v>
      </c>
      <c r="E236" s="148" t="s">
        <v>244</v>
      </c>
      <c r="F236" s="148" t="s">
        <v>244</v>
      </c>
      <c r="G236" s="148" t="s">
        <v>244</v>
      </c>
      <c r="H236" s="148" t="s">
        <v>244</v>
      </c>
      <c r="I236" s="148" t="s">
        <v>244</v>
      </c>
      <c r="J236" s="148" t="s">
        <v>244</v>
      </c>
      <c r="K236" s="148" t="s">
        <v>244</v>
      </c>
      <c r="L236" s="148" t="s">
        <v>244</v>
      </c>
    </row>
    <row r="237" spans="1:12" ht="18" x14ac:dyDescent="0.3">
      <c r="A237" s="132">
        <f t="shared" si="7"/>
        <v>46458</v>
      </c>
      <c r="B237" s="147" t="str">
        <f t="shared" si="6"/>
        <v>Friday</v>
      </c>
      <c r="C237" s="148" t="s">
        <v>244</v>
      </c>
      <c r="D237" s="148" t="s">
        <v>244</v>
      </c>
      <c r="E237" s="148" t="s">
        <v>244</v>
      </c>
      <c r="F237" s="148" t="s">
        <v>244</v>
      </c>
      <c r="G237" s="148" t="s">
        <v>244</v>
      </c>
      <c r="H237" s="148" t="s">
        <v>244</v>
      </c>
      <c r="I237" s="148" t="s">
        <v>244</v>
      </c>
      <c r="J237" s="148" t="s">
        <v>244</v>
      </c>
      <c r="K237" s="148" t="s">
        <v>244</v>
      </c>
      <c r="L237" s="148" t="s">
        <v>244</v>
      </c>
    </row>
    <row r="238" spans="1:12" ht="18" x14ac:dyDescent="0.3">
      <c r="A238" s="132">
        <f t="shared" si="7"/>
        <v>46459</v>
      </c>
      <c r="B238" s="147" t="str">
        <f t="shared" si="6"/>
        <v>Saturday</v>
      </c>
      <c r="C238" s="148" t="s">
        <v>244</v>
      </c>
      <c r="D238" s="148" t="s">
        <v>244</v>
      </c>
      <c r="E238" s="148" t="s">
        <v>244</v>
      </c>
      <c r="F238" s="148" t="s">
        <v>244</v>
      </c>
      <c r="G238" s="148" t="s">
        <v>244</v>
      </c>
      <c r="H238" s="148" t="s">
        <v>244</v>
      </c>
      <c r="I238" s="148" t="s">
        <v>244</v>
      </c>
      <c r="J238" s="148" t="s">
        <v>244</v>
      </c>
      <c r="K238" s="148" t="s">
        <v>244</v>
      </c>
      <c r="L238" s="148" t="s">
        <v>244</v>
      </c>
    </row>
    <row r="239" spans="1:12" ht="18" x14ac:dyDescent="0.3">
      <c r="A239" s="132">
        <f t="shared" si="7"/>
        <v>46460</v>
      </c>
      <c r="B239" s="147" t="str">
        <f t="shared" si="6"/>
        <v>Sunday</v>
      </c>
      <c r="C239" s="148" t="s">
        <v>244</v>
      </c>
      <c r="D239" s="148" t="s">
        <v>244</v>
      </c>
      <c r="E239" s="148" t="s">
        <v>244</v>
      </c>
      <c r="F239" s="148" t="s">
        <v>244</v>
      </c>
      <c r="G239" s="148" t="s">
        <v>244</v>
      </c>
      <c r="H239" s="148" t="s">
        <v>244</v>
      </c>
      <c r="I239" s="148" t="s">
        <v>244</v>
      </c>
      <c r="J239" s="148" t="s">
        <v>244</v>
      </c>
      <c r="K239" s="148" t="s">
        <v>244</v>
      </c>
      <c r="L239" s="148" t="s">
        <v>244</v>
      </c>
    </row>
    <row r="240" spans="1:12" ht="18" x14ac:dyDescent="0.3">
      <c r="A240" s="132">
        <f t="shared" si="7"/>
        <v>46461</v>
      </c>
      <c r="B240" s="147" t="str">
        <f t="shared" si="6"/>
        <v>Monday</v>
      </c>
      <c r="C240" s="148" t="s">
        <v>244</v>
      </c>
      <c r="D240" s="148" t="s">
        <v>244</v>
      </c>
      <c r="E240" s="148" t="s">
        <v>244</v>
      </c>
      <c r="F240" s="148" t="s">
        <v>244</v>
      </c>
      <c r="G240" s="148" t="s">
        <v>244</v>
      </c>
      <c r="H240" s="148" t="s">
        <v>244</v>
      </c>
      <c r="I240" s="148" t="s">
        <v>244</v>
      </c>
      <c r="J240" s="148" t="s">
        <v>244</v>
      </c>
      <c r="K240" s="148" t="s">
        <v>244</v>
      </c>
      <c r="L240" s="148" t="s">
        <v>244</v>
      </c>
    </row>
    <row r="241" spans="1:12" ht="18" x14ac:dyDescent="0.3">
      <c r="A241" s="132">
        <f t="shared" si="7"/>
        <v>46462</v>
      </c>
      <c r="B241" s="147" t="str">
        <f t="shared" si="6"/>
        <v>Tuesday</v>
      </c>
      <c r="C241" s="148" t="s">
        <v>244</v>
      </c>
      <c r="D241" s="148" t="s">
        <v>244</v>
      </c>
      <c r="E241" s="148" t="s">
        <v>244</v>
      </c>
      <c r="F241" s="148" t="s">
        <v>244</v>
      </c>
      <c r="G241" s="148" t="s">
        <v>244</v>
      </c>
      <c r="H241" s="148" t="s">
        <v>244</v>
      </c>
      <c r="I241" s="148" t="s">
        <v>244</v>
      </c>
      <c r="J241" s="148" t="s">
        <v>244</v>
      </c>
      <c r="K241" s="148" t="s">
        <v>244</v>
      </c>
      <c r="L241" s="148" t="s">
        <v>244</v>
      </c>
    </row>
    <row r="242" spans="1:12" ht="18" x14ac:dyDescent="0.3">
      <c r="A242" s="132">
        <f t="shared" si="7"/>
        <v>46463</v>
      </c>
      <c r="B242" s="147" t="str">
        <f t="shared" si="6"/>
        <v>Wednesday</v>
      </c>
      <c r="C242" s="148" t="s">
        <v>244</v>
      </c>
      <c r="D242" s="148" t="s">
        <v>244</v>
      </c>
      <c r="E242" s="148" t="s">
        <v>244</v>
      </c>
      <c r="F242" s="148" t="s">
        <v>244</v>
      </c>
      <c r="G242" s="148" t="s">
        <v>244</v>
      </c>
      <c r="H242" s="148" t="s">
        <v>244</v>
      </c>
      <c r="I242" s="148" t="s">
        <v>244</v>
      </c>
      <c r="J242" s="148" t="s">
        <v>244</v>
      </c>
      <c r="K242" s="148" t="s">
        <v>244</v>
      </c>
      <c r="L242" s="148" t="s">
        <v>244</v>
      </c>
    </row>
    <row r="243" spans="1:12" ht="18" x14ac:dyDescent="0.3">
      <c r="A243" s="132">
        <f t="shared" si="7"/>
        <v>46464</v>
      </c>
      <c r="B243" s="147" t="str">
        <f t="shared" si="6"/>
        <v>Thursday</v>
      </c>
      <c r="C243" s="148" t="s">
        <v>244</v>
      </c>
      <c r="D243" s="148" t="s">
        <v>244</v>
      </c>
      <c r="E243" s="148" t="s">
        <v>244</v>
      </c>
      <c r="F243" s="148" t="s">
        <v>244</v>
      </c>
      <c r="G243" s="148" t="s">
        <v>244</v>
      </c>
      <c r="H243" s="148" t="s">
        <v>244</v>
      </c>
      <c r="I243" s="148" t="s">
        <v>244</v>
      </c>
      <c r="J243" s="148" t="s">
        <v>244</v>
      </c>
      <c r="K243" s="148" t="s">
        <v>244</v>
      </c>
      <c r="L243" s="148" t="s">
        <v>244</v>
      </c>
    </row>
    <row r="244" spans="1:12" ht="18" x14ac:dyDescent="0.3">
      <c r="A244" s="132">
        <f t="shared" si="7"/>
        <v>46465</v>
      </c>
      <c r="B244" s="147" t="str">
        <f t="shared" si="6"/>
        <v>Friday</v>
      </c>
      <c r="C244" s="148" t="s">
        <v>244</v>
      </c>
      <c r="D244" s="148" t="s">
        <v>244</v>
      </c>
      <c r="E244" s="148" t="s">
        <v>244</v>
      </c>
      <c r="F244" s="148" t="s">
        <v>244</v>
      </c>
      <c r="G244" s="148" t="s">
        <v>244</v>
      </c>
      <c r="H244" s="148" t="s">
        <v>244</v>
      </c>
      <c r="I244" s="148" t="s">
        <v>244</v>
      </c>
      <c r="J244" s="148" t="s">
        <v>244</v>
      </c>
      <c r="K244" s="148" t="s">
        <v>244</v>
      </c>
      <c r="L244" s="148" t="s">
        <v>244</v>
      </c>
    </row>
    <row r="245" spans="1:12" ht="18" x14ac:dyDescent="0.3">
      <c r="A245" s="132">
        <f t="shared" si="7"/>
        <v>46466</v>
      </c>
      <c r="B245" s="147" t="str">
        <f t="shared" si="6"/>
        <v>Saturday</v>
      </c>
      <c r="C245" s="148" t="s">
        <v>244</v>
      </c>
      <c r="D245" s="148" t="s">
        <v>244</v>
      </c>
      <c r="E245" s="148" t="s">
        <v>244</v>
      </c>
      <c r="F245" s="148" t="s">
        <v>244</v>
      </c>
      <c r="G245" s="148" t="s">
        <v>244</v>
      </c>
      <c r="H245" s="148" t="s">
        <v>244</v>
      </c>
      <c r="I245" s="148" t="s">
        <v>244</v>
      </c>
      <c r="J245" s="148" t="s">
        <v>244</v>
      </c>
      <c r="K245" s="148" t="s">
        <v>244</v>
      </c>
      <c r="L245" s="148" t="s">
        <v>244</v>
      </c>
    </row>
    <row r="246" spans="1:12" ht="18" x14ac:dyDescent="0.3">
      <c r="A246" s="132">
        <f t="shared" si="7"/>
        <v>46467</v>
      </c>
      <c r="B246" s="147" t="str">
        <f t="shared" si="6"/>
        <v>Sunday</v>
      </c>
      <c r="C246" s="148" t="s">
        <v>244</v>
      </c>
      <c r="D246" s="148" t="s">
        <v>244</v>
      </c>
      <c r="E246" s="148" t="s">
        <v>244</v>
      </c>
      <c r="F246" s="148" t="s">
        <v>244</v>
      </c>
      <c r="G246" s="148" t="s">
        <v>244</v>
      </c>
      <c r="H246" s="148" t="s">
        <v>244</v>
      </c>
      <c r="I246" s="148" t="s">
        <v>244</v>
      </c>
      <c r="J246" s="148" t="s">
        <v>244</v>
      </c>
      <c r="K246" s="148" t="s">
        <v>244</v>
      </c>
      <c r="L246" s="148" t="s">
        <v>244</v>
      </c>
    </row>
    <row r="247" spans="1:12" ht="18" x14ac:dyDescent="0.3">
      <c r="A247" s="132">
        <f t="shared" si="7"/>
        <v>46468</v>
      </c>
      <c r="B247" s="147" t="str">
        <f t="shared" si="6"/>
        <v>Monday</v>
      </c>
      <c r="C247" s="148" t="s">
        <v>244</v>
      </c>
      <c r="D247" s="148" t="s">
        <v>244</v>
      </c>
      <c r="E247" s="148" t="s">
        <v>244</v>
      </c>
      <c r="F247" s="148" t="s">
        <v>244</v>
      </c>
      <c r="G247" s="148" t="s">
        <v>244</v>
      </c>
      <c r="H247" s="148" t="s">
        <v>244</v>
      </c>
      <c r="I247" s="148" t="s">
        <v>244</v>
      </c>
      <c r="J247" s="148" t="s">
        <v>244</v>
      </c>
      <c r="K247" s="148" t="s">
        <v>244</v>
      </c>
      <c r="L247" s="148" t="s">
        <v>244</v>
      </c>
    </row>
    <row r="248" spans="1:12" ht="18" x14ac:dyDescent="0.3">
      <c r="A248" s="132">
        <f t="shared" si="7"/>
        <v>46469</v>
      </c>
      <c r="B248" s="147" t="str">
        <f t="shared" si="6"/>
        <v>Tuesday</v>
      </c>
      <c r="C248" s="148" t="s">
        <v>244</v>
      </c>
      <c r="D248" s="148" t="s">
        <v>244</v>
      </c>
      <c r="E248" s="148" t="s">
        <v>244</v>
      </c>
      <c r="F248" s="148" t="s">
        <v>244</v>
      </c>
      <c r="G248" s="148" t="s">
        <v>244</v>
      </c>
      <c r="H248" s="148" t="s">
        <v>244</v>
      </c>
      <c r="I248" s="148" t="s">
        <v>244</v>
      </c>
      <c r="J248" s="148" t="s">
        <v>244</v>
      </c>
      <c r="K248" s="148" t="s">
        <v>244</v>
      </c>
      <c r="L248" s="148" t="s">
        <v>244</v>
      </c>
    </row>
    <row r="249" spans="1:12" ht="18" x14ac:dyDescent="0.3">
      <c r="A249" s="132">
        <f t="shared" si="7"/>
        <v>46470</v>
      </c>
      <c r="B249" s="147" t="str">
        <f t="shared" si="6"/>
        <v>Wednesday</v>
      </c>
      <c r="C249" s="148" t="s">
        <v>244</v>
      </c>
      <c r="D249" s="148" t="s">
        <v>244</v>
      </c>
      <c r="E249" s="148" t="s">
        <v>244</v>
      </c>
      <c r="F249" s="148" t="s">
        <v>244</v>
      </c>
      <c r="G249" s="148" t="s">
        <v>244</v>
      </c>
      <c r="H249" s="148" t="s">
        <v>244</v>
      </c>
      <c r="I249" s="148" t="s">
        <v>244</v>
      </c>
      <c r="J249" s="148" t="s">
        <v>244</v>
      </c>
      <c r="K249" s="148" t="s">
        <v>244</v>
      </c>
      <c r="L249" s="148" t="s">
        <v>244</v>
      </c>
    </row>
    <row r="250" spans="1:12" ht="18" x14ac:dyDescent="0.3">
      <c r="A250" s="132">
        <f t="shared" si="7"/>
        <v>46471</v>
      </c>
      <c r="B250" s="147" t="str">
        <f t="shared" si="6"/>
        <v>Thursday</v>
      </c>
      <c r="C250" s="148" t="s">
        <v>244</v>
      </c>
      <c r="D250" s="148" t="s">
        <v>244</v>
      </c>
      <c r="E250" s="148" t="s">
        <v>244</v>
      </c>
      <c r="F250" s="148" t="s">
        <v>244</v>
      </c>
      <c r="G250" s="148" t="s">
        <v>244</v>
      </c>
      <c r="H250" s="148" t="s">
        <v>244</v>
      </c>
      <c r="I250" s="148" t="s">
        <v>244</v>
      </c>
      <c r="J250" s="148" t="s">
        <v>244</v>
      </c>
      <c r="K250" s="148" t="s">
        <v>244</v>
      </c>
      <c r="L250" s="148" t="s">
        <v>244</v>
      </c>
    </row>
    <row r="251" spans="1:12" ht="18" x14ac:dyDescent="0.3">
      <c r="A251" s="132">
        <f t="shared" si="7"/>
        <v>46472</v>
      </c>
      <c r="B251" s="147" t="str">
        <f t="shared" si="6"/>
        <v>Friday</v>
      </c>
      <c r="C251" s="148" t="s">
        <v>244</v>
      </c>
      <c r="D251" s="148" t="s">
        <v>244</v>
      </c>
      <c r="E251" s="148" t="s">
        <v>244</v>
      </c>
      <c r="F251" s="148" t="s">
        <v>244</v>
      </c>
      <c r="G251" s="148" t="s">
        <v>244</v>
      </c>
      <c r="H251" s="148" t="s">
        <v>244</v>
      </c>
      <c r="I251" s="148" t="s">
        <v>244</v>
      </c>
      <c r="J251" s="148" t="s">
        <v>244</v>
      </c>
      <c r="K251" s="148" t="s">
        <v>244</v>
      </c>
      <c r="L251" s="148" t="s">
        <v>244</v>
      </c>
    </row>
    <row r="252" spans="1:12" ht="18" x14ac:dyDescent="0.3">
      <c r="A252" s="132">
        <f t="shared" si="7"/>
        <v>46473</v>
      </c>
      <c r="B252" s="147" t="str">
        <f t="shared" si="6"/>
        <v>Saturday</v>
      </c>
      <c r="C252" s="148" t="s">
        <v>244</v>
      </c>
      <c r="D252" s="148" t="s">
        <v>244</v>
      </c>
      <c r="E252" s="148" t="s">
        <v>244</v>
      </c>
      <c r="F252" s="148" t="s">
        <v>244</v>
      </c>
      <c r="G252" s="148" t="s">
        <v>244</v>
      </c>
      <c r="H252" s="148" t="s">
        <v>244</v>
      </c>
      <c r="I252" s="148" t="s">
        <v>244</v>
      </c>
      <c r="J252" s="148" t="s">
        <v>244</v>
      </c>
      <c r="K252" s="148" t="s">
        <v>244</v>
      </c>
      <c r="L252" s="148" t="s">
        <v>244</v>
      </c>
    </row>
    <row r="253" spans="1:12" ht="18" x14ac:dyDescent="0.3">
      <c r="A253" s="132">
        <f t="shared" si="7"/>
        <v>46474</v>
      </c>
      <c r="B253" s="147" t="str">
        <f t="shared" si="6"/>
        <v>Sunday</v>
      </c>
      <c r="C253" s="148" t="s">
        <v>244</v>
      </c>
      <c r="D253" s="148" t="s">
        <v>244</v>
      </c>
      <c r="E253" s="148" t="s">
        <v>244</v>
      </c>
      <c r="F253" s="148" t="s">
        <v>244</v>
      </c>
      <c r="G253" s="148" t="s">
        <v>244</v>
      </c>
      <c r="H253" s="148" t="s">
        <v>244</v>
      </c>
      <c r="I253" s="148" t="s">
        <v>244</v>
      </c>
      <c r="J253" s="148" t="s">
        <v>244</v>
      </c>
      <c r="K253" s="148" t="s">
        <v>244</v>
      </c>
      <c r="L253" s="148" t="s">
        <v>244</v>
      </c>
    </row>
    <row r="254" spans="1:12" ht="18" x14ac:dyDescent="0.3">
      <c r="A254" s="132">
        <f t="shared" si="7"/>
        <v>46475</v>
      </c>
      <c r="B254" s="147" t="str">
        <f t="shared" si="6"/>
        <v>Monday</v>
      </c>
      <c r="C254" s="148" t="s">
        <v>244</v>
      </c>
      <c r="D254" s="148" t="s">
        <v>244</v>
      </c>
      <c r="E254" s="148" t="s">
        <v>244</v>
      </c>
      <c r="F254" s="148" t="s">
        <v>244</v>
      </c>
      <c r="G254" s="148" t="s">
        <v>244</v>
      </c>
      <c r="H254" s="148" t="s">
        <v>244</v>
      </c>
      <c r="I254" s="148" t="s">
        <v>244</v>
      </c>
      <c r="J254" s="148" t="s">
        <v>244</v>
      </c>
      <c r="K254" s="148" t="s">
        <v>244</v>
      </c>
      <c r="L254" s="148" t="s">
        <v>244</v>
      </c>
    </row>
    <row r="255" spans="1:12" ht="18" x14ac:dyDescent="0.3">
      <c r="A255" s="132">
        <f t="shared" si="7"/>
        <v>46476</v>
      </c>
      <c r="B255" s="147" t="str">
        <f t="shared" si="6"/>
        <v>Tuesday</v>
      </c>
      <c r="C255" s="148" t="s">
        <v>244</v>
      </c>
      <c r="D255" s="148" t="s">
        <v>244</v>
      </c>
      <c r="E255" s="148" t="s">
        <v>244</v>
      </c>
      <c r="F255" s="148" t="s">
        <v>244</v>
      </c>
      <c r="G255" s="148" t="s">
        <v>244</v>
      </c>
      <c r="H255" s="148" t="s">
        <v>244</v>
      </c>
      <c r="I255" s="148" t="s">
        <v>244</v>
      </c>
      <c r="J255" s="148" t="s">
        <v>244</v>
      </c>
      <c r="K255" s="148" t="s">
        <v>244</v>
      </c>
      <c r="L255" s="148" t="s">
        <v>244</v>
      </c>
    </row>
    <row r="256" spans="1:12" ht="18" x14ac:dyDescent="0.3">
      <c r="A256" s="132">
        <f t="shared" si="7"/>
        <v>46477</v>
      </c>
      <c r="B256" s="147" t="str">
        <f t="shared" si="6"/>
        <v>Wednesday</v>
      </c>
      <c r="C256" s="148" t="s">
        <v>244</v>
      </c>
      <c r="D256" s="148" t="s">
        <v>244</v>
      </c>
      <c r="E256" s="148" t="s">
        <v>244</v>
      </c>
      <c r="F256" s="148" t="s">
        <v>244</v>
      </c>
      <c r="G256" s="148" t="s">
        <v>244</v>
      </c>
      <c r="H256" s="148" t="s">
        <v>244</v>
      </c>
      <c r="I256" s="148" t="s">
        <v>244</v>
      </c>
      <c r="J256" s="148" t="s">
        <v>244</v>
      </c>
      <c r="K256" s="148" t="s">
        <v>244</v>
      </c>
      <c r="L256" s="148" t="s">
        <v>244</v>
      </c>
    </row>
    <row r="257" spans="1:12" ht="18" x14ac:dyDescent="0.3">
      <c r="A257" s="132">
        <f t="shared" si="7"/>
        <v>46478</v>
      </c>
      <c r="B257" s="147" t="str">
        <f t="shared" si="6"/>
        <v>Thursday</v>
      </c>
      <c r="C257" s="148" t="s">
        <v>244</v>
      </c>
      <c r="D257" s="148" t="s">
        <v>244</v>
      </c>
      <c r="E257" s="148" t="s">
        <v>244</v>
      </c>
      <c r="F257" s="148" t="s">
        <v>244</v>
      </c>
      <c r="G257" s="148" t="s">
        <v>244</v>
      </c>
      <c r="H257" s="148" t="s">
        <v>244</v>
      </c>
      <c r="I257" s="148" t="s">
        <v>244</v>
      </c>
      <c r="J257" s="148" t="s">
        <v>244</v>
      </c>
      <c r="K257" s="148" t="s">
        <v>244</v>
      </c>
      <c r="L257" s="148" t="s">
        <v>244</v>
      </c>
    </row>
    <row r="258" spans="1:12" ht="18" x14ac:dyDescent="0.3">
      <c r="A258" s="132">
        <f t="shared" si="7"/>
        <v>46479</v>
      </c>
      <c r="B258" s="147" t="str">
        <f t="shared" ref="B258:B321" si="8">CHOOSE(WEEKDAY(A258,2),"Monday","Tuesday","Wednesday","Thursday","Friday","Saturday","Sunday")</f>
        <v>Friday</v>
      </c>
      <c r="C258" s="148" t="s">
        <v>244</v>
      </c>
      <c r="D258" s="148" t="s">
        <v>244</v>
      </c>
      <c r="E258" s="148" t="s">
        <v>244</v>
      </c>
      <c r="F258" s="148" t="s">
        <v>244</v>
      </c>
      <c r="G258" s="148" t="s">
        <v>244</v>
      </c>
      <c r="H258" s="148" t="s">
        <v>244</v>
      </c>
      <c r="I258" s="148" t="s">
        <v>244</v>
      </c>
      <c r="J258" s="148" t="s">
        <v>244</v>
      </c>
      <c r="K258" s="148" t="s">
        <v>244</v>
      </c>
      <c r="L258" s="148" t="s">
        <v>244</v>
      </c>
    </row>
    <row r="259" spans="1:12" ht="18" x14ac:dyDescent="0.3">
      <c r="A259" s="132">
        <f t="shared" si="7"/>
        <v>46480</v>
      </c>
      <c r="B259" s="147" t="str">
        <f t="shared" si="8"/>
        <v>Saturday</v>
      </c>
      <c r="C259" s="148" t="s">
        <v>244</v>
      </c>
      <c r="D259" s="148" t="s">
        <v>244</v>
      </c>
      <c r="E259" s="148" t="s">
        <v>244</v>
      </c>
      <c r="F259" s="148" t="s">
        <v>244</v>
      </c>
      <c r="G259" s="148" t="s">
        <v>244</v>
      </c>
      <c r="H259" s="148" t="s">
        <v>244</v>
      </c>
      <c r="I259" s="148" t="s">
        <v>244</v>
      </c>
      <c r="J259" s="148" t="s">
        <v>244</v>
      </c>
      <c r="K259" s="148" t="s">
        <v>244</v>
      </c>
      <c r="L259" s="148" t="s">
        <v>244</v>
      </c>
    </row>
    <row r="260" spans="1:12" ht="18" x14ac:dyDescent="0.3">
      <c r="A260" s="132">
        <f t="shared" ref="A260:A323" si="9">A259+1</f>
        <v>46481</v>
      </c>
      <c r="B260" s="147" t="str">
        <f t="shared" si="8"/>
        <v>Sunday</v>
      </c>
      <c r="C260" s="148" t="s">
        <v>244</v>
      </c>
      <c r="D260" s="148" t="s">
        <v>244</v>
      </c>
      <c r="E260" s="148" t="s">
        <v>244</v>
      </c>
      <c r="F260" s="148" t="s">
        <v>244</v>
      </c>
      <c r="G260" s="148" t="s">
        <v>244</v>
      </c>
      <c r="H260" s="148" t="s">
        <v>244</v>
      </c>
      <c r="I260" s="148" t="s">
        <v>244</v>
      </c>
      <c r="J260" s="148" t="s">
        <v>244</v>
      </c>
      <c r="K260" s="148" t="s">
        <v>244</v>
      </c>
      <c r="L260" s="148" t="s">
        <v>244</v>
      </c>
    </row>
    <row r="261" spans="1:12" ht="18" x14ac:dyDescent="0.3">
      <c r="A261" s="132">
        <f t="shared" si="9"/>
        <v>46482</v>
      </c>
      <c r="B261" s="147" t="str">
        <f t="shared" si="8"/>
        <v>Monday</v>
      </c>
      <c r="C261" s="148" t="s">
        <v>244</v>
      </c>
      <c r="D261" s="148" t="s">
        <v>244</v>
      </c>
      <c r="E261" s="148" t="s">
        <v>244</v>
      </c>
      <c r="F261" s="148" t="s">
        <v>244</v>
      </c>
      <c r="G261" s="148" t="s">
        <v>244</v>
      </c>
      <c r="H261" s="148" t="s">
        <v>244</v>
      </c>
      <c r="I261" s="148" t="s">
        <v>244</v>
      </c>
      <c r="J261" s="148" t="s">
        <v>244</v>
      </c>
      <c r="K261" s="148" t="s">
        <v>244</v>
      </c>
      <c r="L261" s="148" t="s">
        <v>244</v>
      </c>
    </row>
    <row r="262" spans="1:12" ht="18" x14ac:dyDescent="0.3">
      <c r="A262" s="132">
        <f t="shared" si="9"/>
        <v>46483</v>
      </c>
      <c r="B262" s="147" t="str">
        <f t="shared" si="8"/>
        <v>Tuesday</v>
      </c>
      <c r="C262" s="148" t="s">
        <v>244</v>
      </c>
      <c r="D262" s="148" t="s">
        <v>244</v>
      </c>
      <c r="E262" s="148" t="s">
        <v>244</v>
      </c>
      <c r="F262" s="148" t="s">
        <v>244</v>
      </c>
      <c r="G262" s="148" t="s">
        <v>244</v>
      </c>
      <c r="H262" s="148" t="s">
        <v>244</v>
      </c>
      <c r="I262" s="148" t="s">
        <v>244</v>
      </c>
      <c r="J262" s="148" t="s">
        <v>244</v>
      </c>
      <c r="K262" s="148" t="s">
        <v>244</v>
      </c>
      <c r="L262" s="148" t="s">
        <v>244</v>
      </c>
    </row>
    <row r="263" spans="1:12" ht="18" x14ac:dyDescent="0.3">
      <c r="A263" s="132">
        <f t="shared" si="9"/>
        <v>46484</v>
      </c>
      <c r="B263" s="147" t="str">
        <f t="shared" si="8"/>
        <v>Wednesday</v>
      </c>
      <c r="C263" s="148" t="s">
        <v>244</v>
      </c>
      <c r="D263" s="148" t="s">
        <v>244</v>
      </c>
      <c r="E263" s="148" t="s">
        <v>244</v>
      </c>
      <c r="F263" s="148" t="s">
        <v>244</v>
      </c>
      <c r="G263" s="148" t="s">
        <v>244</v>
      </c>
      <c r="H263" s="148" t="s">
        <v>244</v>
      </c>
      <c r="I263" s="148" t="s">
        <v>244</v>
      </c>
      <c r="J263" s="148" t="s">
        <v>244</v>
      </c>
      <c r="K263" s="148" t="s">
        <v>244</v>
      </c>
      <c r="L263" s="148" t="s">
        <v>244</v>
      </c>
    </row>
    <row r="264" spans="1:12" ht="18" x14ac:dyDescent="0.3">
      <c r="A264" s="132">
        <f t="shared" si="9"/>
        <v>46485</v>
      </c>
      <c r="B264" s="147" t="str">
        <f t="shared" si="8"/>
        <v>Thursday</v>
      </c>
      <c r="C264" s="148" t="s">
        <v>244</v>
      </c>
      <c r="D264" s="148" t="s">
        <v>244</v>
      </c>
      <c r="E264" s="148" t="s">
        <v>244</v>
      </c>
      <c r="F264" s="148" t="s">
        <v>244</v>
      </c>
      <c r="G264" s="148" t="s">
        <v>244</v>
      </c>
      <c r="H264" s="148" t="s">
        <v>244</v>
      </c>
      <c r="I264" s="148" t="s">
        <v>244</v>
      </c>
      <c r="J264" s="148" t="s">
        <v>244</v>
      </c>
      <c r="K264" s="148" t="s">
        <v>244</v>
      </c>
      <c r="L264" s="148" t="s">
        <v>244</v>
      </c>
    </row>
    <row r="265" spans="1:12" ht="18" x14ac:dyDescent="0.3">
      <c r="A265" s="132">
        <f t="shared" si="9"/>
        <v>46486</v>
      </c>
      <c r="B265" s="147" t="str">
        <f t="shared" si="8"/>
        <v>Friday</v>
      </c>
      <c r="C265" s="148" t="s">
        <v>244</v>
      </c>
      <c r="D265" s="148" t="s">
        <v>244</v>
      </c>
      <c r="E265" s="148" t="s">
        <v>244</v>
      </c>
      <c r="F265" s="148" t="s">
        <v>244</v>
      </c>
      <c r="G265" s="148" t="s">
        <v>244</v>
      </c>
      <c r="H265" s="148" t="s">
        <v>244</v>
      </c>
      <c r="I265" s="148" t="s">
        <v>244</v>
      </c>
      <c r="J265" s="148" t="s">
        <v>244</v>
      </c>
      <c r="K265" s="148" t="s">
        <v>244</v>
      </c>
      <c r="L265" s="148" t="s">
        <v>244</v>
      </c>
    </row>
    <row r="266" spans="1:12" ht="18" x14ac:dyDescent="0.3">
      <c r="A266" s="132">
        <f t="shared" si="9"/>
        <v>46487</v>
      </c>
      <c r="B266" s="147" t="str">
        <f t="shared" si="8"/>
        <v>Saturday</v>
      </c>
      <c r="C266" s="148" t="s">
        <v>244</v>
      </c>
      <c r="D266" s="148" t="s">
        <v>244</v>
      </c>
      <c r="E266" s="148" t="s">
        <v>244</v>
      </c>
      <c r="F266" s="148" t="s">
        <v>244</v>
      </c>
      <c r="G266" s="148" t="s">
        <v>244</v>
      </c>
      <c r="H266" s="148" t="s">
        <v>244</v>
      </c>
      <c r="I266" s="148" t="s">
        <v>244</v>
      </c>
      <c r="J266" s="148" t="s">
        <v>244</v>
      </c>
      <c r="K266" s="148" t="s">
        <v>244</v>
      </c>
      <c r="L266" s="148" t="s">
        <v>244</v>
      </c>
    </row>
    <row r="267" spans="1:12" ht="18" x14ac:dyDescent="0.3">
      <c r="A267" s="132">
        <f t="shared" si="9"/>
        <v>46488</v>
      </c>
      <c r="B267" s="147" t="str">
        <f t="shared" si="8"/>
        <v>Sunday</v>
      </c>
      <c r="C267" s="148" t="s">
        <v>244</v>
      </c>
      <c r="D267" s="148" t="s">
        <v>244</v>
      </c>
      <c r="E267" s="148" t="s">
        <v>244</v>
      </c>
      <c r="F267" s="148" t="s">
        <v>244</v>
      </c>
      <c r="G267" s="148" t="s">
        <v>244</v>
      </c>
      <c r="H267" s="148" t="s">
        <v>244</v>
      </c>
      <c r="I267" s="148" t="s">
        <v>244</v>
      </c>
      <c r="J267" s="148" t="s">
        <v>244</v>
      </c>
      <c r="K267" s="148" t="s">
        <v>244</v>
      </c>
      <c r="L267" s="148" t="s">
        <v>244</v>
      </c>
    </row>
    <row r="268" spans="1:12" ht="18" x14ac:dyDescent="0.3">
      <c r="A268" s="132">
        <f t="shared" si="9"/>
        <v>46489</v>
      </c>
      <c r="B268" s="147" t="str">
        <f t="shared" si="8"/>
        <v>Monday</v>
      </c>
      <c r="C268" s="148" t="s">
        <v>244</v>
      </c>
      <c r="D268" s="148" t="s">
        <v>244</v>
      </c>
      <c r="E268" s="148" t="s">
        <v>244</v>
      </c>
      <c r="F268" s="148" t="s">
        <v>244</v>
      </c>
      <c r="G268" s="148" t="s">
        <v>244</v>
      </c>
      <c r="H268" s="148" t="s">
        <v>244</v>
      </c>
      <c r="I268" s="148" t="s">
        <v>244</v>
      </c>
      <c r="J268" s="148" t="s">
        <v>244</v>
      </c>
      <c r="K268" s="148" t="s">
        <v>244</v>
      </c>
      <c r="L268" s="148" t="s">
        <v>244</v>
      </c>
    </row>
    <row r="269" spans="1:12" ht="18" x14ac:dyDescent="0.3">
      <c r="A269" s="132">
        <f t="shared" si="9"/>
        <v>46490</v>
      </c>
      <c r="B269" s="147" t="str">
        <f t="shared" si="8"/>
        <v>Tuesday</v>
      </c>
      <c r="C269" s="148" t="s">
        <v>244</v>
      </c>
      <c r="D269" s="148" t="s">
        <v>244</v>
      </c>
      <c r="E269" s="148" t="s">
        <v>244</v>
      </c>
      <c r="F269" s="148" t="s">
        <v>244</v>
      </c>
      <c r="G269" s="148" t="s">
        <v>244</v>
      </c>
      <c r="H269" s="148" t="s">
        <v>244</v>
      </c>
      <c r="I269" s="148" t="s">
        <v>244</v>
      </c>
      <c r="J269" s="148" t="s">
        <v>244</v>
      </c>
      <c r="K269" s="148" t="s">
        <v>244</v>
      </c>
      <c r="L269" s="148" t="s">
        <v>244</v>
      </c>
    </row>
    <row r="270" spans="1:12" ht="18" x14ac:dyDescent="0.3">
      <c r="A270" s="132">
        <f t="shared" si="9"/>
        <v>46491</v>
      </c>
      <c r="B270" s="147" t="str">
        <f t="shared" si="8"/>
        <v>Wednesday</v>
      </c>
      <c r="C270" s="148" t="s">
        <v>244</v>
      </c>
      <c r="D270" s="148" t="s">
        <v>244</v>
      </c>
      <c r="E270" s="148" t="s">
        <v>244</v>
      </c>
      <c r="F270" s="148" t="s">
        <v>244</v>
      </c>
      <c r="G270" s="148" t="s">
        <v>244</v>
      </c>
      <c r="H270" s="148" t="s">
        <v>244</v>
      </c>
      <c r="I270" s="148" t="s">
        <v>244</v>
      </c>
      <c r="J270" s="148" t="s">
        <v>244</v>
      </c>
      <c r="K270" s="148" t="s">
        <v>244</v>
      </c>
      <c r="L270" s="148" t="s">
        <v>244</v>
      </c>
    </row>
    <row r="271" spans="1:12" ht="18" x14ac:dyDescent="0.3">
      <c r="A271" s="132">
        <f t="shared" si="9"/>
        <v>46492</v>
      </c>
      <c r="B271" s="147" t="str">
        <f t="shared" si="8"/>
        <v>Thursday</v>
      </c>
      <c r="C271" s="148" t="s">
        <v>244</v>
      </c>
      <c r="D271" s="148" t="s">
        <v>244</v>
      </c>
      <c r="E271" s="148" t="s">
        <v>244</v>
      </c>
      <c r="F271" s="148" t="s">
        <v>244</v>
      </c>
      <c r="G271" s="148" t="s">
        <v>244</v>
      </c>
      <c r="H271" s="148" t="s">
        <v>244</v>
      </c>
      <c r="I271" s="148" t="s">
        <v>244</v>
      </c>
      <c r="J271" s="148" t="s">
        <v>244</v>
      </c>
      <c r="K271" s="148" t="s">
        <v>244</v>
      </c>
      <c r="L271" s="148" t="s">
        <v>244</v>
      </c>
    </row>
    <row r="272" spans="1:12" ht="18" x14ac:dyDescent="0.3">
      <c r="A272" s="132">
        <f t="shared" si="9"/>
        <v>46493</v>
      </c>
      <c r="B272" s="147" t="str">
        <f t="shared" si="8"/>
        <v>Friday</v>
      </c>
      <c r="C272" s="148" t="s">
        <v>244</v>
      </c>
      <c r="D272" s="148" t="s">
        <v>244</v>
      </c>
      <c r="E272" s="148" t="s">
        <v>244</v>
      </c>
      <c r="F272" s="148" t="s">
        <v>244</v>
      </c>
      <c r="G272" s="148" t="s">
        <v>244</v>
      </c>
      <c r="H272" s="148" t="s">
        <v>244</v>
      </c>
      <c r="I272" s="148" t="s">
        <v>244</v>
      </c>
      <c r="J272" s="148" t="s">
        <v>244</v>
      </c>
      <c r="K272" s="148" t="s">
        <v>244</v>
      </c>
      <c r="L272" s="148" t="s">
        <v>244</v>
      </c>
    </row>
    <row r="273" spans="1:12" ht="18" x14ac:dyDescent="0.3">
      <c r="A273" s="132">
        <f t="shared" si="9"/>
        <v>46494</v>
      </c>
      <c r="B273" s="147" t="str">
        <f t="shared" si="8"/>
        <v>Saturday</v>
      </c>
      <c r="C273" s="148" t="s">
        <v>244</v>
      </c>
      <c r="D273" s="148" t="s">
        <v>244</v>
      </c>
      <c r="E273" s="148" t="s">
        <v>244</v>
      </c>
      <c r="F273" s="148" t="s">
        <v>244</v>
      </c>
      <c r="G273" s="148" t="s">
        <v>244</v>
      </c>
      <c r="H273" s="148" t="s">
        <v>244</v>
      </c>
      <c r="I273" s="148" t="s">
        <v>244</v>
      </c>
      <c r="J273" s="148" t="s">
        <v>244</v>
      </c>
      <c r="K273" s="148" t="s">
        <v>244</v>
      </c>
      <c r="L273" s="148" t="s">
        <v>244</v>
      </c>
    </row>
    <row r="274" spans="1:12" ht="18" x14ac:dyDescent="0.3">
      <c r="A274" s="132">
        <f t="shared" si="9"/>
        <v>46495</v>
      </c>
      <c r="B274" s="147" t="str">
        <f t="shared" si="8"/>
        <v>Sunday</v>
      </c>
      <c r="C274" s="148" t="s">
        <v>244</v>
      </c>
      <c r="D274" s="148" t="s">
        <v>244</v>
      </c>
      <c r="E274" s="148" t="s">
        <v>244</v>
      </c>
      <c r="F274" s="148" t="s">
        <v>244</v>
      </c>
      <c r="G274" s="148" t="s">
        <v>244</v>
      </c>
      <c r="H274" s="148" t="s">
        <v>244</v>
      </c>
      <c r="I274" s="148" t="s">
        <v>244</v>
      </c>
      <c r="J274" s="148" t="s">
        <v>244</v>
      </c>
      <c r="K274" s="148" t="s">
        <v>244</v>
      </c>
      <c r="L274" s="148" t="s">
        <v>244</v>
      </c>
    </row>
    <row r="275" spans="1:12" ht="18" x14ac:dyDescent="0.3">
      <c r="A275" s="132">
        <f t="shared" si="9"/>
        <v>46496</v>
      </c>
      <c r="B275" s="147" t="str">
        <f t="shared" si="8"/>
        <v>Monday</v>
      </c>
      <c r="C275" s="148" t="s">
        <v>244</v>
      </c>
      <c r="D275" s="148" t="s">
        <v>244</v>
      </c>
      <c r="E275" s="148" t="s">
        <v>244</v>
      </c>
      <c r="F275" s="148" t="s">
        <v>244</v>
      </c>
      <c r="G275" s="148" t="s">
        <v>244</v>
      </c>
      <c r="H275" s="148" t="s">
        <v>244</v>
      </c>
      <c r="I275" s="148" t="s">
        <v>244</v>
      </c>
      <c r="J275" s="148" t="s">
        <v>244</v>
      </c>
      <c r="K275" s="148" t="s">
        <v>244</v>
      </c>
      <c r="L275" s="148" t="s">
        <v>244</v>
      </c>
    </row>
    <row r="276" spans="1:12" ht="18" x14ac:dyDescent="0.3">
      <c r="A276" s="132">
        <f t="shared" si="9"/>
        <v>46497</v>
      </c>
      <c r="B276" s="147" t="str">
        <f t="shared" si="8"/>
        <v>Tuesday</v>
      </c>
      <c r="C276" s="148" t="s">
        <v>244</v>
      </c>
      <c r="D276" s="148" t="s">
        <v>244</v>
      </c>
      <c r="E276" s="148" t="s">
        <v>244</v>
      </c>
      <c r="F276" s="148" t="s">
        <v>244</v>
      </c>
      <c r="G276" s="148" t="s">
        <v>244</v>
      </c>
      <c r="H276" s="148" t="s">
        <v>244</v>
      </c>
      <c r="I276" s="148" t="s">
        <v>244</v>
      </c>
      <c r="J276" s="148" t="s">
        <v>244</v>
      </c>
      <c r="K276" s="148" t="s">
        <v>244</v>
      </c>
      <c r="L276" s="148" t="s">
        <v>244</v>
      </c>
    </row>
    <row r="277" spans="1:12" ht="18" x14ac:dyDescent="0.3">
      <c r="A277" s="132">
        <f t="shared" si="9"/>
        <v>46498</v>
      </c>
      <c r="B277" s="147" t="str">
        <f t="shared" si="8"/>
        <v>Wednesday</v>
      </c>
      <c r="C277" s="148" t="s">
        <v>244</v>
      </c>
      <c r="D277" s="148" t="s">
        <v>244</v>
      </c>
      <c r="E277" s="148" t="s">
        <v>244</v>
      </c>
      <c r="F277" s="148" t="s">
        <v>244</v>
      </c>
      <c r="G277" s="148" t="s">
        <v>244</v>
      </c>
      <c r="H277" s="148" t="s">
        <v>244</v>
      </c>
      <c r="I277" s="148" t="s">
        <v>244</v>
      </c>
      <c r="J277" s="148" t="s">
        <v>244</v>
      </c>
      <c r="K277" s="148" t="s">
        <v>244</v>
      </c>
      <c r="L277" s="148" t="s">
        <v>244</v>
      </c>
    </row>
    <row r="278" spans="1:12" ht="18" x14ac:dyDescent="0.3">
      <c r="A278" s="132">
        <f t="shared" si="9"/>
        <v>46499</v>
      </c>
      <c r="B278" s="147" t="str">
        <f t="shared" si="8"/>
        <v>Thursday</v>
      </c>
      <c r="C278" s="148" t="s">
        <v>244</v>
      </c>
      <c r="D278" s="148" t="s">
        <v>244</v>
      </c>
      <c r="E278" s="148" t="s">
        <v>244</v>
      </c>
      <c r="F278" s="148" t="s">
        <v>244</v>
      </c>
      <c r="G278" s="148" t="s">
        <v>244</v>
      </c>
      <c r="H278" s="148" t="s">
        <v>244</v>
      </c>
      <c r="I278" s="148" t="s">
        <v>244</v>
      </c>
      <c r="J278" s="148" t="s">
        <v>244</v>
      </c>
      <c r="K278" s="148" t="s">
        <v>244</v>
      </c>
      <c r="L278" s="148" t="s">
        <v>244</v>
      </c>
    </row>
    <row r="279" spans="1:12" ht="18" x14ac:dyDescent="0.3">
      <c r="A279" s="132">
        <f t="shared" si="9"/>
        <v>46500</v>
      </c>
      <c r="B279" s="147" t="str">
        <f t="shared" si="8"/>
        <v>Friday</v>
      </c>
      <c r="C279" s="148" t="s">
        <v>244</v>
      </c>
      <c r="D279" s="148" t="s">
        <v>244</v>
      </c>
      <c r="E279" s="148" t="s">
        <v>244</v>
      </c>
      <c r="F279" s="148" t="s">
        <v>244</v>
      </c>
      <c r="G279" s="148" t="s">
        <v>244</v>
      </c>
      <c r="H279" s="148" t="s">
        <v>244</v>
      </c>
      <c r="I279" s="148" t="s">
        <v>244</v>
      </c>
      <c r="J279" s="148" t="s">
        <v>244</v>
      </c>
      <c r="K279" s="148" t="s">
        <v>244</v>
      </c>
      <c r="L279" s="148" t="s">
        <v>244</v>
      </c>
    </row>
    <row r="280" spans="1:12" ht="18" x14ac:dyDescent="0.3">
      <c r="A280" s="132">
        <f t="shared" si="9"/>
        <v>46501</v>
      </c>
      <c r="B280" s="147" t="str">
        <f t="shared" si="8"/>
        <v>Saturday</v>
      </c>
      <c r="C280" s="148" t="s">
        <v>244</v>
      </c>
      <c r="D280" s="148" t="s">
        <v>244</v>
      </c>
      <c r="E280" s="148" t="s">
        <v>244</v>
      </c>
      <c r="F280" s="148" t="s">
        <v>244</v>
      </c>
      <c r="G280" s="148" t="s">
        <v>244</v>
      </c>
      <c r="H280" s="148" t="s">
        <v>244</v>
      </c>
      <c r="I280" s="148" t="s">
        <v>244</v>
      </c>
      <c r="J280" s="148" t="s">
        <v>244</v>
      </c>
      <c r="K280" s="148" t="s">
        <v>244</v>
      </c>
      <c r="L280" s="148" t="s">
        <v>244</v>
      </c>
    </row>
    <row r="281" spans="1:12" ht="18" x14ac:dyDescent="0.3">
      <c r="A281" s="132">
        <f t="shared" si="9"/>
        <v>46502</v>
      </c>
      <c r="B281" s="147" t="str">
        <f t="shared" si="8"/>
        <v>Sunday</v>
      </c>
      <c r="C281" s="148" t="s">
        <v>244</v>
      </c>
      <c r="D281" s="148" t="s">
        <v>244</v>
      </c>
      <c r="E281" s="148" t="s">
        <v>244</v>
      </c>
      <c r="F281" s="148" t="s">
        <v>244</v>
      </c>
      <c r="G281" s="148" t="s">
        <v>244</v>
      </c>
      <c r="H281" s="148" t="s">
        <v>244</v>
      </c>
      <c r="I281" s="148" t="s">
        <v>244</v>
      </c>
      <c r="J281" s="148" t="s">
        <v>244</v>
      </c>
      <c r="K281" s="148" t="s">
        <v>244</v>
      </c>
      <c r="L281" s="148" t="s">
        <v>244</v>
      </c>
    </row>
    <row r="282" spans="1:12" ht="18" x14ac:dyDescent="0.3">
      <c r="A282" s="132">
        <f t="shared" si="9"/>
        <v>46503</v>
      </c>
      <c r="B282" s="147" t="str">
        <f t="shared" si="8"/>
        <v>Monday</v>
      </c>
      <c r="C282" s="148" t="s">
        <v>244</v>
      </c>
      <c r="D282" s="148" t="s">
        <v>244</v>
      </c>
      <c r="E282" s="148" t="s">
        <v>244</v>
      </c>
      <c r="F282" s="148" t="s">
        <v>244</v>
      </c>
      <c r="G282" s="148" t="s">
        <v>244</v>
      </c>
      <c r="H282" s="148" t="s">
        <v>244</v>
      </c>
      <c r="I282" s="148" t="s">
        <v>244</v>
      </c>
      <c r="J282" s="148" t="s">
        <v>244</v>
      </c>
      <c r="K282" s="148" t="s">
        <v>244</v>
      </c>
      <c r="L282" s="148" t="s">
        <v>244</v>
      </c>
    </row>
    <row r="283" spans="1:12" ht="18" x14ac:dyDescent="0.3">
      <c r="A283" s="132">
        <f t="shared" si="9"/>
        <v>46504</v>
      </c>
      <c r="B283" s="147" t="str">
        <f t="shared" si="8"/>
        <v>Tuesday</v>
      </c>
      <c r="C283" s="148" t="s">
        <v>244</v>
      </c>
      <c r="D283" s="148" t="s">
        <v>244</v>
      </c>
      <c r="E283" s="148" t="s">
        <v>244</v>
      </c>
      <c r="F283" s="148" t="s">
        <v>244</v>
      </c>
      <c r="G283" s="148" t="s">
        <v>244</v>
      </c>
      <c r="H283" s="148" t="s">
        <v>244</v>
      </c>
      <c r="I283" s="148" t="s">
        <v>244</v>
      </c>
      <c r="J283" s="148" t="s">
        <v>244</v>
      </c>
      <c r="K283" s="148" t="s">
        <v>244</v>
      </c>
      <c r="L283" s="148" t="s">
        <v>244</v>
      </c>
    </row>
    <row r="284" spans="1:12" ht="18" x14ac:dyDescent="0.3">
      <c r="A284" s="132">
        <f t="shared" si="9"/>
        <v>46505</v>
      </c>
      <c r="B284" s="147" t="str">
        <f t="shared" si="8"/>
        <v>Wednesday</v>
      </c>
      <c r="C284" s="148" t="s">
        <v>244</v>
      </c>
      <c r="D284" s="148" t="s">
        <v>244</v>
      </c>
      <c r="E284" s="148" t="s">
        <v>244</v>
      </c>
      <c r="F284" s="148" t="s">
        <v>244</v>
      </c>
      <c r="G284" s="148" t="s">
        <v>244</v>
      </c>
      <c r="H284" s="148" t="s">
        <v>244</v>
      </c>
      <c r="I284" s="148" t="s">
        <v>244</v>
      </c>
      <c r="J284" s="148" t="s">
        <v>244</v>
      </c>
      <c r="K284" s="148" t="s">
        <v>244</v>
      </c>
      <c r="L284" s="148" t="s">
        <v>244</v>
      </c>
    </row>
    <row r="285" spans="1:12" ht="18" x14ac:dyDescent="0.3">
      <c r="A285" s="132">
        <f t="shared" si="9"/>
        <v>46506</v>
      </c>
      <c r="B285" s="147" t="str">
        <f t="shared" si="8"/>
        <v>Thursday</v>
      </c>
      <c r="C285" s="148" t="s">
        <v>244</v>
      </c>
      <c r="D285" s="148" t="s">
        <v>244</v>
      </c>
      <c r="E285" s="148" t="s">
        <v>244</v>
      </c>
      <c r="F285" s="148" t="s">
        <v>244</v>
      </c>
      <c r="G285" s="148" t="s">
        <v>244</v>
      </c>
      <c r="H285" s="148" t="s">
        <v>244</v>
      </c>
      <c r="I285" s="148" t="s">
        <v>244</v>
      </c>
      <c r="J285" s="148" t="s">
        <v>244</v>
      </c>
      <c r="K285" s="148" t="s">
        <v>244</v>
      </c>
      <c r="L285" s="148" t="s">
        <v>244</v>
      </c>
    </row>
    <row r="286" spans="1:12" ht="18" x14ac:dyDescent="0.3">
      <c r="A286" s="132">
        <f t="shared" si="9"/>
        <v>46507</v>
      </c>
      <c r="B286" s="147" t="str">
        <f t="shared" si="8"/>
        <v>Friday</v>
      </c>
      <c r="C286" s="148" t="s">
        <v>244</v>
      </c>
      <c r="D286" s="148" t="s">
        <v>244</v>
      </c>
      <c r="E286" s="148" t="s">
        <v>244</v>
      </c>
      <c r="F286" s="148" t="s">
        <v>244</v>
      </c>
      <c r="G286" s="148" t="s">
        <v>244</v>
      </c>
      <c r="H286" s="148" t="s">
        <v>244</v>
      </c>
      <c r="I286" s="148" t="s">
        <v>244</v>
      </c>
      <c r="J286" s="148" t="s">
        <v>244</v>
      </c>
      <c r="K286" s="148" t="s">
        <v>244</v>
      </c>
      <c r="L286" s="148" t="s">
        <v>244</v>
      </c>
    </row>
    <row r="287" spans="1:12" ht="18" x14ac:dyDescent="0.3">
      <c r="A287" s="132">
        <f t="shared" si="9"/>
        <v>46508</v>
      </c>
      <c r="B287" s="147" t="str">
        <f t="shared" si="8"/>
        <v>Saturday</v>
      </c>
      <c r="C287" s="148" t="s">
        <v>244</v>
      </c>
      <c r="D287" s="148" t="s">
        <v>244</v>
      </c>
      <c r="E287" s="148" t="s">
        <v>244</v>
      </c>
      <c r="F287" s="148" t="s">
        <v>244</v>
      </c>
      <c r="G287" s="148" t="s">
        <v>244</v>
      </c>
      <c r="H287" s="148" t="s">
        <v>244</v>
      </c>
      <c r="I287" s="148" t="s">
        <v>244</v>
      </c>
      <c r="J287" s="148" t="s">
        <v>244</v>
      </c>
      <c r="K287" s="148" t="s">
        <v>244</v>
      </c>
      <c r="L287" s="148" t="s">
        <v>244</v>
      </c>
    </row>
    <row r="288" spans="1:12" ht="18" x14ac:dyDescent="0.3">
      <c r="A288" s="132">
        <f t="shared" si="9"/>
        <v>46509</v>
      </c>
      <c r="B288" s="147" t="str">
        <f t="shared" si="8"/>
        <v>Sunday</v>
      </c>
      <c r="C288" s="148" t="s">
        <v>244</v>
      </c>
      <c r="D288" s="148" t="s">
        <v>244</v>
      </c>
      <c r="E288" s="148" t="s">
        <v>244</v>
      </c>
      <c r="F288" s="148" t="s">
        <v>244</v>
      </c>
      <c r="G288" s="148" t="s">
        <v>244</v>
      </c>
      <c r="H288" s="148" t="s">
        <v>244</v>
      </c>
      <c r="I288" s="148" t="s">
        <v>244</v>
      </c>
      <c r="J288" s="148" t="s">
        <v>244</v>
      </c>
      <c r="K288" s="148" t="s">
        <v>244</v>
      </c>
      <c r="L288" s="148" t="s">
        <v>244</v>
      </c>
    </row>
    <row r="289" spans="1:12" ht="18" x14ac:dyDescent="0.3">
      <c r="A289" s="132">
        <f t="shared" si="9"/>
        <v>46510</v>
      </c>
      <c r="B289" s="147" t="str">
        <f t="shared" si="8"/>
        <v>Monday</v>
      </c>
      <c r="C289" s="148" t="s">
        <v>244</v>
      </c>
      <c r="D289" s="148" t="s">
        <v>244</v>
      </c>
      <c r="E289" s="148" t="s">
        <v>244</v>
      </c>
      <c r="F289" s="148" t="s">
        <v>244</v>
      </c>
      <c r="G289" s="148" t="s">
        <v>244</v>
      </c>
      <c r="H289" s="148" t="s">
        <v>244</v>
      </c>
      <c r="I289" s="148" t="s">
        <v>244</v>
      </c>
      <c r="J289" s="148" t="s">
        <v>244</v>
      </c>
      <c r="K289" s="148" t="s">
        <v>244</v>
      </c>
      <c r="L289" s="148" t="s">
        <v>244</v>
      </c>
    </row>
    <row r="290" spans="1:12" ht="18" x14ac:dyDescent="0.3">
      <c r="A290" s="132">
        <f t="shared" si="9"/>
        <v>46511</v>
      </c>
      <c r="B290" s="147" t="str">
        <f t="shared" si="8"/>
        <v>Tuesday</v>
      </c>
      <c r="C290" s="148" t="s">
        <v>244</v>
      </c>
      <c r="D290" s="148" t="s">
        <v>244</v>
      </c>
      <c r="E290" s="148" t="s">
        <v>244</v>
      </c>
      <c r="F290" s="148" t="s">
        <v>244</v>
      </c>
      <c r="G290" s="148" t="s">
        <v>244</v>
      </c>
      <c r="H290" s="148" t="s">
        <v>244</v>
      </c>
      <c r="I290" s="148" t="s">
        <v>244</v>
      </c>
      <c r="J290" s="148" t="s">
        <v>244</v>
      </c>
      <c r="K290" s="148" t="s">
        <v>244</v>
      </c>
      <c r="L290" s="148" t="s">
        <v>244</v>
      </c>
    </row>
    <row r="291" spans="1:12" ht="18" x14ac:dyDescent="0.3">
      <c r="A291" s="132">
        <f t="shared" si="9"/>
        <v>46512</v>
      </c>
      <c r="B291" s="147" t="str">
        <f t="shared" si="8"/>
        <v>Wednesday</v>
      </c>
      <c r="C291" s="148" t="s">
        <v>244</v>
      </c>
      <c r="D291" s="148" t="s">
        <v>244</v>
      </c>
      <c r="E291" s="148" t="s">
        <v>244</v>
      </c>
      <c r="F291" s="148" t="s">
        <v>244</v>
      </c>
      <c r="G291" s="148" t="s">
        <v>244</v>
      </c>
      <c r="H291" s="148" t="s">
        <v>244</v>
      </c>
      <c r="I291" s="148" t="s">
        <v>244</v>
      </c>
      <c r="J291" s="148" t="s">
        <v>244</v>
      </c>
      <c r="K291" s="148" t="s">
        <v>244</v>
      </c>
      <c r="L291" s="148" t="s">
        <v>244</v>
      </c>
    </row>
    <row r="292" spans="1:12" ht="18" x14ac:dyDescent="0.3">
      <c r="A292" s="132">
        <f t="shared" si="9"/>
        <v>46513</v>
      </c>
      <c r="B292" s="147" t="str">
        <f t="shared" si="8"/>
        <v>Thursday</v>
      </c>
      <c r="C292" s="148" t="s">
        <v>244</v>
      </c>
      <c r="D292" s="148" t="s">
        <v>244</v>
      </c>
      <c r="E292" s="148" t="s">
        <v>244</v>
      </c>
      <c r="F292" s="148" t="s">
        <v>244</v>
      </c>
      <c r="G292" s="148" t="s">
        <v>244</v>
      </c>
      <c r="H292" s="148" t="s">
        <v>244</v>
      </c>
      <c r="I292" s="148" t="s">
        <v>244</v>
      </c>
      <c r="J292" s="148" t="s">
        <v>244</v>
      </c>
      <c r="K292" s="148" t="s">
        <v>244</v>
      </c>
      <c r="L292" s="148" t="s">
        <v>244</v>
      </c>
    </row>
    <row r="293" spans="1:12" ht="18" x14ac:dyDescent="0.3">
      <c r="A293" s="132">
        <f t="shared" si="9"/>
        <v>46514</v>
      </c>
      <c r="B293" s="147" t="str">
        <f t="shared" si="8"/>
        <v>Friday</v>
      </c>
      <c r="C293" s="148" t="s">
        <v>244</v>
      </c>
      <c r="D293" s="148" t="s">
        <v>244</v>
      </c>
      <c r="E293" s="148" t="s">
        <v>244</v>
      </c>
      <c r="F293" s="148" t="s">
        <v>244</v>
      </c>
      <c r="G293" s="148" t="s">
        <v>244</v>
      </c>
      <c r="H293" s="148" t="s">
        <v>244</v>
      </c>
      <c r="I293" s="148" t="s">
        <v>244</v>
      </c>
      <c r="J293" s="148" t="s">
        <v>244</v>
      </c>
      <c r="K293" s="148" t="s">
        <v>244</v>
      </c>
      <c r="L293" s="148" t="s">
        <v>244</v>
      </c>
    </row>
    <row r="294" spans="1:12" ht="18" x14ac:dyDescent="0.3">
      <c r="A294" s="132">
        <f t="shared" si="9"/>
        <v>46515</v>
      </c>
      <c r="B294" s="147" t="str">
        <f t="shared" si="8"/>
        <v>Saturday</v>
      </c>
      <c r="C294" s="148" t="s">
        <v>244</v>
      </c>
      <c r="D294" s="148" t="s">
        <v>244</v>
      </c>
      <c r="E294" s="148" t="s">
        <v>244</v>
      </c>
      <c r="F294" s="148" t="s">
        <v>244</v>
      </c>
      <c r="G294" s="148" t="s">
        <v>244</v>
      </c>
      <c r="H294" s="148" t="s">
        <v>244</v>
      </c>
      <c r="I294" s="148" t="s">
        <v>244</v>
      </c>
      <c r="J294" s="148" t="s">
        <v>244</v>
      </c>
      <c r="K294" s="148" t="s">
        <v>244</v>
      </c>
      <c r="L294" s="148" t="s">
        <v>244</v>
      </c>
    </row>
    <row r="295" spans="1:12" ht="18" x14ac:dyDescent="0.3">
      <c r="A295" s="132">
        <f t="shared" si="9"/>
        <v>46516</v>
      </c>
      <c r="B295" s="147" t="str">
        <f t="shared" si="8"/>
        <v>Sunday</v>
      </c>
      <c r="C295" s="148" t="s">
        <v>244</v>
      </c>
      <c r="D295" s="148" t="s">
        <v>244</v>
      </c>
      <c r="E295" s="148" t="s">
        <v>244</v>
      </c>
      <c r="F295" s="148" t="s">
        <v>244</v>
      </c>
      <c r="G295" s="148" t="s">
        <v>244</v>
      </c>
      <c r="H295" s="148" t="s">
        <v>244</v>
      </c>
      <c r="I295" s="148" t="s">
        <v>244</v>
      </c>
      <c r="J295" s="148" t="s">
        <v>244</v>
      </c>
      <c r="K295" s="148" t="s">
        <v>244</v>
      </c>
      <c r="L295" s="148" t="s">
        <v>244</v>
      </c>
    </row>
    <row r="296" spans="1:12" ht="18" x14ac:dyDescent="0.3">
      <c r="A296" s="132">
        <f t="shared" si="9"/>
        <v>46517</v>
      </c>
      <c r="B296" s="147" t="str">
        <f t="shared" si="8"/>
        <v>Monday</v>
      </c>
      <c r="C296" s="148" t="s">
        <v>244</v>
      </c>
      <c r="D296" s="148" t="s">
        <v>244</v>
      </c>
      <c r="E296" s="148" t="s">
        <v>244</v>
      </c>
      <c r="F296" s="148" t="s">
        <v>244</v>
      </c>
      <c r="G296" s="148" t="s">
        <v>244</v>
      </c>
      <c r="H296" s="148" t="s">
        <v>244</v>
      </c>
      <c r="I296" s="148" t="s">
        <v>244</v>
      </c>
      <c r="J296" s="148" t="s">
        <v>244</v>
      </c>
      <c r="K296" s="148" t="s">
        <v>244</v>
      </c>
      <c r="L296" s="148" t="s">
        <v>244</v>
      </c>
    </row>
    <row r="297" spans="1:12" ht="18" x14ac:dyDescent="0.3">
      <c r="A297" s="132">
        <f t="shared" si="9"/>
        <v>46518</v>
      </c>
      <c r="B297" s="147" t="str">
        <f t="shared" si="8"/>
        <v>Tuesday</v>
      </c>
      <c r="C297" s="148" t="s">
        <v>244</v>
      </c>
      <c r="D297" s="148" t="s">
        <v>244</v>
      </c>
      <c r="E297" s="148" t="s">
        <v>244</v>
      </c>
      <c r="F297" s="148" t="s">
        <v>244</v>
      </c>
      <c r="G297" s="148" t="s">
        <v>244</v>
      </c>
      <c r="H297" s="148" t="s">
        <v>244</v>
      </c>
      <c r="I297" s="148" t="s">
        <v>244</v>
      </c>
      <c r="J297" s="148" t="s">
        <v>244</v>
      </c>
      <c r="K297" s="148" t="s">
        <v>244</v>
      </c>
      <c r="L297" s="148" t="s">
        <v>244</v>
      </c>
    </row>
    <row r="298" spans="1:12" ht="18" x14ac:dyDescent="0.3">
      <c r="A298" s="132">
        <f t="shared" si="9"/>
        <v>46519</v>
      </c>
      <c r="B298" s="147" t="str">
        <f t="shared" si="8"/>
        <v>Wednesday</v>
      </c>
      <c r="C298" s="148" t="s">
        <v>244</v>
      </c>
      <c r="D298" s="148" t="s">
        <v>244</v>
      </c>
      <c r="E298" s="148" t="s">
        <v>244</v>
      </c>
      <c r="F298" s="148" t="s">
        <v>244</v>
      </c>
      <c r="G298" s="148" t="s">
        <v>244</v>
      </c>
      <c r="H298" s="148" t="s">
        <v>244</v>
      </c>
      <c r="I298" s="148" t="s">
        <v>244</v>
      </c>
      <c r="J298" s="148" t="s">
        <v>244</v>
      </c>
      <c r="K298" s="148" t="s">
        <v>244</v>
      </c>
      <c r="L298" s="148" t="s">
        <v>244</v>
      </c>
    </row>
    <row r="299" spans="1:12" ht="18" x14ac:dyDescent="0.3">
      <c r="A299" s="132">
        <f t="shared" si="9"/>
        <v>46520</v>
      </c>
      <c r="B299" s="147" t="str">
        <f t="shared" si="8"/>
        <v>Thursday</v>
      </c>
      <c r="C299" s="148" t="s">
        <v>244</v>
      </c>
      <c r="D299" s="148" t="s">
        <v>244</v>
      </c>
      <c r="E299" s="148" t="s">
        <v>244</v>
      </c>
      <c r="F299" s="148" t="s">
        <v>244</v>
      </c>
      <c r="G299" s="148" t="s">
        <v>244</v>
      </c>
      <c r="H299" s="148" t="s">
        <v>244</v>
      </c>
      <c r="I299" s="148" t="s">
        <v>244</v>
      </c>
      <c r="J299" s="148" t="s">
        <v>244</v>
      </c>
      <c r="K299" s="148" t="s">
        <v>244</v>
      </c>
      <c r="L299" s="148" t="s">
        <v>244</v>
      </c>
    </row>
    <row r="300" spans="1:12" ht="18" x14ac:dyDescent="0.3">
      <c r="A300" s="132">
        <f t="shared" si="9"/>
        <v>46521</v>
      </c>
      <c r="B300" s="147" t="str">
        <f t="shared" si="8"/>
        <v>Friday</v>
      </c>
      <c r="C300" s="148" t="s">
        <v>244</v>
      </c>
      <c r="D300" s="148" t="s">
        <v>244</v>
      </c>
      <c r="E300" s="148" t="s">
        <v>244</v>
      </c>
      <c r="F300" s="148" t="s">
        <v>244</v>
      </c>
      <c r="G300" s="148" t="s">
        <v>244</v>
      </c>
      <c r="H300" s="148" t="s">
        <v>244</v>
      </c>
      <c r="I300" s="148" t="s">
        <v>244</v>
      </c>
      <c r="J300" s="148" t="s">
        <v>244</v>
      </c>
      <c r="K300" s="148" t="s">
        <v>244</v>
      </c>
      <c r="L300" s="148" t="s">
        <v>244</v>
      </c>
    </row>
    <row r="301" spans="1:12" ht="18" x14ac:dyDescent="0.3">
      <c r="A301" s="132">
        <f t="shared" si="9"/>
        <v>46522</v>
      </c>
      <c r="B301" s="147" t="str">
        <f t="shared" si="8"/>
        <v>Saturday</v>
      </c>
      <c r="C301" s="148" t="s">
        <v>244</v>
      </c>
      <c r="D301" s="148" t="s">
        <v>244</v>
      </c>
      <c r="E301" s="148" t="s">
        <v>244</v>
      </c>
      <c r="F301" s="148" t="s">
        <v>244</v>
      </c>
      <c r="G301" s="148" t="s">
        <v>244</v>
      </c>
      <c r="H301" s="148" t="s">
        <v>244</v>
      </c>
      <c r="I301" s="148" t="s">
        <v>244</v>
      </c>
      <c r="J301" s="148" t="s">
        <v>244</v>
      </c>
      <c r="K301" s="148" t="s">
        <v>244</v>
      </c>
      <c r="L301" s="148" t="s">
        <v>244</v>
      </c>
    </row>
    <row r="302" spans="1:12" ht="18" x14ac:dyDescent="0.3">
      <c r="A302" s="132">
        <f t="shared" si="9"/>
        <v>46523</v>
      </c>
      <c r="B302" s="147" t="str">
        <f t="shared" si="8"/>
        <v>Sunday</v>
      </c>
      <c r="C302" s="148" t="s">
        <v>244</v>
      </c>
      <c r="D302" s="148" t="s">
        <v>244</v>
      </c>
      <c r="E302" s="148" t="s">
        <v>244</v>
      </c>
      <c r="F302" s="148" t="s">
        <v>244</v>
      </c>
      <c r="G302" s="148" t="s">
        <v>244</v>
      </c>
      <c r="H302" s="148" t="s">
        <v>244</v>
      </c>
      <c r="I302" s="148" t="s">
        <v>244</v>
      </c>
      <c r="J302" s="148" t="s">
        <v>244</v>
      </c>
      <c r="K302" s="148" t="s">
        <v>244</v>
      </c>
      <c r="L302" s="148" t="s">
        <v>244</v>
      </c>
    </row>
    <row r="303" spans="1:12" ht="18" x14ac:dyDescent="0.3">
      <c r="A303" s="132">
        <f t="shared" si="9"/>
        <v>46524</v>
      </c>
      <c r="B303" s="147" t="str">
        <f t="shared" si="8"/>
        <v>Monday</v>
      </c>
      <c r="C303" s="148" t="s">
        <v>244</v>
      </c>
      <c r="D303" s="148" t="s">
        <v>244</v>
      </c>
      <c r="E303" s="148" t="s">
        <v>244</v>
      </c>
      <c r="F303" s="148" t="s">
        <v>244</v>
      </c>
      <c r="G303" s="148" t="s">
        <v>244</v>
      </c>
      <c r="H303" s="148" t="s">
        <v>244</v>
      </c>
      <c r="I303" s="148" t="s">
        <v>244</v>
      </c>
      <c r="J303" s="148" t="s">
        <v>244</v>
      </c>
      <c r="K303" s="148" t="s">
        <v>244</v>
      </c>
      <c r="L303" s="148" t="s">
        <v>244</v>
      </c>
    </row>
    <row r="304" spans="1:12" ht="18" x14ac:dyDescent="0.3">
      <c r="A304" s="132">
        <f t="shared" si="9"/>
        <v>46525</v>
      </c>
      <c r="B304" s="147" t="str">
        <f t="shared" si="8"/>
        <v>Tuesday</v>
      </c>
      <c r="C304" s="148" t="s">
        <v>244</v>
      </c>
      <c r="D304" s="148" t="s">
        <v>244</v>
      </c>
      <c r="E304" s="148" t="s">
        <v>244</v>
      </c>
      <c r="F304" s="148" t="s">
        <v>244</v>
      </c>
      <c r="G304" s="148" t="s">
        <v>244</v>
      </c>
      <c r="H304" s="148" t="s">
        <v>244</v>
      </c>
      <c r="I304" s="148" t="s">
        <v>244</v>
      </c>
      <c r="J304" s="148" t="s">
        <v>244</v>
      </c>
      <c r="K304" s="148" t="s">
        <v>244</v>
      </c>
      <c r="L304" s="148" t="s">
        <v>244</v>
      </c>
    </row>
    <row r="305" spans="1:12" ht="18" x14ac:dyDescent="0.3">
      <c r="A305" s="132">
        <f t="shared" si="9"/>
        <v>46526</v>
      </c>
      <c r="B305" s="147" t="str">
        <f t="shared" si="8"/>
        <v>Wednesday</v>
      </c>
      <c r="C305" s="148" t="s">
        <v>244</v>
      </c>
      <c r="D305" s="148" t="s">
        <v>244</v>
      </c>
      <c r="E305" s="148" t="s">
        <v>244</v>
      </c>
      <c r="F305" s="148" t="s">
        <v>244</v>
      </c>
      <c r="G305" s="148" t="s">
        <v>244</v>
      </c>
      <c r="H305" s="148" t="s">
        <v>244</v>
      </c>
      <c r="I305" s="148" t="s">
        <v>244</v>
      </c>
      <c r="J305" s="148" t="s">
        <v>244</v>
      </c>
      <c r="K305" s="148" t="s">
        <v>244</v>
      </c>
      <c r="L305" s="148" t="s">
        <v>244</v>
      </c>
    </row>
    <row r="306" spans="1:12" ht="18" x14ac:dyDescent="0.3">
      <c r="A306" s="132">
        <f t="shared" si="9"/>
        <v>46527</v>
      </c>
      <c r="B306" s="147" t="str">
        <f t="shared" si="8"/>
        <v>Thursday</v>
      </c>
      <c r="C306" s="148" t="s">
        <v>244</v>
      </c>
      <c r="D306" s="148" t="s">
        <v>244</v>
      </c>
      <c r="E306" s="148" t="s">
        <v>244</v>
      </c>
      <c r="F306" s="148" t="s">
        <v>244</v>
      </c>
      <c r="G306" s="148" t="s">
        <v>244</v>
      </c>
      <c r="H306" s="148" t="s">
        <v>244</v>
      </c>
      <c r="I306" s="148" t="s">
        <v>244</v>
      </c>
      <c r="J306" s="148" t="s">
        <v>244</v>
      </c>
      <c r="K306" s="148" t="s">
        <v>244</v>
      </c>
      <c r="L306" s="148" t="s">
        <v>244</v>
      </c>
    </row>
    <row r="307" spans="1:12" ht="18" x14ac:dyDescent="0.3">
      <c r="A307" s="132">
        <f t="shared" si="9"/>
        <v>46528</v>
      </c>
      <c r="B307" s="147" t="str">
        <f t="shared" si="8"/>
        <v>Friday</v>
      </c>
      <c r="C307" s="148" t="s">
        <v>244</v>
      </c>
      <c r="D307" s="148" t="s">
        <v>244</v>
      </c>
      <c r="E307" s="148" t="s">
        <v>244</v>
      </c>
      <c r="F307" s="148" t="s">
        <v>244</v>
      </c>
      <c r="G307" s="148" t="s">
        <v>244</v>
      </c>
      <c r="H307" s="148" t="s">
        <v>244</v>
      </c>
      <c r="I307" s="148" t="s">
        <v>244</v>
      </c>
      <c r="J307" s="148" t="s">
        <v>244</v>
      </c>
      <c r="K307" s="148" t="s">
        <v>244</v>
      </c>
      <c r="L307" s="148" t="s">
        <v>244</v>
      </c>
    </row>
    <row r="308" spans="1:12" ht="18" x14ac:dyDescent="0.3">
      <c r="A308" s="132">
        <f t="shared" si="9"/>
        <v>46529</v>
      </c>
      <c r="B308" s="147" t="str">
        <f t="shared" si="8"/>
        <v>Saturday</v>
      </c>
      <c r="C308" s="148" t="s">
        <v>244</v>
      </c>
      <c r="D308" s="148" t="s">
        <v>244</v>
      </c>
      <c r="E308" s="148" t="s">
        <v>244</v>
      </c>
      <c r="F308" s="148" t="s">
        <v>244</v>
      </c>
      <c r="G308" s="148" t="s">
        <v>244</v>
      </c>
      <c r="H308" s="148" t="s">
        <v>244</v>
      </c>
      <c r="I308" s="148" t="s">
        <v>244</v>
      </c>
      <c r="J308" s="148" t="s">
        <v>244</v>
      </c>
      <c r="K308" s="148" t="s">
        <v>244</v>
      </c>
      <c r="L308" s="148" t="s">
        <v>244</v>
      </c>
    </row>
    <row r="309" spans="1:12" ht="18" x14ac:dyDescent="0.3">
      <c r="A309" s="132">
        <f t="shared" si="9"/>
        <v>46530</v>
      </c>
      <c r="B309" s="147" t="str">
        <f t="shared" si="8"/>
        <v>Sunday</v>
      </c>
      <c r="C309" s="148" t="s">
        <v>244</v>
      </c>
      <c r="D309" s="148" t="s">
        <v>244</v>
      </c>
      <c r="E309" s="148" t="s">
        <v>244</v>
      </c>
      <c r="F309" s="148" t="s">
        <v>244</v>
      </c>
      <c r="G309" s="148" t="s">
        <v>244</v>
      </c>
      <c r="H309" s="148" t="s">
        <v>244</v>
      </c>
      <c r="I309" s="148" t="s">
        <v>244</v>
      </c>
      <c r="J309" s="148" t="s">
        <v>244</v>
      </c>
      <c r="K309" s="148" t="s">
        <v>244</v>
      </c>
      <c r="L309" s="148" t="s">
        <v>244</v>
      </c>
    </row>
    <row r="310" spans="1:12" ht="18" x14ac:dyDescent="0.3">
      <c r="A310" s="132">
        <f t="shared" si="9"/>
        <v>46531</v>
      </c>
      <c r="B310" s="147" t="str">
        <f t="shared" si="8"/>
        <v>Monday</v>
      </c>
      <c r="C310" s="148" t="s">
        <v>244</v>
      </c>
      <c r="D310" s="148" t="s">
        <v>244</v>
      </c>
      <c r="E310" s="148" t="s">
        <v>244</v>
      </c>
      <c r="F310" s="148" t="s">
        <v>244</v>
      </c>
      <c r="G310" s="148" t="s">
        <v>244</v>
      </c>
      <c r="H310" s="148" t="s">
        <v>244</v>
      </c>
      <c r="I310" s="148" t="s">
        <v>244</v>
      </c>
      <c r="J310" s="148" t="s">
        <v>244</v>
      </c>
      <c r="K310" s="148" t="s">
        <v>244</v>
      </c>
      <c r="L310" s="148" t="s">
        <v>244</v>
      </c>
    </row>
    <row r="311" spans="1:12" ht="18" x14ac:dyDescent="0.3">
      <c r="A311" s="132">
        <f t="shared" si="9"/>
        <v>46532</v>
      </c>
      <c r="B311" s="147" t="str">
        <f t="shared" si="8"/>
        <v>Tuesday</v>
      </c>
      <c r="C311" s="148" t="s">
        <v>244</v>
      </c>
      <c r="D311" s="148" t="s">
        <v>244</v>
      </c>
      <c r="E311" s="148" t="s">
        <v>244</v>
      </c>
      <c r="F311" s="148" t="s">
        <v>244</v>
      </c>
      <c r="G311" s="148" t="s">
        <v>244</v>
      </c>
      <c r="H311" s="148" t="s">
        <v>244</v>
      </c>
      <c r="I311" s="148" t="s">
        <v>244</v>
      </c>
      <c r="J311" s="148" t="s">
        <v>244</v>
      </c>
      <c r="K311" s="148" t="s">
        <v>244</v>
      </c>
      <c r="L311" s="148" t="s">
        <v>244</v>
      </c>
    </row>
    <row r="312" spans="1:12" ht="18" x14ac:dyDescent="0.3">
      <c r="A312" s="132">
        <f t="shared" si="9"/>
        <v>46533</v>
      </c>
      <c r="B312" s="147" t="str">
        <f t="shared" si="8"/>
        <v>Wednesday</v>
      </c>
      <c r="C312" s="148" t="s">
        <v>244</v>
      </c>
      <c r="D312" s="148" t="s">
        <v>244</v>
      </c>
      <c r="E312" s="148" t="s">
        <v>244</v>
      </c>
      <c r="F312" s="148" t="s">
        <v>244</v>
      </c>
      <c r="G312" s="148" t="s">
        <v>244</v>
      </c>
      <c r="H312" s="148" t="s">
        <v>244</v>
      </c>
      <c r="I312" s="148" t="s">
        <v>244</v>
      </c>
      <c r="J312" s="148" t="s">
        <v>244</v>
      </c>
      <c r="K312" s="148" t="s">
        <v>244</v>
      </c>
      <c r="L312" s="148" t="s">
        <v>244</v>
      </c>
    </row>
    <row r="313" spans="1:12" ht="18" x14ac:dyDescent="0.3">
      <c r="A313" s="132">
        <f t="shared" si="9"/>
        <v>46534</v>
      </c>
      <c r="B313" s="147" t="str">
        <f t="shared" si="8"/>
        <v>Thursday</v>
      </c>
      <c r="C313" s="148" t="s">
        <v>244</v>
      </c>
      <c r="D313" s="148" t="s">
        <v>244</v>
      </c>
      <c r="E313" s="148" t="s">
        <v>244</v>
      </c>
      <c r="F313" s="148" t="s">
        <v>244</v>
      </c>
      <c r="G313" s="148" t="s">
        <v>244</v>
      </c>
      <c r="H313" s="148" t="s">
        <v>244</v>
      </c>
      <c r="I313" s="148" t="s">
        <v>244</v>
      </c>
      <c r="J313" s="148" t="s">
        <v>244</v>
      </c>
      <c r="K313" s="148" t="s">
        <v>244</v>
      </c>
      <c r="L313" s="148" t="s">
        <v>244</v>
      </c>
    </row>
    <row r="314" spans="1:12" ht="18" x14ac:dyDescent="0.3">
      <c r="A314" s="132">
        <f t="shared" si="9"/>
        <v>46535</v>
      </c>
      <c r="B314" s="147" t="str">
        <f t="shared" si="8"/>
        <v>Friday</v>
      </c>
      <c r="C314" s="148" t="s">
        <v>244</v>
      </c>
      <c r="D314" s="148" t="s">
        <v>244</v>
      </c>
      <c r="E314" s="148" t="s">
        <v>244</v>
      </c>
      <c r="F314" s="148" t="s">
        <v>244</v>
      </c>
      <c r="G314" s="148" t="s">
        <v>244</v>
      </c>
      <c r="H314" s="148" t="s">
        <v>244</v>
      </c>
      <c r="I314" s="148" t="s">
        <v>244</v>
      </c>
      <c r="J314" s="148" t="s">
        <v>244</v>
      </c>
      <c r="K314" s="148" t="s">
        <v>244</v>
      </c>
      <c r="L314" s="148" t="s">
        <v>244</v>
      </c>
    </row>
    <row r="315" spans="1:12" ht="18" x14ac:dyDescent="0.3">
      <c r="A315" s="132">
        <f t="shared" si="9"/>
        <v>46536</v>
      </c>
      <c r="B315" s="147" t="str">
        <f t="shared" si="8"/>
        <v>Saturday</v>
      </c>
      <c r="C315" s="148" t="s">
        <v>244</v>
      </c>
      <c r="D315" s="148" t="s">
        <v>244</v>
      </c>
      <c r="E315" s="148" t="s">
        <v>244</v>
      </c>
      <c r="F315" s="148" t="s">
        <v>244</v>
      </c>
      <c r="G315" s="148" t="s">
        <v>244</v>
      </c>
      <c r="H315" s="148" t="s">
        <v>244</v>
      </c>
      <c r="I315" s="148" t="s">
        <v>244</v>
      </c>
      <c r="J315" s="148" t="s">
        <v>244</v>
      </c>
      <c r="K315" s="148" t="s">
        <v>244</v>
      </c>
      <c r="L315" s="148" t="s">
        <v>244</v>
      </c>
    </row>
    <row r="316" spans="1:12" ht="18" x14ac:dyDescent="0.3">
      <c r="A316" s="132">
        <f t="shared" si="9"/>
        <v>46537</v>
      </c>
      <c r="B316" s="147" t="str">
        <f t="shared" si="8"/>
        <v>Sunday</v>
      </c>
      <c r="C316" s="148" t="s">
        <v>244</v>
      </c>
      <c r="D316" s="148" t="s">
        <v>244</v>
      </c>
      <c r="E316" s="148" t="s">
        <v>244</v>
      </c>
      <c r="F316" s="148" t="s">
        <v>244</v>
      </c>
      <c r="G316" s="148" t="s">
        <v>244</v>
      </c>
      <c r="H316" s="148" t="s">
        <v>244</v>
      </c>
      <c r="I316" s="148" t="s">
        <v>244</v>
      </c>
      <c r="J316" s="148" t="s">
        <v>244</v>
      </c>
      <c r="K316" s="148" t="s">
        <v>244</v>
      </c>
      <c r="L316" s="148" t="s">
        <v>244</v>
      </c>
    </row>
    <row r="317" spans="1:12" ht="18" x14ac:dyDescent="0.3">
      <c r="A317" s="132">
        <f t="shared" si="9"/>
        <v>46538</v>
      </c>
      <c r="B317" s="147" t="str">
        <f t="shared" si="8"/>
        <v>Monday</v>
      </c>
      <c r="C317" s="148" t="s">
        <v>244</v>
      </c>
      <c r="D317" s="148" t="s">
        <v>244</v>
      </c>
      <c r="E317" s="148" t="s">
        <v>244</v>
      </c>
      <c r="F317" s="148" t="s">
        <v>244</v>
      </c>
      <c r="G317" s="148" t="s">
        <v>244</v>
      </c>
      <c r="H317" s="148" t="s">
        <v>244</v>
      </c>
      <c r="I317" s="148" t="s">
        <v>244</v>
      </c>
      <c r="J317" s="148" t="s">
        <v>244</v>
      </c>
      <c r="K317" s="148" t="s">
        <v>244</v>
      </c>
      <c r="L317" s="148" t="s">
        <v>244</v>
      </c>
    </row>
    <row r="318" spans="1:12" ht="18" x14ac:dyDescent="0.3">
      <c r="A318" s="132">
        <f t="shared" si="9"/>
        <v>46539</v>
      </c>
      <c r="B318" s="147" t="str">
        <f t="shared" si="8"/>
        <v>Tuesday</v>
      </c>
      <c r="C318" s="148" t="s">
        <v>244</v>
      </c>
      <c r="D318" s="148" t="s">
        <v>244</v>
      </c>
      <c r="E318" s="148" t="s">
        <v>244</v>
      </c>
      <c r="F318" s="148" t="s">
        <v>244</v>
      </c>
      <c r="G318" s="148" t="s">
        <v>244</v>
      </c>
      <c r="H318" s="148" t="s">
        <v>244</v>
      </c>
      <c r="I318" s="148" t="s">
        <v>244</v>
      </c>
      <c r="J318" s="148" t="s">
        <v>244</v>
      </c>
      <c r="K318" s="148" t="s">
        <v>244</v>
      </c>
      <c r="L318" s="148" t="s">
        <v>244</v>
      </c>
    </row>
    <row r="319" spans="1:12" ht="18" x14ac:dyDescent="0.3">
      <c r="A319" s="132">
        <f t="shared" si="9"/>
        <v>46540</v>
      </c>
      <c r="B319" s="147" t="str">
        <f t="shared" si="8"/>
        <v>Wednesday</v>
      </c>
      <c r="C319" s="148" t="s">
        <v>244</v>
      </c>
      <c r="D319" s="148" t="s">
        <v>244</v>
      </c>
      <c r="E319" s="148" t="s">
        <v>244</v>
      </c>
      <c r="F319" s="148" t="s">
        <v>244</v>
      </c>
      <c r="G319" s="148" t="s">
        <v>244</v>
      </c>
      <c r="H319" s="148" t="s">
        <v>244</v>
      </c>
      <c r="I319" s="148" t="s">
        <v>244</v>
      </c>
      <c r="J319" s="148" t="s">
        <v>244</v>
      </c>
      <c r="K319" s="148" t="s">
        <v>244</v>
      </c>
      <c r="L319" s="148" t="s">
        <v>244</v>
      </c>
    </row>
    <row r="320" spans="1:12" ht="18" x14ac:dyDescent="0.3">
      <c r="A320" s="132">
        <f t="shared" si="9"/>
        <v>46541</v>
      </c>
      <c r="B320" s="147" t="str">
        <f t="shared" si="8"/>
        <v>Thursday</v>
      </c>
      <c r="C320" s="148" t="s">
        <v>244</v>
      </c>
      <c r="D320" s="148" t="s">
        <v>244</v>
      </c>
      <c r="E320" s="148" t="s">
        <v>244</v>
      </c>
      <c r="F320" s="148" t="s">
        <v>244</v>
      </c>
      <c r="G320" s="148" t="s">
        <v>244</v>
      </c>
      <c r="H320" s="148" t="s">
        <v>244</v>
      </c>
      <c r="I320" s="148" t="s">
        <v>244</v>
      </c>
      <c r="J320" s="148" t="s">
        <v>244</v>
      </c>
      <c r="K320" s="148" t="s">
        <v>244</v>
      </c>
      <c r="L320" s="148" t="s">
        <v>244</v>
      </c>
    </row>
    <row r="321" spans="1:12" ht="18" x14ac:dyDescent="0.3">
      <c r="A321" s="132">
        <f t="shared" si="9"/>
        <v>46542</v>
      </c>
      <c r="B321" s="147" t="str">
        <f t="shared" si="8"/>
        <v>Friday</v>
      </c>
      <c r="C321" s="148" t="s">
        <v>244</v>
      </c>
      <c r="D321" s="148" t="s">
        <v>244</v>
      </c>
      <c r="E321" s="148" t="s">
        <v>244</v>
      </c>
      <c r="F321" s="148" t="s">
        <v>244</v>
      </c>
      <c r="G321" s="148" t="s">
        <v>244</v>
      </c>
      <c r="H321" s="148" t="s">
        <v>244</v>
      </c>
      <c r="I321" s="148" t="s">
        <v>244</v>
      </c>
      <c r="J321" s="148" t="s">
        <v>244</v>
      </c>
      <c r="K321" s="148" t="s">
        <v>244</v>
      </c>
      <c r="L321" s="148" t="s">
        <v>244</v>
      </c>
    </row>
    <row r="322" spans="1:12" ht="18" x14ac:dyDescent="0.3">
      <c r="A322" s="132">
        <f t="shared" si="9"/>
        <v>46543</v>
      </c>
      <c r="B322" s="147" t="str">
        <f t="shared" ref="B322:B368" si="10">CHOOSE(WEEKDAY(A322,2),"Monday","Tuesday","Wednesday","Thursday","Friday","Saturday","Sunday")</f>
        <v>Saturday</v>
      </c>
      <c r="C322" s="148" t="s">
        <v>244</v>
      </c>
      <c r="D322" s="148" t="s">
        <v>244</v>
      </c>
      <c r="E322" s="148" t="s">
        <v>244</v>
      </c>
      <c r="F322" s="148" t="s">
        <v>244</v>
      </c>
      <c r="G322" s="148" t="s">
        <v>244</v>
      </c>
      <c r="H322" s="148" t="s">
        <v>244</v>
      </c>
      <c r="I322" s="148" t="s">
        <v>244</v>
      </c>
      <c r="J322" s="148" t="s">
        <v>244</v>
      </c>
      <c r="K322" s="148" t="s">
        <v>244</v>
      </c>
      <c r="L322" s="148" t="s">
        <v>244</v>
      </c>
    </row>
    <row r="323" spans="1:12" ht="18" x14ac:dyDescent="0.3">
      <c r="A323" s="132">
        <f t="shared" si="9"/>
        <v>46544</v>
      </c>
      <c r="B323" s="147" t="str">
        <f t="shared" si="10"/>
        <v>Sunday</v>
      </c>
      <c r="C323" s="148" t="s">
        <v>244</v>
      </c>
      <c r="D323" s="148" t="s">
        <v>244</v>
      </c>
      <c r="E323" s="148" t="s">
        <v>244</v>
      </c>
      <c r="F323" s="148" t="s">
        <v>244</v>
      </c>
      <c r="G323" s="148" t="s">
        <v>244</v>
      </c>
      <c r="H323" s="148" t="s">
        <v>244</v>
      </c>
      <c r="I323" s="148" t="s">
        <v>244</v>
      </c>
      <c r="J323" s="148" t="s">
        <v>244</v>
      </c>
      <c r="K323" s="148" t="s">
        <v>244</v>
      </c>
      <c r="L323" s="148" t="s">
        <v>244</v>
      </c>
    </row>
    <row r="324" spans="1:12" ht="18" x14ac:dyDescent="0.3">
      <c r="A324" s="132">
        <f t="shared" ref="A324:A368" si="11">A323+1</f>
        <v>46545</v>
      </c>
      <c r="B324" s="147" t="str">
        <f t="shared" si="10"/>
        <v>Monday</v>
      </c>
      <c r="C324" s="148" t="s">
        <v>244</v>
      </c>
      <c r="D324" s="148" t="s">
        <v>244</v>
      </c>
      <c r="E324" s="148" t="s">
        <v>244</v>
      </c>
      <c r="F324" s="148" t="s">
        <v>244</v>
      </c>
      <c r="G324" s="148" t="s">
        <v>244</v>
      </c>
      <c r="H324" s="148" t="s">
        <v>244</v>
      </c>
      <c r="I324" s="148" t="s">
        <v>244</v>
      </c>
      <c r="J324" s="148" t="s">
        <v>244</v>
      </c>
      <c r="K324" s="148" t="s">
        <v>244</v>
      </c>
      <c r="L324" s="148" t="s">
        <v>244</v>
      </c>
    </row>
    <row r="325" spans="1:12" ht="18" x14ac:dyDescent="0.3">
      <c r="A325" s="132">
        <f t="shared" si="11"/>
        <v>46546</v>
      </c>
      <c r="B325" s="147" t="str">
        <f t="shared" si="10"/>
        <v>Tuesday</v>
      </c>
      <c r="C325" s="148" t="s">
        <v>244</v>
      </c>
      <c r="D325" s="148" t="s">
        <v>244</v>
      </c>
      <c r="E325" s="148" t="s">
        <v>244</v>
      </c>
      <c r="F325" s="148" t="s">
        <v>244</v>
      </c>
      <c r="G325" s="148" t="s">
        <v>244</v>
      </c>
      <c r="H325" s="148" t="s">
        <v>244</v>
      </c>
      <c r="I325" s="148" t="s">
        <v>244</v>
      </c>
      <c r="J325" s="148" t="s">
        <v>244</v>
      </c>
      <c r="K325" s="148" t="s">
        <v>244</v>
      </c>
      <c r="L325" s="148" t="s">
        <v>244</v>
      </c>
    </row>
    <row r="326" spans="1:12" ht="18" x14ac:dyDescent="0.3">
      <c r="A326" s="132">
        <f t="shared" si="11"/>
        <v>46547</v>
      </c>
      <c r="B326" s="147" t="str">
        <f t="shared" si="10"/>
        <v>Wednesday</v>
      </c>
      <c r="C326" s="148" t="s">
        <v>244</v>
      </c>
      <c r="D326" s="148" t="s">
        <v>244</v>
      </c>
      <c r="E326" s="148" t="s">
        <v>244</v>
      </c>
      <c r="F326" s="148" t="s">
        <v>244</v>
      </c>
      <c r="G326" s="148" t="s">
        <v>244</v>
      </c>
      <c r="H326" s="148" t="s">
        <v>244</v>
      </c>
      <c r="I326" s="148" t="s">
        <v>244</v>
      </c>
      <c r="J326" s="148" t="s">
        <v>244</v>
      </c>
      <c r="K326" s="148" t="s">
        <v>244</v>
      </c>
      <c r="L326" s="148" t="s">
        <v>244</v>
      </c>
    </row>
    <row r="327" spans="1:12" ht="18" x14ac:dyDescent="0.3">
      <c r="A327" s="132">
        <f t="shared" si="11"/>
        <v>46548</v>
      </c>
      <c r="B327" s="147" t="str">
        <f t="shared" si="10"/>
        <v>Thursday</v>
      </c>
      <c r="C327" s="148" t="s">
        <v>244</v>
      </c>
      <c r="D327" s="148" t="s">
        <v>244</v>
      </c>
      <c r="E327" s="148" t="s">
        <v>244</v>
      </c>
      <c r="F327" s="148" t="s">
        <v>244</v>
      </c>
      <c r="G327" s="148" t="s">
        <v>244</v>
      </c>
      <c r="H327" s="148" t="s">
        <v>244</v>
      </c>
      <c r="I327" s="148" t="s">
        <v>244</v>
      </c>
      <c r="J327" s="148" t="s">
        <v>244</v>
      </c>
      <c r="K327" s="148" t="s">
        <v>244</v>
      </c>
      <c r="L327" s="148" t="s">
        <v>244</v>
      </c>
    </row>
    <row r="328" spans="1:12" ht="18" x14ac:dyDescent="0.3">
      <c r="A328" s="132">
        <f t="shared" si="11"/>
        <v>46549</v>
      </c>
      <c r="B328" s="147" t="str">
        <f t="shared" si="10"/>
        <v>Friday</v>
      </c>
      <c r="C328" s="148" t="s">
        <v>244</v>
      </c>
      <c r="D328" s="148" t="s">
        <v>244</v>
      </c>
      <c r="E328" s="148" t="s">
        <v>244</v>
      </c>
      <c r="F328" s="148" t="s">
        <v>244</v>
      </c>
      <c r="G328" s="148" t="s">
        <v>244</v>
      </c>
      <c r="H328" s="148" t="s">
        <v>244</v>
      </c>
      <c r="I328" s="148" t="s">
        <v>244</v>
      </c>
      <c r="J328" s="148" t="s">
        <v>244</v>
      </c>
      <c r="K328" s="148" t="s">
        <v>244</v>
      </c>
      <c r="L328" s="148" t="s">
        <v>244</v>
      </c>
    </row>
    <row r="329" spans="1:12" ht="18" x14ac:dyDescent="0.3">
      <c r="A329" s="132">
        <f t="shared" si="11"/>
        <v>46550</v>
      </c>
      <c r="B329" s="147" t="str">
        <f t="shared" si="10"/>
        <v>Saturday</v>
      </c>
      <c r="C329" s="148" t="s">
        <v>244</v>
      </c>
      <c r="D329" s="148" t="s">
        <v>244</v>
      </c>
      <c r="E329" s="148" t="s">
        <v>244</v>
      </c>
      <c r="F329" s="148" t="s">
        <v>244</v>
      </c>
      <c r="G329" s="148" t="s">
        <v>244</v>
      </c>
      <c r="H329" s="148" t="s">
        <v>244</v>
      </c>
      <c r="I329" s="148" t="s">
        <v>244</v>
      </c>
      <c r="J329" s="148" t="s">
        <v>244</v>
      </c>
      <c r="K329" s="148" t="s">
        <v>244</v>
      </c>
      <c r="L329" s="148" t="s">
        <v>244</v>
      </c>
    </row>
    <row r="330" spans="1:12" ht="18" x14ac:dyDescent="0.3">
      <c r="A330" s="132">
        <f t="shared" si="11"/>
        <v>46551</v>
      </c>
      <c r="B330" s="147" t="str">
        <f t="shared" si="10"/>
        <v>Sunday</v>
      </c>
      <c r="C330" s="148" t="s">
        <v>244</v>
      </c>
      <c r="D330" s="148" t="s">
        <v>244</v>
      </c>
      <c r="E330" s="148" t="s">
        <v>244</v>
      </c>
      <c r="F330" s="148" t="s">
        <v>244</v>
      </c>
      <c r="G330" s="148" t="s">
        <v>244</v>
      </c>
      <c r="H330" s="148" t="s">
        <v>244</v>
      </c>
      <c r="I330" s="148" t="s">
        <v>244</v>
      </c>
      <c r="J330" s="148" t="s">
        <v>244</v>
      </c>
      <c r="K330" s="148" t="s">
        <v>244</v>
      </c>
      <c r="L330" s="148" t="s">
        <v>244</v>
      </c>
    </row>
    <row r="331" spans="1:12" ht="18" x14ac:dyDescent="0.3">
      <c r="A331" s="132">
        <f t="shared" si="11"/>
        <v>46552</v>
      </c>
      <c r="B331" s="147" t="str">
        <f t="shared" si="10"/>
        <v>Monday</v>
      </c>
      <c r="C331" s="148" t="s">
        <v>244</v>
      </c>
      <c r="D331" s="148" t="s">
        <v>244</v>
      </c>
      <c r="E331" s="148" t="s">
        <v>244</v>
      </c>
      <c r="F331" s="148" t="s">
        <v>244</v>
      </c>
      <c r="G331" s="148" t="s">
        <v>244</v>
      </c>
      <c r="H331" s="148" t="s">
        <v>244</v>
      </c>
      <c r="I331" s="148" t="s">
        <v>244</v>
      </c>
      <c r="J331" s="148" t="s">
        <v>244</v>
      </c>
      <c r="K331" s="148" t="s">
        <v>244</v>
      </c>
      <c r="L331" s="148" t="s">
        <v>244</v>
      </c>
    </row>
    <row r="332" spans="1:12" ht="18" x14ac:dyDescent="0.3">
      <c r="A332" s="132">
        <f t="shared" si="11"/>
        <v>46553</v>
      </c>
      <c r="B332" s="147" t="str">
        <f t="shared" si="10"/>
        <v>Tuesday</v>
      </c>
      <c r="C332" s="148" t="s">
        <v>244</v>
      </c>
      <c r="D332" s="148" t="s">
        <v>244</v>
      </c>
      <c r="E332" s="148" t="s">
        <v>244</v>
      </c>
      <c r="F332" s="148" t="s">
        <v>244</v>
      </c>
      <c r="G332" s="148" t="s">
        <v>244</v>
      </c>
      <c r="H332" s="148" t="s">
        <v>244</v>
      </c>
      <c r="I332" s="148" t="s">
        <v>244</v>
      </c>
      <c r="J332" s="148" t="s">
        <v>244</v>
      </c>
      <c r="K332" s="148" t="s">
        <v>244</v>
      </c>
      <c r="L332" s="148" t="s">
        <v>244</v>
      </c>
    </row>
    <row r="333" spans="1:12" ht="18" x14ac:dyDescent="0.3">
      <c r="A333" s="132">
        <f t="shared" si="11"/>
        <v>46554</v>
      </c>
      <c r="B333" s="147" t="str">
        <f t="shared" si="10"/>
        <v>Wednesday</v>
      </c>
      <c r="C333" s="148" t="s">
        <v>244</v>
      </c>
      <c r="D333" s="148" t="s">
        <v>244</v>
      </c>
      <c r="E333" s="148" t="s">
        <v>244</v>
      </c>
      <c r="F333" s="148" t="s">
        <v>244</v>
      </c>
      <c r="G333" s="148" t="s">
        <v>244</v>
      </c>
      <c r="H333" s="148" t="s">
        <v>244</v>
      </c>
      <c r="I333" s="148" t="s">
        <v>244</v>
      </c>
      <c r="J333" s="148" t="s">
        <v>244</v>
      </c>
      <c r="K333" s="148" t="s">
        <v>244</v>
      </c>
      <c r="L333" s="148" t="s">
        <v>244</v>
      </c>
    </row>
    <row r="334" spans="1:12" ht="18" x14ac:dyDescent="0.3">
      <c r="A334" s="132">
        <f t="shared" si="11"/>
        <v>46555</v>
      </c>
      <c r="B334" s="147" t="str">
        <f t="shared" si="10"/>
        <v>Thursday</v>
      </c>
      <c r="C334" s="148" t="s">
        <v>244</v>
      </c>
      <c r="D334" s="148" t="s">
        <v>244</v>
      </c>
      <c r="E334" s="148" t="s">
        <v>244</v>
      </c>
      <c r="F334" s="148" t="s">
        <v>244</v>
      </c>
      <c r="G334" s="148" t="s">
        <v>244</v>
      </c>
      <c r="H334" s="148" t="s">
        <v>244</v>
      </c>
      <c r="I334" s="148" t="s">
        <v>244</v>
      </c>
      <c r="J334" s="148" t="s">
        <v>244</v>
      </c>
      <c r="K334" s="148" t="s">
        <v>244</v>
      </c>
      <c r="L334" s="148" t="s">
        <v>244</v>
      </c>
    </row>
    <row r="335" spans="1:12" ht="18" x14ac:dyDescent="0.3">
      <c r="A335" s="132">
        <f t="shared" si="11"/>
        <v>46556</v>
      </c>
      <c r="B335" s="147" t="str">
        <f t="shared" si="10"/>
        <v>Friday</v>
      </c>
      <c r="C335" s="148" t="s">
        <v>244</v>
      </c>
      <c r="D335" s="148" t="s">
        <v>244</v>
      </c>
      <c r="E335" s="148" t="s">
        <v>244</v>
      </c>
      <c r="F335" s="148" t="s">
        <v>244</v>
      </c>
      <c r="G335" s="148" t="s">
        <v>244</v>
      </c>
      <c r="H335" s="148" t="s">
        <v>244</v>
      </c>
      <c r="I335" s="148" t="s">
        <v>244</v>
      </c>
      <c r="J335" s="148" t="s">
        <v>244</v>
      </c>
      <c r="K335" s="148" t="s">
        <v>244</v>
      </c>
      <c r="L335" s="148" t="s">
        <v>244</v>
      </c>
    </row>
    <row r="336" spans="1:12" ht="18" x14ac:dyDescent="0.3">
      <c r="A336" s="132">
        <f t="shared" si="11"/>
        <v>46557</v>
      </c>
      <c r="B336" s="147" t="str">
        <f t="shared" si="10"/>
        <v>Saturday</v>
      </c>
      <c r="C336" s="148" t="s">
        <v>244</v>
      </c>
      <c r="D336" s="148" t="s">
        <v>244</v>
      </c>
      <c r="E336" s="148" t="s">
        <v>244</v>
      </c>
      <c r="F336" s="148" t="s">
        <v>244</v>
      </c>
      <c r="G336" s="148" t="s">
        <v>244</v>
      </c>
      <c r="H336" s="148" t="s">
        <v>244</v>
      </c>
      <c r="I336" s="148" t="s">
        <v>244</v>
      </c>
      <c r="J336" s="148" t="s">
        <v>244</v>
      </c>
      <c r="K336" s="148" t="s">
        <v>244</v>
      </c>
      <c r="L336" s="148" t="s">
        <v>244</v>
      </c>
    </row>
    <row r="337" spans="1:12" ht="18" x14ac:dyDescent="0.3">
      <c r="A337" s="132">
        <f t="shared" si="11"/>
        <v>46558</v>
      </c>
      <c r="B337" s="147" t="str">
        <f t="shared" si="10"/>
        <v>Sunday</v>
      </c>
      <c r="C337" s="148" t="s">
        <v>244</v>
      </c>
      <c r="D337" s="148" t="s">
        <v>244</v>
      </c>
      <c r="E337" s="148" t="s">
        <v>244</v>
      </c>
      <c r="F337" s="148" t="s">
        <v>244</v>
      </c>
      <c r="G337" s="148" t="s">
        <v>244</v>
      </c>
      <c r="H337" s="148" t="s">
        <v>244</v>
      </c>
      <c r="I337" s="148" t="s">
        <v>244</v>
      </c>
      <c r="J337" s="148" t="s">
        <v>244</v>
      </c>
      <c r="K337" s="148" t="s">
        <v>244</v>
      </c>
      <c r="L337" s="148" t="s">
        <v>244</v>
      </c>
    </row>
    <row r="338" spans="1:12" ht="18" x14ac:dyDescent="0.3">
      <c r="A338" s="132">
        <f t="shared" si="11"/>
        <v>46559</v>
      </c>
      <c r="B338" s="147" t="str">
        <f t="shared" si="10"/>
        <v>Monday</v>
      </c>
      <c r="C338" s="148" t="s">
        <v>244</v>
      </c>
      <c r="D338" s="148" t="s">
        <v>244</v>
      </c>
      <c r="E338" s="148" t="s">
        <v>244</v>
      </c>
      <c r="F338" s="148" t="s">
        <v>244</v>
      </c>
      <c r="G338" s="148" t="s">
        <v>244</v>
      </c>
      <c r="H338" s="148" t="s">
        <v>244</v>
      </c>
      <c r="I338" s="148" t="s">
        <v>244</v>
      </c>
      <c r="J338" s="148" t="s">
        <v>244</v>
      </c>
      <c r="K338" s="148" t="s">
        <v>244</v>
      </c>
      <c r="L338" s="148" t="s">
        <v>244</v>
      </c>
    </row>
    <row r="339" spans="1:12" ht="18" x14ac:dyDescent="0.3">
      <c r="A339" s="132">
        <f t="shared" si="11"/>
        <v>46560</v>
      </c>
      <c r="B339" s="147" t="str">
        <f t="shared" si="10"/>
        <v>Tuesday</v>
      </c>
      <c r="C339" s="148" t="s">
        <v>244</v>
      </c>
      <c r="D339" s="148" t="s">
        <v>244</v>
      </c>
      <c r="E339" s="148" t="s">
        <v>244</v>
      </c>
      <c r="F339" s="148" t="s">
        <v>244</v>
      </c>
      <c r="G339" s="148" t="s">
        <v>244</v>
      </c>
      <c r="H339" s="148" t="s">
        <v>244</v>
      </c>
      <c r="I339" s="148" t="s">
        <v>244</v>
      </c>
      <c r="J339" s="148" t="s">
        <v>244</v>
      </c>
      <c r="K339" s="148" t="s">
        <v>244</v>
      </c>
      <c r="L339" s="148" t="s">
        <v>244</v>
      </c>
    </row>
    <row r="340" spans="1:12" ht="18" x14ac:dyDescent="0.3">
      <c r="A340" s="132">
        <f t="shared" si="11"/>
        <v>46561</v>
      </c>
      <c r="B340" s="147" t="str">
        <f t="shared" si="10"/>
        <v>Wednesday</v>
      </c>
      <c r="C340" s="148" t="s">
        <v>244</v>
      </c>
      <c r="D340" s="148" t="s">
        <v>244</v>
      </c>
      <c r="E340" s="148" t="s">
        <v>244</v>
      </c>
      <c r="F340" s="148" t="s">
        <v>244</v>
      </c>
      <c r="G340" s="148" t="s">
        <v>244</v>
      </c>
      <c r="H340" s="148" t="s">
        <v>244</v>
      </c>
      <c r="I340" s="148" t="s">
        <v>244</v>
      </c>
      <c r="J340" s="148" t="s">
        <v>244</v>
      </c>
      <c r="K340" s="148" t="s">
        <v>244</v>
      </c>
      <c r="L340" s="148" t="s">
        <v>244</v>
      </c>
    </row>
    <row r="341" spans="1:12" ht="18" x14ac:dyDescent="0.3">
      <c r="A341" s="132">
        <f t="shared" si="11"/>
        <v>46562</v>
      </c>
      <c r="B341" s="147" t="str">
        <f t="shared" si="10"/>
        <v>Thursday</v>
      </c>
      <c r="C341" s="148" t="s">
        <v>244</v>
      </c>
      <c r="D341" s="148" t="s">
        <v>244</v>
      </c>
      <c r="E341" s="148" t="s">
        <v>244</v>
      </c>
      <c r="F341" s="148" t="s">
        <v>244</v>
      </c>
      <c r="G341" s="148" t="s">
        <v>244</v>
      </c>
      <c r="H341" s="148" t="s">
        <v>244</v>
      </c>
      <c r="I341" s="148" t="s">
        <v>244</v>
      </c>
      <c r="J341" s="148" t="s">
        <v>244</v>
      </c>
      <c r="K341" s="148" t="s">
        <v>244</v>
      </c>
      <c r="L341" s="148" t="s">
        <v>244</v>
      </c>
    </row>
    <row r="342" spans="1:12" ht="18" x14ac:dyDescent="0.3">
      <c r="A342" s="132">
        <f t="shared" si="11"/>
        <v>46563</v>
      </c>
      <c r="B342" s="147" t="str">
        <f t="shared" si="10"/>
        <v>Friday</v>
      </c>
      <c r="C342" s="148" t="s">
        <v>244</v>
      </c>
      <c r="D342" s="148" t="s">
        <v>244</v>
      </c>
      <c r="E342" s="148" t="s">
        <v>244</v>
      </c>
      <c r="F342" s="148" t="s">
        <v>244</v>
      </c>
      <c r="G342" s="148" t="s">
        <v>244</v>
      </c>
      <c r="H342" s="148" t="s">
        <v>244</v>
      </c>
      <c r="I342" s="148" t="s">
        <v>244</v>
      </c>
      <c r="J342" s="148" t="s">
        <v>244</v>
      </c>
      <c r="K342" s="148" t="s">
        <v>244</v>
      </c>
      <c r="L342" s="148" t="s">
        <v>244</v>
      </c>
    </row>
    <row r="343" spans="1:12" ht="18" x14ac:dyDescent="0.3">
      <c r="A343" s="132">
        <f t="shared" si="11"/>
        <v>46564</v>
      </c>
      <c r="B343" s="147" t="str">
        <f t="shared" si="10"/>
        <v>Saturday</v>
      </c>
      <c r="C343" s="148" t="s">
        <v>244</v>
      </c>
      <c r="D343" s="148" t="s">
        <v>244</v>
      </c>
      <c r="E343" s="148" t="s">
        <v>244</v>
      </c>
      <c r="F343" s="148" t="s">
        <v>244</v>
      </c>
      <c r="G343" s="148" t="s">
        <v>244</v>
      </c>
      <c r="H343" s="148" t="s">
        <v>244</v>
      </c>
      <c r="I343" s="148" t="s">
        <v>244</v>
      </c>
      <c r="J343" s="148" t="s">
        <v>244</v>
      </c>
      <c r="K343" s="148" t="s">
        <v>244</v>
      </c>
      <c r="L343" s="148" t="s">
        <v>244</v>
      </c>
    </row>
    <row r="344" spans="1:12" ht="18" x14ac:dyDescent="0.3">
      <c r="A344" s="132">
        <f t="shared" si="11"/>
        <v>46565</v>
      </c>
      <c r="B344" s="147" t="str">
        <f t="shared" si="10"/>
        <v>Sunday</v>
      </c>
      <c r="C344" s="148" t="s">
        <v>244</v>
      </c>
      <c r="D344" s="148" t="s">
        <v>244</v>
      </c>
      <c r="E344" s="148" t="s">
        <v>244</v>
      </c>
      <c r="F344" s="148" t="s">
        <v>244</v>
      </c>
      <c r="G344" s="148" t="s">
        <v>244</v>
      </c>
      <c r="H344" s="148" t="s">
        <v>244</v>
      </c>
      <c r="I344" s="148" t="s">
        <v>244</v>
      </c>
      <c r="J344" s="148" t="s">
        <v>244</v>
      </c>
      <c r="K344" s="148" t="s">
        <v>244</v>
      </c>
      <c r="L344" s="148" t="s">
        <v>244</v>
      </c>
    </row>
    <row r="345" spans="1:12" ht="18" x14ac:dyDescent="0.3">
      <c r="A345" s="132">
        <f t="shared" si="11"/>
        <v>46566</v>
      </c>
      <c r="B345" s="147" t="str">
        <f t="shared" si="10"/>
        <v>Monday</v>
      </c>
      <c r="C345" s="148" t="s">
        <v>244</v>
      </c>
      <c r="D345" s="148" t="s">
        <v>244</v>
      </c>
      <c r="E345" s="148" t="s">
        <v>244</v>
      </c>
      <c r="F345" s="148" t="s">
        <v>244</v>
      </c>
      <c r="G345" s="148" t="s">
        <v>244</v>
      </c>
      <c r="H345" s="148" t="s">
        <v>244</v>
      </c>
      <c r="I345" s="148" t="s">
        <v>244</v>
      </c>
      <c r="J345" s="148" t="s">
        <v>244</v>
      </c>
      <c r="K345" s="148" t="s">
        <v>244</v>
      </c>
      <c r="L345" s="148" t="s">
        <v>244</v>
      </c>
    </row>
    <row r="346" spans="1:12" ht="18" x14ac:dyDescent="0.3">
      <c r="A346" s="132">
        <f t="shared" si="11"/>
        <v>46567</v>
      </c>
      <c r="B346" s="147" t="str">
        <f t="shared" si="10"/>
        <v>Tuesday</v>
      </c>
      <c r="C346" s="148" t="s">
        <v>244</v>
      </c>
      <c r="D346" s="148" t="s">
        <v>244</v>
      </c>
      <c r="E346" s="148" t="s">
        <v>244</v>
      </c>
      <c r="F346" s="148" t="s">
        <v>244</v>
      </c>
      <c r="G346" s="148" t="s">
        <v>244</v>
      </c>
      <c r="H346" s="148" t="s">
        <v>244</v>
      </c>
      <c r="I346" s="148" t="s">
        <v>244</v>
      </c>
      <c r="J346" s="148" t="s">
        <v>244</v>
      </c>
      <c r="K346" s="148" t="s">
        <v>244</v>
      </c>
      <c r="L346" s="148" t="s">
        <v>244</v>
      </c>
    </row>
    <row r="347" spans="1:12" ht="18" x14ac:dyDescent="0.3">
      <c r="A347" s="132">
        <f t="shared" si="11"/>
        <v>46568</v>
      </c>
      <c r="B347" s="147" t="str">
        <f t="shared" si="10"/>
        <v>Wednesday</v>
      </c>
      <c r="C347" s="148" t="s">
        <v>244</v>
      </c>
      <c r="D347" s="148" t="s">
        <v>244</v>
      </c>
      <c r="E347" s="148" t="s">
        <v>244</v>
      </c>
      <c r="F347" s="148" t="s">
        <v>244</v>
      </c>
      <c r="G347" s="148" t="s">
        <v>244</v>
      </c>
      <c r="H347" s="148" t="s">
        <v>244</v>
      </c>
      <c r="I347" s="148" t="s">
        <v>244</v>
      </c>
      <c r="J347" s="148" t="s">
        <v>244</v>
      </c>
      <c r="K347" s="148" t="s">
        <v>244</v>
      </c>
      <c r="L347" s="148" t="s">
        <v>244</v>
      </c>
    </row>
    <row r="348" spans="1:12" ht="18" x14ac:dyDescent="0.3">
      <c r="A348" s="132">
        <f t="shared" si="11"/>
        <v>46569</v>
      </c>
      <c r="B348" s="147" t="str">
        <f t="shared" si="10"/>
        <v>Thursday</v>
      </c>
      <c r="C348" s="148" t="s">
        <v>244</v>
      </c>
      <c r="D348" s="148" t="s">
        <v>244</v>
      </c>
      <c r="E348" s="148" t="s">
        <v>244</v>
      </c>
      <c r="F348" s="148" t="s">
        <v>244</v>
      </c>
      <c r="G348" s="148" t="s">
        <v>244</v>
      </c>
      <c r="H348" s="148" t="s">
        <v>244</v>
      </c>
      <c r="I348" s="148" t="s">
        <v>244</v>
      </c>
      <c r="J348" s="148" t="s">
        <v>244</v>
      </c>
      <c r="K348" s="148" t="s">
        <v>244</v>
      </c>
      <c r="L348" s="148" t="s">
        <v>244</v>
      </c>
    </row>
    <row r="349" spans="1:12" ht="18" x14ac:dyDescent="0.3">
      <c r="A349" s="132">
        <f t="shared" si="11"/>
        <v>46570</v>
      </c>
      <c r="B349" s="147" t="str">
        <f t="shared" si="10"/>
        <v>Friday</v>
      </c>
      <c r="C349" s="148" t="s">
        <v>244</v>
      </c>
      <c r="D349" s="148" t="s">
        <v>244</v>
      </c>
      <c r="E349" s="148" t="s">
        <v>244</v>
      </c>
      <c r="F349" s="148" t="s">
        <v>244</v>
      </c>
      <c r="G349" s="148" t="s">
        <v>244</v>
      </c>
      <c r="H349" s="148" t="s">
        <v>244</v>
      </c>
      <c r="I349" s="148" t="s">
        <v>244</v>
      </c>
      <c r="J349" s="148" t="s">
        <v>244</v>
      </c>
      <c r="K349" s="148" t="s">
        <v>244</v>
      </c>
      <c r="L349" s="148" t="s">
        <v>244</v>
      </c>
    </row>
    <row r="350" spans="1:12" ht="18" x14ac:dyDescent="0.3">
      <c r="A350" s="132">
        <f t="shared" si="11"/>
        <v>46571</v>
      </c>
      <c r="B350" s="147" t="str">
        <f t="shared" si="10"/>
        <v>Saturday</v>
      </c>
      <c r="C350" s="148" t="s">
        <v>244</v>
      </c>
      <c r="D350" s="148" t="s">
        <v>244</v>
      </c>
      <c r="E350" s="148" t="s">
        <v>244</v>
      </c>
      <c r="F350" s="148" t="s">
        <v>244</v>
      </c>
      <c r="G350" s="148" t="s">
        <v>244</v>
      </c>
      <c r="H350" s="148" t="s">
        <v>244</v>
      </c>
      <c r="I350" s="148" t="s">
        <v>244</v>
      </c>
      <c r="J350" s="148" t="s">
        <v>244</v>
      </c>
      <c r="K350" s="148" t="s">
        <v>244</v>
      </c>
      <c r="L350" s="148" t="s">
        <v>244</v>
      </c>
    </row>
    <row r="351" spans="1:12" ht="18" x14ac:dyDescent="0.3">
      <c r="A351" s="132">
        <f t="shared" si="11"/>
        <v>46572</v>
      </c>
      <c r="B351" s="147" t="str">
        <f t="shared" si="10"/>
        <v>Sunday</v>
      </c>
      <c r="C351" s="148" t="s">
        <v>244</v>
      </c>
      <c r="D351" s="148" t="s">
        <v>244</v>
      </c>
      <c r="E351" s="148" t="s">
        <v>244</v>
      </c>
      <c r="F351" s="148" t="s">
        <v>244</v>
      </c>
      <c r="G351" s="148" t="s">
        <v>244</v>
      </c>
      <c r="H351" s="148" t="s">
        <v>244</v>
      </c>
      <c r="I351" s="148" t="s">
        <v>244</v>
      </c>
      <c r="J351" s="148" t="s">
        <v>244</v>
      </c>
      <c r="K351" s="148" t="s">
        <v>244</v>
      </c>
      <c r="L351" s="148" t="s">
        <v>244</v>
      </c>
    </row>
    <row r="352" spans="1:12" ht="18" x14ac:dyDescent="0.3">
      <c r="A352" s="132">
        <f t="shared" si="11"/>
        <v>46573</v>
      </c>
      <c r="B352" s="147" t="str">
        <f t="shared" si="10"/>
        <v>Monday</v>
      </c>
      <c r="C352" s="148" t="s">
        <v>244</v>
      </c>
      <c r="D352" s="148" t="s">
        <v>244</v>
      </c>
      <c r="E352" s="148" t="s">
        <v>244</v>
      </c>
      <c r="F352" s="148" t="s">
        <v>244</v>
      </c>
      <c r="G352" s="148" t="s">
        <v>244</v>
      </c>
      <c r="H352" s="148" t="s">
        <v>244</v>
      </c>
      <c r="I352" s="148" t="s">
        <v>244</v>
      </c>
      <c r="J352" s="148" t="s">
        <v>244</v>
      </c>
      <c r="K352" s="148" t="s">
        <v>244</v>
      </c>
      <c r="L352" s="148" t="s">
        <v>244</v>
      </c>
    </row>
    <row r="353" spans="1:12" ht="18" x14ac:dyDescent="0.3">
      <c r="A353" s="132">
        <f t="shared" si="11"/>
        <v>46574</v>
      </c>
      <c r="B353" s="147" t="str">
        <f t="shared" si="10"/>
        <v>Tuesday</v>
      </c>
      <c r="C353" s="148" t="s">
        <v>244</v>
      </c>
      <c r="D353" s="148" t="s">
        <v>244</v>
      </c>
      <c r="E353" s="148" t="s">
        <v>244</v>
      </c>
      <c r="F353" s="148" t="s">
        <v>244</v>
      </c>
      <c r="G353" s="148" t="s">
        <v>244</v>
      </c>
      <c r="H353" s="148" t="s">
        <v>244</v>
      </c>
      <c r="I353" s="148" t="s">
        <v>244</v>
      </c>
      <c r="J353" s="148" t="s">
        <v>244</v>
      </c>
      <c r="K353" s="148" t="s">
        <v>244</v>
      </c>
      <c r="L353" s="148" t="s">
        <v>244</v>
      </c>
    </row>
    <row r="354" spans="1:12" ht="18" x14ac:dyDescent="0.3">
      <c r="A354" s="132">
        <f t="shared" si="11"/>
        <v>46575</v>
      </c>
      <c r="B354" s="147" t="str">
        <f t="shared" si="10"/>
        <v>Wednesday</v>
      </c>
      <c r="C354" s="148" t="s">
        <v>244</v>
      </c>
      <c r="D354" s="148" t="s">
        <v>244</v>
      </c>
      <c r="E354" s="148" t="s">
        <v>244</v>
      </c>
      <c r="F354" s="148" t="s">
        <v>244</v>
      </c>
      <c r="G354" s="148" t="s">
        <v>244</v>
      </c>
      <c r="H354" s="148" t="s">
        <v>244</v>
      </c>
      <c r="I354" s="148" t="s">
        <v>244</v>
      </c>
      <c r="J354" s="148" t="s">
        <v>244</v>
      </c>
      <c r="K354" s="148" t="s">
        <v>244</v>
      </c>
      <c r="L354" s="148" t="s">
        <v>244</v>
      </c>
    </row>
    <row r="355" spans="1:12" ht="18" x14ac:dyDescent="0.3">
      <c r="A355" s="132">
        <f t="shared" si="11"/>
        <v>46576</v>
      </c>
      <c r="B355" s="147" t="str">
        <f t="shared" si="10"/>
        <v>Thursday</v>
      </c>
      <c r="C355" s="148" t="s">
        <v>244</v>
      </c>
      <c r="D355" s="148" t="s">
        <v>244</v>
      </c>
      <c r="E355" s="148" t="s">
        <v>244</v>
      </c>
      <c r="F355" s="148" t="s">
        <v>244</v>
      </c>
      <c r="G355" s="148" t="s">
        <v>244</v>
      </c>
      <c r="H355" s="148" t="s">
        <v>244</v>
      </c>
      <c r="I355" s="148" t="s">
        <v>244</v>
      </c>
      <c r="J355" s="148" t="s">
        <v>244</v>
      </c>
      <c r="K355" s="148" t="s">
        <v>244</v>
      </c>
      <c r="L355" s="148" t="s">
        <v>244</v>
      </c>
    </row>
    <row r="356" spans="1:12" ht="18" x14ac:dyDescent="0.3">
      <c r="A356" s="132">
        <f t="shared" si="11"/>
        <v>46577</v>
      </c>
      <c r="B356" s="147" t="str">
        <f t="shared" si="10"/>
        <v>Friday</v>
      </c>
      <c r="C356" s="148" t="s">
        <v>244</v>
      </c>
      <c r="D356" s="148" t="s">
        <v>244</v>
      </c>
      <c r="E356" s="148" t="s">
        <v>244</v>
      </c>
      <c r="F356" s="148" t="s">
        <v>244</v>
      </c>
      <c r="G356" s="148" t="s">
        <v>244</v>
      </c>
      <c r="H356" s="148" t="s">
        <v>244</v>
      </c>
      <c r="I356" s="148" t="s">
        <v>244</v>
      </c>
      <c r="J356" s="148" t="s">
        <v>244</v>
      </c>
      <c r="K356" s="148" t="s">
        <v>244</v>
      </c>
      <c r="L356" s="148" t="s">
        <v>244</v>
      </c>
    </row>
    <row r="357" spans="1:12" ht="18" x14ac:dyDescent="0.3">
      <c r="A357" s="132">
        <f t="shared" si="11"/>
        <v>46578</v>
      </c>
      <c r="B357" s="147" t="str">
        <f t="shared" si="10"/>
        <v>Saturday</v>
      </c>
      <c r="C357" s="148" t="s">
        <v>244</v>
      </c>
      <c r="D357" s="148" t="s">
        <v>244</v>
      </c>
      <c r="E357" s="148" t="s">
        <v>244</v>
      </c>
      <c r="F357" s="148" t="s">
        <v>244</v>
      </c>
      <c r="G357" s="148" t="s">
        <v>244</v>
      </c>
      <c r="H357" s="148" t="s">
        <v>244</v>
      </c>
      <c r="I357" s="148" t="s">
        <v>244</v>
      </c>
      <c r="J357" s="148" t="s">
        <v>244</v>
      </c>
      <c r="K357" s="148" t="s">
        <v>244</v>
      </c>
      <c r="L357" s="148" t="s">
        <v>244</v>
      </c>
    </row>
    <row r="358" spans="1:12" ht="18" x14ac:dyDescent="0.3">
      <c r="A358" s="132">
        <f t="shared" si="11"/>
        <v>46579</v>
      </c>
      <c r="B358" s="147" t="str">
        <f t="shared" si="10"/>
        <v>Sunday</v>
      </c>
      <c r="C358" s="148" t="s">
        <v>244</v>
      </c>
      <c r="D358" s="148" t="s">
        <v>244</v>
      </c>
      <c r="E358" s="148" t="s">
        <v>244</v>
      </c>
      <c r="F358" s="148" t="s">
        <v>244</v>
      </c>
      <c r="G358" s="148" t="s">
        <v>244</v>
      </c>
      <c r="H358" s="148" t="s">
        <v>244</v>
      </c>
      <c r="I358" s="148" t="s">
        <v>244</v>
      </c>
      <c r="J358" s="148" t="s">
        <v>244</v>
      </c>
      <c r="K358" s="148" t="s">
        <v>244</v>
      </c>
      <c r="L358" s="148" t="s">
        <v>244</v>
      </c>
    </row>
    <row r="359" spans="1:12" ht="18" x14ac:dyDescent="0.3">
      <c r="A359" s="132">
        <f t="shared" si="11"/>
        <v>46580</v>
      </c>
      <c r="B359" s="147" t="str">
        <f t="shared" si="10"/>
        <v>Monday</v>
      </c>
      <c r="C359" s="148" t="s">
        <v>244</v>
      </c>
      <c r="D359" s="148" t="s">
        <v>244</v>
      </c>
      <c r="E359" s="148" t="s">
        <v>244</v>
      </c>
      <c r="F359" s="148" t="s">
        <v>244</v>
      </c>
      <c r="G359" s="148" t="s">
        <v>244</v>
      </c>
      <c r="H359" s="148" t="s">
        <v>244</v>
      </c>
      <c r="I359" s="148" t="s">
        <v>244</v>
      </c>
      <c r="J359" s="148" t="s">
        <v>244</v>
      </c>
      <c r="K359" s="148" t="s">
        <v>244</v>
      </c>
      <c r="L359" s="148" t="s">
        <v>244</v>
      </c>
    </row>
    <row r="360" spans="1:12" ht="18" x14ac:dyDescent="0.3">
      <c r="A360" s="132">
        <f t="shared" si="11"/>
        <v>46581</v>
      </c>
      <c r="B360" s="147" t="str">
        <f t="shared" si="10"/>
        <v>Tuesday</v>
      </c>
      <c r="C360" s="148" t="s">
        <v>244</v>
      </c>
      <c r="D360" s="148" t="s">
        <v>244</v>
      </c>
      <c r="E360" s="148" t="s">
        <v>244</v>
      </c>
      <c r="F360" s="148" t="s">
        <v>244</v>
      </c>
      <c r="G360" s="148" t="s">
        <v>244</v>
      </c>
      <c r="H360" s="148" t="s">
        <v>244</v>
      </c>
      <c r="I360" s="148" t="s">
        <v>244</v>
      </c>
      <c r="J360" s="148" t="s">
        <v>244</v>
      </c>
      <c r="K360" s="148" t="s">
        <v>244</v>
      </c>
      <c r="L360" s="148" t="s">
        <v>244</v>
      </c>
    </row>
    <row r="361" spans="1:12" ht="18" x14ac:dyDescent="0.3">
      <c r="A361" s="132">
        <f t="shared" si="11"/>
        <v>46582</v>
      </c>
      <c r="B361" s="147" t="str">
        <f t="shared" si="10"/>
        <v>Wednesday</v>
      </c>
      <c r="C361" s="148" t="s">
        <v>244</v>
      </c>
      <c r="D361" s="148" t="s">
        <v>244</v>
      </c>
      <c r="E361" s="148" t="s">
        <v>244</v>
      </c>
      <c r="F361" s="148" t="s">
        <v>244</v>
      </c>
      <c r="G361" s="148" t="s">
        <v>244</v>
      </c>
      <c r="H361" s="148" t="s">
        <v>244</v>
      </c>
      <c r="I361" s="148" t="s">
        <v>244</v>
      </c>
      <c r="J361" s="148" t="s">
        <v>244</v>
      </c>
      <c r="K361" s="148" t="s">
        <v>244</v>
      </c>
      <c r="L361" s="148" t="s">
        <v>244</v>
      </c>
    </row>
    <row r="362" spans="1:12" ht="18" x14ac:dyDescent="0.3">
      <c r="A362" s="132">
        <f t="shared" si="11"/>
        <v>46583</v>
      </c>
      <c r="B362" s="147" t="str">
        <f t="shared" si="10"/>
        <v>Thursday</v>
      </c>
      <c r="C362" s="148" t="s">
        <v>244</v>
      </c>
      <c r="D362" s="148" t="s">
        <v>244</v>
      </c>
      <c r="E362" s="148" t="s">
        <v>244</v>
      </c>
      <c r="F362" s="148" t="s">
        <v>244</v>
      </c>
      <c r="G362" s="148" t="s">
        <v>244</v>
      </c>
      <c r="H362" s="148" t="s">
        <v>244</v>
      </c>
      <c r="I362" s="148" t="s">
        <v>244</v>
      </c>
      <c r="J362" s="148" t="s">
        <v>244</v>
      </c>
      <c r="K362" s="148" t="s">
        <v>244</v>
      </c>
      <c r="L362" s="148" t="s">
        <v>244</v>
      </c>
    </row>
    <row r="363" spans="1:12" ht="18" x14ac:dyDescent="0.3">
      <c r="A363" s="132">
        <f t="shared" si="11"/>
        <v>46584</v>
      </c>
      <c r="B363" s="147" t="str">
        <f t="shared" si="10"/>
        <v>Friday</v>
      </c>
      <c r="C363" s="148" t="s">
        <v>244</v>
      </c>
      <c r="D363" s="148" t="s">
        <v>244</v>
      </c>
      <c r="E363" s="148" t="s">
        <v>244</v>
      </c>
      <c r="F363" s="148" t="s">
        <v>244</v>
      </c>
      <c r="G363" s="148" t="s">
        <v>244</v>
      </c>
      <c r="H363" s="148" t="s">
        <v>244</v>
      </c>
      <c r="I363" s="148" t="s">
        <v>244</v>
      </c>
      <c r="J363" s="148" t="s">
        <v>244</v>
      </c>
      <c r="K363" s="148" t="s">
        <v>244</v>
      </c>
      <c r="L363" s="148" t="s">
        <v>244</v>
      </c>
    </row>
    <row r="364" spans="1:12" ht="18" x14ac:dyDescent="0.3">
      <c r="A364" s="132">
        <f t="shared" si="11"/>
        <v>46585</v>
      </c>
      <c r="B364" s="147" t="str">
        <f t="shared" si="10"/>
        <v>Saturday</v>
      </c>
      <c r="C364" s="148" t="s">
        <v>244</v>
      </c>
      <c r="D364" s="148" t="s">
        <v>244</v>
      </c>
      <c r="E364" s="148" t="s">
        <v>244</v>
      </c>
      <c r="F364" s="148" t="s">
        <v>244</v>
      </c>
      <c r="G364" s="148" t="s">
        <v>244</v>
      </c>
      <c r="H364" s="148" t="s">
        <v>244</v>
      </c>
      <c r="I364" s="148" t="s">
        <v>244</v>
      </c>
      <c r="J364" s="148" t="s">
        <v>244</v>
      </c>
      <c r="K364" s="148" t="s">
        <v>244</v>
      </c>
      <c r="L364" s="148" t="s">
        <v>244</v>
      </c>
    </row>
    <row r="365" spans="1:12" ht="18" x14ac:dyDescent="0.3">
      <c r="A365" s="132">
        <f t="shared" si="11"/>
        <v>46586</v>
      </c>
      <c r="B365" s="147" t="str">
        <f t="shared" si="10"/>
        <v>Sunday</v>
      </c>
      <c r="C365" s="148" t="s">
        <v>244</v>
      </c>
      <c r="D365" s="148" t="s">
        <v>244</v>
      </c>
      <c r="E365" s="148" t="s">
        <v>244</v>
      </c>
      <c r="F365" s="148" t="s">
        <v>244</v>
      </c>
      <c r="G365" s="148" t="s">
        <v>244</v>
      </c>
      <c r="H365" s="148" t="s">
        <v>244</v>
      </c>
      <c r="I365" s="148" t="s">
        <v>244</v>
      </c>
      <c r="J365" s="148" t="s">
        <v>244</v>
      </c>
      <c r="K365" s="148" t="s">
        <v>244</v>
      </c>
      <c r="L365" s="148" t="s">
        <v>244</v>
      </c>
    </row>
    <row r="366" spans="1:12" ht="18" x14ac:dyDescent="0.3">
      <c r="A366" s="132">
        <f t="shared" si="11"/>
        <v>46587</v>
      </c>
      <c r="B366" s="147" t="str">
        <f t="shared" si="10"/>
        <v>Monday</v>
      </c>
      <c r="C366" s="148" t="s">
        <v>244</v>
      </c>
      <c r="D366" s="148" t="s">
        <v>244</v>
      </c>
      <c r="E366" s="148" t="s">
        <v>244</v>
      </c>
      <c r="F366" s="148" t="s">
        <v>244</v>
      </c>
      <c r="G366" s="148" t="s">
        <v>244</v>
      </c>
      <c r="H366" s="148" t="s">
        <v>244</v>
      </c>
      <c r="I366" s="148" t="s">
        <v>244</v>
      </c>
      <c r="J366" s="148" t="s">
        <v>244</v>
      </c>
      <c r="K366" s="148" t="s">
        <v>244</v>
      </c>
      <c r="L366" s="148" t="s">
        <v>244</v>
      </c>
    </row>
    <row r="367" spans="1:12" ht="18" x14ac:dyDescent="0.3">
      <c r="A367" s="132">
        <f t="shared" si="11"/>
        <v>46588</v>
      </c>
      <c r="B367" s="147" t="str">
        <f t="shared" si="10"/>
        <v>Tuesday</v>
      </c>
      <c r="C367" s="148" t="s">
        <v>244</v>
      </c>
      <c r="D367" s="148" t="s">
        <v>244</v>
      </c>
      <c r="E367" s="148" t="s">
        <v>244</v>
      </c>
      <c r="F367" s="148" t="s">
        <v>244</v>
      </c>
      <c r="G367" s="148" t="s">
        <v>244</v>
      </c>
      <c r="H367" s="148" t="s">
        <v>244</v>
      </c>
      <c r="I367" s="148" t="s">
        <v>244</v>
      </c>
      <c r="J367" s="148" t="s">
        <v>244</v>
      </c>
      <c r="K367" s="148" t="s">
        <v>244</v>
      </c>
      <c r="L367" s="148" t="s">
        <v>244</v>
      </c>
    </row>
    <row r="368" spans="1:12" ht="18" x14ac:dyDescent="0.3">
      <c r="A368" s="132">
        <f t="shared" si="11"/>
        <v>46589</v>
      </c>
      <c r="B368" s="147" t="str">
        <f t="shared" si="10"/>
        <v>Wednesday</v>
      </c>
      <c r="C368" s="148" t="s">
        <v>244</v>
      </c>
      <c r="D368" s="148" t="s">
        <v>244</v>
      </c>
      <c r="E368" s="148" t="s">
        <v>244</v>
      </c>
      <c r="F368" s="148" t="s">
        <v>244</v>
      </c>
      <c r="G368" s="148" t="s">
        <v>244</v>
      </c>
      <c r="H368" s="148" t="s">
        <v>244</v>
      </c>
      <c r="I368" s="148" t="s">
        <v>244</v>
      </c>
      <c r="J368" s="148" t="s">
        <v>244</v>
      </c>
      <c r="K368" s="148" t="s">
        <v>244</v>
      </c>
      <c r="L368" s="148" t="s">
        <v>244</v>
      </c>
    </row>
    <row r="1048575" spans="1:1" x14ac:dyDescent="0.3">
      <c r="A1048575" t="s">
        <v>244</v>
      </c>
    </row>
    <row r="1048576" spans="1:1" x14ac:dyDescent="0.3">
      <c r="A1048576" t="s">
        <v>245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0"/>
  <sheetViews>
    <sheetView workbookViewId="0"/>
  </sheetViews>
  <sheetFormatPr defaultRowHeight="14.4" x14ac:dyDescent="0.3"/>
  <cols>
    <col min="3" max="3" width="19.109375" bestFit="1" customWidth="1"/>
    <col min="4" max="4" width="10.5546875" bestFit="1" customWidth="1"/>
    <col min="5" max="5" width="12.5546875" bestFit="1" customWidth="1"/>
    <col min="6" max="6" width="12.44140625" bestFit="1" customWidth="1"/>
    <col min="7" max="7" width="15.6640625" bestFit="1" customWidth="1"/>
    <col min="8" max="8" width="13.21875" bestFit="1" customWidth="1"/>
    <col min="9" max="9" width="12" bestFit="1" customWidth="1"/>
    <col min="10" max="10" width="13" bestFit="1" customWidth="1"/>
    <col min="12" max="12" width="17.6640625" bestFit="1" customWidth="1"/>
    <col min="13" max="13" width="15" bestFit="1" customWidth="1"/>
    <col min="14" max="14" width="14.109375" bestFit="1" customWidth="1"/>
    <col min="15" max="15" width="28.5546875" bestFit="1" customWidth="1"/>
  </cols>
  <sheetData>
    <row r="2" spans="3:15" ht="15" thickBot="1" x14ac:dyDescent="0.35">
      <c r="C2" s="60" t="s">
        <v>185</v>
      </c>
      <c r="D2" s="151" t="s">
        <v>253</v>
      </c>
      <c r="E2" s="151" t="s">
        <v>8</v>
      </c>
      <c r="F2" s="151" t="s">
        <v>9</v>
      </c>
      <c r="G2" s="151" t="s">
        <v>10</v>
      </c>
      <c r="H2" s="151" t="s">
        <v>11</v>
      </c>
      <c r="I2" s="151" t="s">
        <v>12</v>
      </c>
      <c r="J2" s="151" t="s">
        <v>13</v>
      </c>
      <c r="K2" s="151" t="s">
        <v>14</v>
      </c>
      <c r="L2" s="151" t="s">
        <v>255</v>
      </c>
      <c r="M2" s="151" t="s">
        <v>256</v>
      </c>
      <c r="N2" s="151" t="s">
        <v>257</v>
      </c>
      <c r="O2" s="150" t="s">
        <v>258</v>
      </c>
    </row>
    <row r="3" spans="3:15" ht="15" thickBot="1" x14ac:dyDescent="0.35">
      <c r="C3" s="152" t="s">
        <v>238</v>
      </c>
      <c r="D3" s="153" cm="1">
        <f t="array" aca="1" ref="D3" ca="1">SUMPRODUCT((Table7[Date]&gt;=$M$3)*(Table7[Date]&lt;=$N$3)*(Table7[Gym Training]="☑"))</f>
        <v>3</v>
      </c>
      <c r="E3" s="170">
        <f>_xlfn.NUMBERVALUE(LEFT(Schedule!C26,FIND(" ",Schedule!C26)-1),",",".")</f>
        <v>1.583</v>
      </c>
      <c r="F3" s="170">
        <f>_xlfn.NUMBERVALUE(LEFT(Schedule!D26,FIND(" ",Schedule!D26)-1),",",".")</f>
        <v>0.83299999999999996</v>
      </c>
      <c r="G3" s="170">
        <f>_xlfn.NUMBERVALUE(LEFT(Schedule!E26,FIND(" ",Schedule!E26)-1),",",".")</f>
        <v>0.83299999999999996</v>
      </c>
      <c r="H3" s="170">
        <f>_xlfn.NUMBERVALUE(LEFT(Schedule!F26,FIND(" ",Schedule!F26)-1),",",".")</f>
        <v>1.583</v>
      </c>
      <c r="I3" s="170">
        <f>_xlfn.NUMBERVALUE(LEFT(Schedule!G26,FIND(" ",Schedule!G26)-1),",",".")</f>
        <v>1.583</v>
      </c>
      <c r="J3" s="170">
        <f>_xlfn.NUMBERVALUE(LEFT(Schedule!H26,FIND(" ",Schedule!H26)-1),",",".")</f>
        <v>0</v>
      </c>
      <c r="K3" s="170">
        <f>_xlfn.NUMBERVALUE(LEFT(Schedule!I26,FIND(" ",Schedule!I26)-1),",",".")</f>
        <v>0</v>
      </c>
      <c r="L3" s="154" cm="1">
        <f t="array" aca="1" ref="L3" ca="1">SUMPRODUCT((Table7[Date]&gt;=$M$3)*(Table7[Date]&lt;=$N$3)*(Table7[Gym Training]="☑")*CHOOSE(WEEKDAY(Table7[Date],2),$E3,$F3,$G3,$H3,$I3,$J3,$K3))</f>
        <v>3.2489999999999997</v>
      </c>
      <c r="M3" s="155">
        <f ca="1">TODAY()-WEEKDAY(TODAY(),2)+1</f>
        <v>46265</v>
      </c>
      <c r="N3" s="155">
        <f ca="1">TODAY()-WEEKDAY(TODAY(),2)+7</f>
        <v>46271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Aug 31, 2026 to Sep 6, 2026</v>
      </c>
    </row>
    <row r="4" spans="3:15" ht="15" thickBot="1" x14ac:dyDescent="0.35">
      <c r="C4" s="156" t="s">
        <v>239</v>
      </c>
      <c r="D4" s="157" cm="1">
        <f t="array" aca="1" ref="D4" ca="1">SUMPRODUCT((Table7[Date]&gt;=$M$3)*(Table7[Date]&lt;=$N$3)*(Table7[Deutsch Lernen]="☑"))</f>
        <v>0</v>
      </c>
      <c r="E4" s="171">
        <f>_xlfn.NUMBERVALUE(LEFT(Schedule!C25,FIND(" ",Schedule!C25)-1),",",".")</f>
        <v>3</v>
      </c>
      <c r="F4" s="171">
        <f>_xlfn.NUMBERVALUE(LEFT(Schedule!D25,FIND(" ",Schedule!D25)-1),",",".")</f>
        <v>2</v>
      </c>
      <c r="G4" s="171">
        <f>_xlfn.NUMBERVALUE(LEFT(Schedule!E25,FIND(" ",Schedule!E25)-1),",",".")</f>
        <v>2</v>
      </c>
      <c r="H4" s="171">
        <f>_xlfn.NUMBERVALUE(LEFT(Schedule!F25,FIND(" ",Schedule!F25)-1),",",".")</f>
        <v>3</v>
      </c>
      <c r="I4" s="171">
        <f>_xlfn.NUMBERVALUE(LEFT(Schedule!G25,FIND(" ",Schedule!G25)-1),",",".")</f>
        <v>3</v>
      </c>
      <c r="J4" s="171">
        <f>_xlfn.NUMBERVALUE(LEFT(Schedule!H25,FIND(" ",Schedule!H25)-1),",",".")</f>
        <v>4</v>
      </c>
      <c r="K4" s="171">
        <f>_xlfn.NUMBERVALUE(LEFT(Schedule!I25,FIND(" ",Schedule!I25)-1),",",".")</f>
        <v>4</v>
      </c>
      <c r="L4" s="158" cm="1">
        <f t="array" aca="1" ref="L4" ca="1">SUMPRODUCT((Table7[Date]&gt;=$M$3)*(Table7[Date]&lt;=$N$3)*(Table7[Deutsch Lernen]="☑")*CHOOSE(WEEKDAY(Table7[Date],2),$E4,$F4,$G4,$H4,$I4,$J4,$K4))</f>
        <v>0</v>
      </c>
      <c r="M4" s="155">
        <f t="shared" ref="M4:M9" ca="1" si="0">TODAY()-WEEKDAY(TODAY(),2)+1</f>
        <v>46265</v>
      </c>
      <c r="N4" s="155">
        <f t="shared" ref="N4:N9" ca="1" si="1">TODAY()-WEEKDAY(TODAY(),2)+7</f>
        <v>46271</v>
      </c>
    </row>
    <row r="5" spans="3:15" ht="15" thickBot="1" x14ac:dyDescent="0.35">
      <c r="C5" s="156" t="s">
        <v>254</v>
      </c>
      <c r="D5" s="157" cm="1">
        <f t="array" aca="1" ref="D5" ca="1">SUMPRODUCT((Table7[Date]&gt;=$M$3)*(Table7[Date]&lt;=$N$3)*(Table7[Deutsch Flashcards (20 min)]="☑"))</f>
        <v>2</v>
      </c>
      <c r="E5" s="171">
        <f t="shared" ref="E5:K5" si="2">20/60</f>
        <v>0.33333333333333331</v>
      </c>
      <c r="F5" s="171">
        <f t="shared" si="2"/>
        <v>0.33333333333333331</v>
      </c>
      <c r="G5" s="171">
        <f t="shared" si="2"/>
        <v>0.33333333333333331</v>
      </c>
      <c r="H5" s="171">
        <f t="shared" si="2"/>
        <v>0.33333333333333331</v>
      </c>
      <c r="I5" s="171">
        <f t="shared" si="2"/>
        <v>0.33333333333333331</v>
      </c>
      <c r="J5" s="171">
        <f t="shared" si="2"/>
        <v>0.33333333333333331</v>
      </c>
      <c r="K5" s="171">
        <f t="shared" si="2"/>
        <v>0.33333333333333331</v>
      </c>
      <c r="L5" s="158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55">
        <f t="shared" ca="1" si="0"/>
        <v>46265</v>
      </c>
      <c r="N5" s="155">
        <f t="shared" ca="1" si="1"/>
        <v>46271</v>
      </c>
    </row>
    <row r="6" spans="3:15" ht="15" thickBot="1" x14ac:dyDescent="0.35">
      <c r="C6" s="156" t="s">
        <v>84</v>
      </c>
      <c r="D6" s="157" cm="1">
        <f t="array" aca="1" ref="D6" ca="1">SUMPRODUCT((Table7[Date]&gt;=$M$3)*(Table7[Date]&lt;=$N$3)*(Table7[Career Development]="☑"))</f>
        <v>0</v>
      </c>
      <c r="E6" s="171">
        <f>_xlfn.NUMBERVALUE(LEFT(Schedule!C31,FIND(" ",Schedule!C31)-1),",",".")</f>
        <v>3</v>
      </c>
      <c r="F6" s="171">
        <f>_xlfn.NUMBERVALUE(LEFT(Schedule!D31,FIND(" ",Schedule!D31)-1),",",".")</f>
        <v>0</v>
      </c>
      <c r="G6" s="171">
        <f>_xlfn.NUMBERVALUE(LEFT(Schedule!E31,FIND(" ",Schedule!E31)-1),",",".")</f>
        <v>0</v>
      </c>
      <c r="H6" s="171">
        <f>_xlfn.NUMBERVALUE(LEFT(Schedule!F31,FIND(" ",Schedule!F31)-1),",",".")</f>
        <v>2.5</v>
      </c>
      <c r="I6" s="171">
        <f>_xlfn.NUMBERVALUE(LEFT(Schedule!G31,FIND(" ",Schedule!G31)-1),",",".")</f>
        <v>3</v>
      </c>
      <c r="J6" s="171">
        <f>_xlfn.NUMBERVALUE(LEFT(Schedule!H31,FIND(" ",Schedule!H31)-1),",",".")</f>
        <v>2.0830000000000002</v>
      </c>
      <c r="K6" s="171">
        <f>_xlfn.NUMBERVALUE(LEFT(Schedule!I31,FIND(" ",Schedule!I31)-1),",",".")</f>
        <v>0</v>
      </c>
      <c r="L6" s="158" cm="1">
        <f t="array" aca="1" ref="L6" ca="1">SUMPRODUCT((Table7[Date]&gt;=$M$3)*(Table7[Date]&lt;=$N$3)*(Table7[Career Development]="☑")*CHOOSE(WEEKDAY(Table7[Date],2),$E6,$F6,$G6,$H6,$I6,$J6,$K6))</f>
        <v>0</v>
      </c>
      <c r="M6" s="155">
        <f t="shared" ca="1" si="0"/>
        <v>46265</v>
      </c>
      <c r="N6" s="155">
        <f t="shared" ca="1" si="1"/>
        <v>46271</v>
      </c>
    </row>
    <row r="7" spans="3:15" ht="15" thickBot="1" x14ac:dyDescent="0.35">
      <c r="C7" s="156" t="s">
        <v>3</v>
      </c>
      <c r="D7" s="157" cm="1">
        <f t="array" aca="1" ref="D7" ca="1">SUMPRODUCT((Table7[Date]&gt;=$M$3)*(Table7[Date]&lt;=$N$3)*(Table7[Calisthenics]="☑"))</f>
        <v>0</v>
      </c>
      <c r="E7" s="171">
        <f>_xlfn.NUMBERVALUE(LEFT(Schedule!C28,FIND(" ",Schedule!C28)-1),",",".")</f>
        <v>0</v>
      </c>
      <c r="F7" s="171">
        <f>_xlfn.NUMBERVALUE(LEFT(Schedule!D28,FIND(" ",Schedule!D28)-1),",",".")</f>
        <v>0</v>
      </c>
      <c r="G7" s="171">
        <f>_xlfn.NUMBERVALUE(LEFT(Schedule!E28,FIND(" ",Schedule!E28)-1),",",".")</f>
        <v>0</v>
      </c>
      <c r="H7" s="171">
        <f>_xlfn.NUMBERVALUE(LEFT(Schedule!F28,FIND(" ",Schedule!F28)-1),",",".")</f>
        <v>0</v>
      </c>
      <c r="I7" s="171">
        <f>_xlfn.NUMBERVALUE(LEFT(Schedule!G28,FIND(" ",Schedule!G28)-1),",",".")</f>
        <v>0</v>
      </c>
      <c r="J7" s="171">
        <f>_xlfn.NUMBERVALUE(LEFT(Schedule!H28,FIND(" ",Schedule!H28)-1),",",".")</f>
        <v>2</v>
      </c>
      <c r="K7" s="171">
        <f>_xlfn.NUMBERVALUE(LEFT(Schedule!I28,FIND(" ",Schedule!I28)-1),",",".")</f>
        <v>1</v>
      </c>
      <c r="L7" s="158" cm="1">
        <f t="array" aca="1" ref="L7" ca="1">SUMPRODUCT((Table7[Date]&gt;=$M$3)*(Table7[Date]&lt;=$N$3)*(Table7[Calisthenics]="☑")*CHOOSE(WEEKDAY(Table7[Date],2),$E7,$F7,$G7,$H7,$I7,$J7,$K7))</f>
        <v>0</v>
      </c>
      <c r="M7" s="155">
        <f t="shared" ca="1" si="0"/>
        <v>46265</v>
      </c>
      <c r="N7" s="155">
        <f t="shared" ca="1" si="1"/>
        <v>46271</v>
      </c>
    </row>
    <row r="8" spans="3:15" ht="15" thickBot="1" x14ac:dyDescent="0.35">
      <c r="C8" s="156" t="s">
        <v>242</v>
      </c>
      <c r="D8" s="157" cm="1">
        <f t="array" aca="1" ref="D8" ca="1">SUMPRODUCT((Table7[Date]&gt;=$M$3)*(Table7[Date]&lt;=$N$3)*(Table7[Kung Fu Training]="☑"))</f>
        <v>1</v>
      </c>
      <c r="E8" s="171">
        <f>_xlfn.NUMBERVALUE(LEFT(Schedule!C29,FIND(" ",Schedule!C29)-1),",",".")</f>
        <v>0</v>
      </c>
      <c r="F8" s="171">
        <f>_xlfn.NUMBERVALUE(LEFT(Schedule!D29,FIND(" ",Schedule!D29)-1),",",".")</f>
        <v>2.5</v>
      </c>
      <c r="G8" s="171">
        <f>_xlfn.NUMBERVALUE(LEFT(Schedule!E29,FIND(" ",Schedule!E29)-1),",",".")</f>
        <v>0</v>
      </c>
      <c r="H8" s="171">
        <f>_xlfn.NUMBERVALUE(LEFT(Schedule!F29,FIND(" ",Schedule!F29)-1),",",".")</f>
        <v>2.5</v>
      </c>
      <c r="I8" s="171">
        <f>_xlfn.NUMBERVALUE(LEFT(Schedule!G29,FIND(" ",Schedule!G29)-1),",",".")</f>
        <v>0</v>
      </c>
      <c r="J8" s="171">
        <f>_xlfn.NUMBERVALUE(LEFT(Schedule!H29,FIND(" ",Schedule!H29)-1),",",".")</f>
        <v>0</v>
      </c>
      <c r="K8" s="171">
        <f>_xlfn.NUMBERVALUE(LEFT(Schedule!I29,FIND(" ",Schedule!I29)-1),",",".")</f>
        <v>1.5</v>
      </c>
      <c r="L8" s="158" cm="1">
        <f t="array" aca="1" ref="L8" ca="1">SUMPRODUCT((Table7[Date]&gt;=$M$3)*(Table7[Date]&lt;=$N$3)*(Table7[Kung Fu Training]="☑")*CHOOSE(WEEKDAY(Table7[Date],2),$E8,$F8,$G8,$H8,$I8,$J8,$K8))</f>
        <v>2.5</v>
      </c>
      <c r="M8" s="155">
        <f t="shared" ca="1" si="0"/>
        <v>46265</v>
      </c>
      <c r="N8" s="155">
        <f t="shared" ca="1" si="1"/>
        <v>46271</v>
      </c>
    </row>
    <row r="9" spans="3:15" x14ac:dyDescent="0.3">
      <c r="C9" s="156" t="s">
        <v>243</v>
      </c>
      <c r="D9" s="157" cm="1">
        <f t="array" aca="1" ref="D9" ca="1">SUMPRODUCT((Table7[Date]&gt;=$M$3)*(Table7[Date]&lt;=$N$3)*(Table7[Guitar Practice]="☑"))</f>
        <v>0</v>
      </c>
      <c r="E9" s="171">
        <f>_xlfn.NUMBERVALUE(LEFT(Schedule!C30,FIND(" ",Schedule!C30)-1),",",".")</f>
        <v>0</v>
      </c>
      <c r="F9" s="171">
        <f>_xlfn.NUMBERVALUE(LEFT(Schedule!D30,FIND(" ",Schedule!D30)-1),",",".")</f>
        <v>0</v>
      </c>
      <c r="G9" s="171">
        <f>_xlfn.NUMBERVALUE(LEFT(Schedule!E30,FIND(" ",Schedule!E30)-1),",",".")</f>
        <v>0</v>
      </c>
      <c r="H9" s="171">
        <f>_xlfn.NUMBERVALUE(LEFT(Schedule!F30,FIND(" ",Schedule!F30)-1),",",".")</f>
        <v>0</v>
      </c>
      <c r="I9" s="171">
        <f>_xlfn.NUMBERVALUE(LEFT(Schedule!G30,FIND(" ",Schedule!G30)-1),",",".")</f>
        <v>0</v>
      </c>
      <c r="J9" s="171">
        <f>_xlfn.NUMBERVALUE(LEFT(Schedule!H30,FIND(" ",Schedule!H30)-1),",",".")</f>
        <v>2</v>
      </c>
      <c r="K9" s="171">
        <f>_xlfn.NUMBERVALUE(LEFT(Schedule!I30,FIND(" ",Schedule!I30)-1),",",".")</f>
        <v>2</v>
      </c>
      <c r="L9" s="158" cm="1">
        <f t="array" aca="1" ref="L9" ca="1">SUMPRODUCT((Table7[Date]&gt;=$M$3)*(Table7[Date]&lt;=$N$3)*(Table7[Guitar Practice]="☑")*CHOOSE(WEEKDAY(Table7[Date],2),$E9,$F9,$G9,$H9,$I9,$J9,$K9))</f>
        <v>0</v>
      </c>
      <c r="M9" s="155">
        <f t="shared" ca="1" si="0"/>
        <v>46265</v>
      </c>
      <c r="N9" s="155">
        <f t="shared" ca="1" si="1"/>
        <v>46271</v>
      </c>
    </row>
    <row r="10" spans="3:15" x14ac:dyDescent="0.3">
      <c r="C10" s="61"/>
      <c r="D10" s="61"/>
      <c r="E10" s="61"/>
      <c r="F10" s="61"/>
      <c r="G10" s="61"/>
      <c r="H10" s="61"/>
      <c r="I10" s="61"/>
      <c r="J10" s="61"/>
      <c r="K10" s="61"/>
      <c r="L10" s="149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10" sqref="B10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27.77734375" bestFit="1" customWidth="1"/>
    <col min="5" max="5" width="33.21875" bestFit="1" customWidth="1"/>
    <col min="6" max="6" width="19.5546875" bestFit="1" customWidth="1"/>
  </cols>
  <sheetData>
    <row r="2" spans="2:5" x14ac:dyDescent="0.3">
      <c r="B2" s="60" t="s">
        <v>137</v>
      </c>
      <c r="C2" s="60" t="s">
        <v>129</v>
      </c>
      <c r="D2" s="60" t="s">
        <v>202</v>
      </c>
      <c r="E2" s="60" t="s">
        <v>157</v>
      </c>
    </row>
    <row r="3" spans="2:5" x14ac:dyDescent="0.3">
      <c r="B3" s="61" t="s">
        <v>250</v>
      </c>
      <c r="C3" s="61" t="s">
        <v>150</v>
      </c>
      <c r="D3" s="62">
        <f ca="1">$B$1048562+_xlfn.CEILING.MATH((TODAY()-$B$1048562)/5, 1)*5-5</f>
        <v>46264</v>
      </c>
      <c r="E3" s="62">
        <f ca="1">$B$1048562+_xlfn.CEILING.MATH((TODAY()-$B$1048562)/5, 1)*5</f>
        <v>46269</v>
      </c>
    </row>
    <row r="4" spans="2:5" x14ac:dyDescent="0.3">
      <c r="B4" s="61" t="s">
        <v>132</v>
      </c>
      <c r="C4" s="61" t="s">
        <v>151</v>
      </c>
      <c r="D4" s="62">
        <f ca="1">TODAY()+MOD(6-WEEKDAY(TODAY(),2),7)-7</f>
        <v>46263</v>
      </c>
      <c r="E4" s="62">
        <f ca="1">TODAY()+MOD(6-WEEKDAY(TODAY(),2),7)</f>
        <v>46270</v>
      </c>
    </row>
    <row r="5" spans="2:5" x14ac:dyDescent="0.3">
      <c r="B5" s="61" t="s">
        <v>133</v>
      </c>
      <c r="C5" s="61" t="s">
        <v>151</v>
      </c>
      <c r="D5" s="62">
        <f ca="1">TODAY()+MOD(6-WEEKDAY(TODAY(),2),7)-7</f>
        <v>46263</v>
      </c>
      <c r="E5" s="62">
        <f ca="1">TODAY()+MOD(6-WEEKDAY(TODAY(),2),7)</f>
        <v>46270</v>
      </c>
    </row>
    <row r="6" spans="2:5" x14ac:dyDescent="0.3">
      <c r="B6" s="61" t="s">
        <v>154</v>
      </c>
      <c r="C6" s="61" t="s">
        <v>156</v>
      </c>
      <c r="D6" s="62">
        <f ca="1">TODAY()+MOD(7-WEEKDAY(TODAY(),2),7)-7</f>
        <v>46264</v>
      </c>
      <c r="E6" s="62">
        <f ca="1">TODAY()+MOD(7-WEEKDAY(TODAY(),2),7)</f>
        <v>46271</v>
      </c>
    </row>
    <row r="7" spans="2:5" x14ac:dyDescent="0.3">
      <c r="B7" s="61" t="s">
        <v>155</v>
      </c>
      <c r="C7" s="61" t="s">
        <v>156</v>
      </c>
      <c r="D7" s="62">
        <f ca="1">TODAY()+MOD(7-WEEKDAY(TODAY(),2),7)-7</f>
        <v>46264</v>
      </c>
      <c r="E7" s="62">
        <f ca="1">TODAY()+MOD(7-WEEKDAY(TODAY(),2),7)</f>
        <v>46271</v>
      </c>
    </row>
    <row r="8" spans="2:5" x14ac:dyDescent="0.3">
      <c r="B8" s="61" t="s">
        <v>135</v>
      </c>
      <c r="C8" s="61" t="s">
        <v>203</v>
      </c>
      <c r="D8" s="62">
        <f ca="1">IF(DAY(TODAY())&gt;23,
   DATE(YEAR(TODAY()),MONTH(TODAY()),23),
   DATE(YEAR(TODAY()),MONTH(TODAY())-1,23))</f>
        <v>46257</v>
      </c>
      <c r="E8" s="62">
        <f ca="1">IF(DAY(TODAY())&lt;=23,
   DATE(YEAR(TODAY()),MONTH(TODAY()),23),
   DATE(YEAR(TODAY()),MONTH(TODAY())+1,23))</f>
        <v>46288</v>
      </c>
    </row>
    <row r="9" spans="2:5" x14ac:dyDescent="0.3">
      <c r="B9" s="61" t="s">
        <v>263</v>
      </c>
      <c r="C9" s="61" t="s">
        <v>162</v>
      </c>
      <c r="D9" s="62">
        <f ca="1">$B$1048576+_xlfn.CEILING.MATH((TODAY()-$B$1048576)/21, 1)*21-21</f>
        <v>46258</v>
      </c>
      <c r="E9" s="62">
        <f ca="1">$B$1048576+_xlfn.CEILING.MATH((TODAY()-$B$1048576)/21, 1)*21</f>
        <v>46279</v>
      </c>
    </row>
    <row r="10" spans="2:5" x14ac:dyDescent="0.3">
      <c r="B10" s="61" t="s">
        <v>134</v>
      </c>
      <c r="C10" s="61" t="s">
        <v>152</v>
      </c>
      <c r="D10" s="62">
        <f ca="1">$B$1048565+_xlfn.CEILING.MATH((TODAY()-$B$1048565)/14, 1)*14-14</f>
        <v>46263</v>
      </c>
      <c r="E10" s="62">
        <f ca="1">$B$1048565+_xlfn.CEILING.MATH((TODAY()-$B$1048565)/14, 1)*14</f>
        <v>46277</v>
      </c>
    </row>
    <row r="11" spans="2:5" x14ac:dyDescent="0.3">
      <c r="B11" s="61" t="s">
        <v>139</v>
      </c>
      <c r="C11" s="61" t="s">
        <v>152</v>
      </c>
      <c r="D11" s="62">
        <f ca="1">$B$1048569+_xlfn.CEILING.MATH((TODAY()-$B$1048569)/14, 1)*14-14</f>
        <v>46263</v>
      </c>
      <c r="E11" s="62">
        <f ca="1">$B$1048569+_xlfn.CEILING.MATH((TODAY()-$B$1048569)/14, 1)*14</f>
        <v>46277</v>
      </c>
    </row>
    <row r="12" spans="2:5" x14ac:dyDescent="0.3">
      <c r="B12" s="61" t="s">
        <v>143</v>
      </c>
      <c r="C12" s="61" t="s">
        <v>163</v>
      </c>
      <c r="D12" s="62">
        <f ca="1">$B$1048571+_xlfn.CEILING.MATH((TODAY()-$B$1048571)/28, 1)*28-28</f>
        <v>46265</v>
      </c>
      <c r="E12" s="62">
        <f ca="1">$B$1048571+_xlfn.CEILING.MATH((TODAY()-$B$1048571)/28, 1)*28</f>
        <v>46293</v>
      </c>
    </row>
    <row r="13" spans="2:5" x14ac:dyDescent="0.3">
      <c r="B13" s="61" t="s">
        <v>138</v>
      </c>
      <c r="C13" s="61" t="s">
        <v>201</v>
      </c>
      <c r="D13" s="62">
        <f ca="1">IF(DAY(TODAY())&gt;5,
   DATE(YEAR(TODAY()),MONTH(TODAY()),5),
   DATE(YEAR(TODAY()),MONTH(TODAY())-1,5))</f>
        <v>46239</v>
      </c>
      <c r="E13" s="62">
        <f ca="1">IF(DAY(TODAY())&lt;=5,
   DATE(YEAR(TODAY()),MONTH(TODAY()),5),
   DATE(YEAR(TODAY()),MONTH(TODAY())+1,5))</f>
        <v>46270</v>
      </c>
    </row>
    <row r="14" spans="2:5" x14ac:dyDescent="0.3">
      <c r="B14" s="61" t="s">
        <v>158</v>
      </c>
      <c r="C14" s="61" t="s">
        <v>201</v>
      </c>
      <c r="D14" s="62">
        <f ca="1">IF(DAY(TODAY())&gt;5,
   DATE(YEAR(TODAY()),MONTH(TODAY()),5),
   DATE(YEAR(TODAY()),MONTH(TODAY())-1,5))</f>
        <v>46239</v>
      </c>
      <c r="E14" s="62">
        <f ca="1">IF(DAY(TODAY())&lt;=5,
   DATE(YEAR(TODAY()),MONTH(TODAY()),5),
   DATE(YEAR(TODAY()),MONTH(TODAY())+1,5))</f>
        <v>46270</v>
      </c>
    </row>
    <row r="15" spans="2:5" x14ac:dyDescent="0.3">
      <c r="B15" s="61" t="s">
        <v>248</v>
      </c>
      <c r="C15" s="61" t="s">
        <v>249</v>
      </c>
      <c r="D15" s="62">
        <f ca="1">IF(DAY(TODAY())&gt;10,
   DATE(YEAR(TODAY()),MONTH(TODAY()),10),
   DATE(YEAR(TODAY()),MONTH(TODAY())-1,10))</f>
        <v>46244</v>
      </c>
      <c r="E15" s="62">
        <f ca="1">IF(DAY(TODAY())&lt;=10,
   DATE(YEAR(TODAY()),MONTH(TODAY()),10),
   DATE(YEAR(TODAY()),MONTH(TODAY())+1,10))</f>
        <v>46275</v>
      </c>
    </row>
    <row r="16" spans="2:5" x14ac:dyDescent="0.3">
      <c r="B16" s="61" t="s">
        <v>251</v>
      </c>
      <c r="C16" s="61" t="s">
        <v>153</v>
      </c>
      <c r="D16" s="62">
        <f ca="1">IF(DAY(TODAY())&gt;15,
   DATE(YEAR(TODAY()),MONTH(TODAY()),15),
   DATE(YEAR(TODAY()),MONTH(TODAY())-1,15))</f>
        <v>46249</v>
      </c>
      <c r="E16" s="62">
        <f ca="1">IF(DAY(TODAY())&lt;=15,
   DATE(YEAR(TODAY()),MONTH(TODAY()),15),
   DATE(YEAR(TODAY()),MONTH(TODAY())+1,15))</f>
        <v>46280</v>
      </c>
    </row>
    <row r="17" spans="2:5" x14ac:dyDescent="0.3">
      <c r="B17" s="61" t="s">
        <v>140</v>
      </c>
      <c r="C17" s="61" t="s">
        <v>161</v>
      </c>
      <c r="D17" s="62">
        <f ca="1">$B$1048570+_xlfn.CEILING.MATH((TODAY()-$B$1048570)/40, 1)*40-40</f>
        <v>46247</v>
      </c>
      <c r="E17" s="62">
        <f ca="1">$B$1048570+_xlfn.CEILING.MATH((TODAY()-$B$1048570)/40, 1)*40</f>
        <v>46287</v>
      </c>
    </row>
    <row r="18" spans="2:5" x14ac:dyDescent="0.3">
      <c r="B18" s="61" t="s">
        <v>136</v>
      </c>
      <c r="C18" s="61" t="s">
        <v>160</v>
      </c>
      <c r="D18" s="62">
        <f ca="1">$B$1048568+_xlfn.CEILING.MATH((TODAY()-$B$1048568)/90, 1)*90-90</f>
        <v>46247</v>
      </c>
      <c r="E18" s="62">
        <f ca="1">$B$1048568+_xlfn.CEILING.MATH((TODAY()-$B$1048568)/90, 1)*90</f>
        <v>46337</v>
      </c>
    </row>
    <row r="1048562" spans="1:2" x14ac:dyDescent="0.3">
      <c r="A1048562" s="71" t="s">
        <v>130</v>
      </c>
      <c r="B1048562" s="62">
        <v>46064</v>
      </c>
    </row>
    <row r="1048563" spans="1:2" x14ac:dyDescent="0.3">
      <c r="A1048563" s="72" t="s">
        <v>131</v>
      </c>
      <c r="B1048563" s="62">
        <v>46042</v>
      </c>
    </row>
    <row r="1048564" spans="1:2" x14ac:dyDescent="0.3">
      <c r="A1048564" s="71" t="s">
        <v>132</v>
      </c>
      <c r="B1048564" s="62" t="s">
        <v>88</v>
      </c>
    </row>
    <row r="1048565" spans="1:2" x14ac:dyDescent="0.3">
      <c r="A1048565" s="72" t="s">
        <v>134</v>
      </c>
      <c r="B1048565" s="62">
        <v>46067</v>
      </c>
    </row>
    <row r="1048566" spans="1:2" x14ac:dyDescent="0.3">
      <c r="A1048566" s="71" t="s">
        <v>133</v>
      </c>
      <c r="B1048566" s="62" t="s">
        <v>88</v>
      </c>
    </row>
    <row r="1048567" spans="1:2" x14ac:dyDescent="0.3">
      <c r="A1048567" s="72" t="s">
        <v>135</v>
      </c>
      <c r="B1048567" s="62" t="s">
        <v>88</v>
      </c>
    </row>
    <row r="1048568" spans="1:2" x14ac:dyDescent="0.3">
      <c r="A1048568" s="71" t="s">
        <v>136</v>
      </c>
      <c r="B1048568" s="62">
        <v>46067</v>
      </c>
    </row>
    <row r="1048569" spans="1:2" x14ac:dyDescent="0.3">
      <c r="A1048569" s="72" t="s">
        <v>139</v>
      </c>
      <c r="B1048569" s="62">
        <v>46067</v>
      </c>
    </row>
    <row r="1048570" spans="1:2" x14ac:dyDescent="0.3">
      <c r="A1048570" s="71" t="s">
        <v>140</v>
      </c>
      <c r="B1048570" s="62">
        <v>46047</v>
      </c>
    </row>
    <row r="1048571" spans="1:2" x14ac:dyDescent="0.3">
      <c r="A1048571" s="72" t="s">
        <v>143</v>
      </c>
      <c r="B1048571" s="62">
        <v>46069</v>
      </c>
    </row>
    <row r="1048572" spans="1:2" x14ac:dyDescent="0.3">
      <c r="A1048572" s="71" t="s">
        <v>154</v>
      </c>
      <c r="B1048572" s="62" t="s">
        <v>88</v>
      </c>
    </row>
    <row r="1048573" spans="1:2" x14ac:dyDescent="0.3">
      <c r="A1048573" s="72" t="s">
        <v>155</v>
      </c>
      <c r="B1048573" s="62" t="s">
        <v>88</v>
      </c>
    </row>
    <row r="1048574" spans="1:2" x14ac:dyDescent="0.3">
      <c r="A1048574" s="71" t="s">
        <v>138</v>
      </c>
      <c r="B1048574" s="62" t="s">
        <v>88</v>
      </c>
    </row>
    <row r="1048575" spans="1:2" x14ac:dyDescent="0.3">
      <c r="A1048575" s="72" t="s">
        <v>158</v>
      </c>
      <c r="B1048575" s="62" t="s">
        <v>88</v>
      </c>
    </row>
    <row r="1048576" spans="1:2" x14ac:dyDescent="0.3">
      <c r="A1048576" s="71" t="s">
        <v>159</v>
      </c>
      <c r="B1048576" s="62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60" t="s">
        <v>91</v>
      </c>
      <c r="C2" s="60" t="s">
        <v>92</v>
      </c>
      <c r="D2" s="60" t="s">
        <v>93</v>
      </c>
      <c r="E2" s="60" t="s">
        <v>94</v>
      </c>
      <c r="F2" s="60" t="s">
        <v>95</v>
      </c>
      <c r="G2" s="60" t="s">
        <v>128</v>
      </c>
    </row>
    <row r="3" spans="2:7" x14ac:dyDescent="0.3">
      <c r="B3" s="61" t="s">
        <v>101</v>
      </c>
      <c r="C3" s="61">
        <v>5</v>
      </c>
      <c r="D3" s="62">
        <v>46229</v>
      </c>
      <c r="E3" s="61">
        <v>1</v>
      </c>
      <c r="F3" s="61">
        <f t="shared" ref="F3:F25" ca="1" si="0">C3 + MAX(0, (30-_xlfn.DAYS(D3, TODAY()))) + (10-E3)</f>
        <v>82</v>
      </c>
      <c r="G3" s="70"/>
    </row>
    <row r="4" spans="2:7" x14ac:dyDescent="0.3">
      <c r="B4" s="61" t="s">
        <v>103</v>
      </c>
      <c r="C4" s="61">
        <v>5</v>
      </c>
      <c r="D4" s="62">
        <v>46229</v>
      </c>
      <c r="E4" s="61">
        <v>0</v>
      </c>
      <c r="F4" s="61">
        <f t="shared" ca="1" si="0"/>
        <v>83</v>
      </c>
      <c r="G4" s="70"/>
    </row>
    <row r="5" spans="2:7" x14ac:dyDescent="0.3">
      <c r="B5" s="61" t="s">
        <v>96</v>
      </c>
      <c r="C5" s="61">
        <v>5</v>
      </c>
      <c r="D5" s="62">
        <v>46229</v>
      </c>
      <c r="E5" s="61">
        <v>0</v>
      </c>
      <c r="F5" s="61">
        <f t="shared" ca="1" si="0"/>
        <v>83</v>
      </c>
      <c r="G5" s="70"/>
    </row>
    <row r="6" spans="2:7" x14ac:dyDescent="0.3">
      <c r="B6" s="61" t="s">
        <v>127</v>
      </c>
      <c r="C6" s="61">
        <v>3</v>
      </c>
      <c r="D6" s="62">
        <v>46229</v>
      </c>
      <c r="E6" s="61">
        <v>3</v>
      </c>
      <c r="F6" s="61">
        <f t="shared" ca="1" si="0"/>
        <v>78</v>
      </c>
      <c r="G6" s="70"/>
    </row>
    <row r="7" spans="2:7" x14ac:dyDescent="0.3">
      <c r="B7" s="61" t="s">
        <v>99</v>
      </c>
      <c r="C7" s="61">
        <v>4</v>
      </c>
      <c r="D7" s="62">
        <v>46236</v>
      </c>
      <c r="E7" s="61">
        <v>0</v>
      </c>
      <c r="F7" s="61">
        <f t="shared" ca="1" si="0"/>
        <v>75</v>
      </c>
      <c r="G7" s="70"/>
    </row>
    <row r="8" spans="2:7" x14ac:dyDescent="0.3">
      <c r="B8" s="61" t="s">
        <v>141</v>
      </c>
      <c r="C8" s="61">
        <v>3</v>
      </c>
      <c r="D8" s="62">
        <v>46236</v>
      </c>
      <c r="E8" s="61">
        <v>0</v>
      </c>
      <c r="F8" s="61">
        <f t="shared" ca="1" si="0"/>
        <v>74</v>
      </c>
      <c r="G8" s="70"/>
    </row>
    <row r="9" spans="2:7" x14ac:dyDescent="0.3">
      <c r="B9" s="61" t="s">
        <v>102</v>
      </c>
      <c r="C9" s="61">
        <v>2</v>
      </c>
      <c r="D9" s="62">
        <v>46236</v>
      </c>
      <c r="E9" s="61">
        <v>0</v>
      </c>
      <c r="F9" s="61">
        <f t="shared" ca="1" si="0"/>
        <v>73</v>
      </c>
      <c r="G9" s="70"/>
    </row>
    <row r="10" spans="2:7" x14ac:dyDescent="0.3">
      <c r="B10" s="61" t="s">
        <v>104</v>
      </c>
      <c r="C10" s="61">
        <v>1</v>
      </c>
      <c r="D10" s="62">
        <v>46236</v>
      </c>
      <c r="E10" s="61">
        <v>0</v>
      </c>
      <c r="F10" s="61">
        <f t="shared" ca="1" si="0"/>
        <v>72</v>
      </c>
      <c r="G10" s="70"/>
    </row>
    <row r="11" spans="2:7" x14ac:dyDescent="0.3">
      <c r="B11" s="61" t="s">
        <v>105</v>
      </c>
      <c r="C11" s="61">
        <v>1</v>
      </c>
      <c r="D11" s="62">
        <v>46236</v>
      </c>
      <c r="E11" s="61">
        <v>0</v>
      </c>
      <c r="F11" s="61">
        <f t="shared" ca="1" si="0"/>
        <v>72</v>
      </c>
      <c r="G11" s="70"/>
    </row>
    <row r="12" spans="2:7" x14ac:dyDescent="0.3">
      <c r="B12" s="61" t="s">
        <v>106</v>
      </c>
      <c r="C12" s="61">
        <v>1</v>
      </c>
      <c r="D12" s="62">
        <v>46236</v>
      </c>
      <c r="E12" s="61">
        <v>0</v>
      </c>
      <c r="F12" s="61">
        <f t="shared" ca="1" si="0"/>
        <v>72</v>
      </c>
      <c r="G12" s="70"/>
    </row>
    <row r="13" spans="2:7" x14ac:dyDescent="0.3">
      <c r="B13" s="61" t="s">
        <v>142</v>
      </c>
      <c r="C13" s="61">
        <v>3</v>
      </c>
      <c r="D13" s="62">
        <v>46243</v>
      </c>
      <c r="E13" s="61">
        <v>0</v>
      </c>
      <c r="F13" s="61">
        <f t="shared" ca="1" si="0"/>
        <v>67</v>
      </c>
      <c r="G13" s="70"/>
    </row>
    <row r="14" spans="2:7" x14ac:dyDescent="0.3">
      <c r="B14" s="61" t="s">
        <v>109</v>
      </c>
      <c r="C14" s="61">
        <v>3</v>
      </c>
      <c r="D14" s="62">
        <v>46243</v>
      </c>
      <c r="E14" s="61">
        <v>0</v>
      </c>
      <c r="F14" s="61">
        <f t="shared" ca="1" si="0"/>
        <v>67</v>
      </c>
      <c r="G14" s="70"/>
    </row>
    <row r="15" spans="2:7" x14ac:dyDescent="0.3">
      <c r="B15" s="61" t="s">
        <v>110</v>
      </c>
      <c r="C15" s="61">
        <v>3</v>
      </c>
      <c r="D15" s="62">
        <v>46243</v>
      </c>
      <c r="E15" s="61">
        <v>0</v>
      </c>
      <c r="F15" s="61">
        <f t="shared" ca="1" si="0"/>
        <v>67</v>
      </c>
      <c r="G15" s="70"/>
    </row>
    <row r="16" spans="2:7" x14ac:dyDescent="0.3">
      <c r="B16" s="61" t="s">
        <v>107</v>
      </c>
      <c r="C16" s="61">
        <v>1</v>
      </c>
      <c r="D16" s="62">
        <v>46243</v>
      </c>
      <c r="E16" s="61">
        <v>0</v>
      </c>
      <c r="F16" s="61">
        <f t="shared" ca="1" si="0"/>
        <v>65</v>
      </c>
      <c r="G16" s="70"/>
    </row>
    <row r="17" spans="2:7" x14ac:dyDescent="0.3">
      <c r="B17" s="61" t="s">
        <v>108</v>
      </c>
      <c r="C17" s="61">
        <v>1</v>
      </c>
      <c r="D17" s="62">
        <v>46243</v>
      </c>
      <c r="E17" s="61">
        <v>0</v>
      </c>
      <c r="F17" s="61">
        <f t="shared" ca="1" si="0"/>
        <v>65</v>
      </c>
      <c r="G17" s="70"/>
    </row>
    <row r="18" spans="2:7" x14ac:dyDescent="0.3">
      <c r="B18" s="61" t="s">
        <v>97</v>
      </c>
      <c r="C18" s="61">
        <v>5</v>
      </c>
      <c r="D18" s="62">
        <v>46243</v>
      </c>
      <c r="E18" s="61">
        <v>4</v>
      </c>
      <c r="F18" s="61">
        <f t="shared" ca="1" si="0"/>
        <v>65</v>
      </c>
      <c r="G18" s="70"/>
    </row>
    <row r="19" spans="2:7" x14ac:dyDescent="0.3">
      <c r="B19" s="61" t="s">
        <v>111</v>
      </c>
      <c r="C19" s="61">
        <v>2</v>
      </c>
      <c r="D19" s="62">
        <v>46250</v>
      </c>
      <c r="E19" s="61">
        <v>0</v>
      </c>
      <c r="F19" s="61">
        <f t="shared" ca="1" si="0"/>
        <v>59</v>
      </c>
      <c r="G19" s="70"/>
    </row>
    <row r="20" spans="2:7" x14ac:dyDescent="0.3">
      <c r="B20" s="61" t="s">
        <v>98</v>
      </c>
      <c r="C20" s="61">
        <v>2</v>
      </c>
      <c r="D20" s="62">
        <v>46250</v>
      </c>
      <c r="E20" s="61">
        <v>0</v>
      </c>
      <c r="F20" s="61">
        <f t="shared" ca="1" si="0"/>
        <v>59</v>
      </c>
      <c r="G20" s="70"/>
    </row>
    <row r="21" spans="2:7" x14ac:dyDescent="0.3">
      <c r="B21" s="61" t="s">
        <v>236</v>
      </c>
      <c r="C21" s="61">
        <v>5</v>
      </c>
      <c r="D21" s="62">
        <v>46307</v>
      </c>
      <c r="E21" s="61">
        <v>0</v>
      </c>
      <c r="F21" s="61">
        <f t="shared" ca="1" si="0"/>
        <v>15</v>
      </c>
      <c r="G21" s="70"/>
    </row>
    <row r="22" spans="2:7" x14ac:dyDescent="0.3">
      <c r="B22" s="61" t="s">
        <v>237</v>
      </c>
      <c r="C22" s="61">
        <v>5</v>
      </c>
      <c r="D22" s="62">
        <v>46267</v>
      </c>
      <c r="E22" s="61">
        <v>0</v>
      </c>
      <c r="F22" s="61">
        <f t="shared" ca="1" si="0"/>
        <v>45</v>
      </c>
      <c r="G22" s="70"/>
    </row>
    <row r="23" spans="2:7" x14ac:dyDescent="0.3">
      <c r="B23" s="61" t="s">
        <v>259</v>
      </c>
      <c r="C23" s="61">
        <v>3</v>
      </c>
      <c r="D23" s="62">
        <v>46257</v>
      </c>
      <c r="E23" s="61">
        <v>2</v>
      </c>
      <c r="F23" s="61">
        <f t="shared" ca="1" si="0"/>
        <v>51</v>
      </c>
      <c r="G23" s="70"/>
    </row>
    <row r="24" spans="2:7" x14ac:dyDescent="0.3">
      <c r="B24" s="61" t="s">
        <v>252</v>
      </c>
      <c r="C24" s="61">
        <v>2</v>
      </c>
      <c r="D24" s="62">
        <v>46257</v>
      </c>
      <c r="E24" s="61">
        <v>0</v>
      </c>
      <c r="F24" s="61">
        <f t="shared" ca="1" si="0"/>
        <v>52</v>
      </c>
      <c r="G24" s="70"/>
    </row>
    <row r="25" spans="2:7" x14ac:dyDescent="0.3">
      <c r="B25" s="61" t="s">
        <v>100</v>
      </c>
      <c r="C25" s="61">
        <v>1</v>
      </c>
      <c r="D25" s="62">
        <v>46257</v>
      </c>
      <c r="E25" s="61">
        <v>0</v>
      </c>
      <c r="F25" s="61">
        <f t="shared" ca="1" si="0"/>
        <v>51</v>
      </c>
      <c r="G25" s="70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32" bestFit="1" customWidth="1"/>
    <col min="3" max="3" width="10.6640625" style="61" bestFit="1" customWidth="1"/>
    <col min="4" max="4" width="18" style="61" bestFit="1" customWidth="1"/>
    <col min="5" max="5" width="21.88671875" style="61" customWidth="1"/>
    <col min="6" max="6" width="24.88671875" style="61" bestFit="1" customWidth="1"/>
    <col min="7" max="7" width="23.33203125" style="61" bestFit="1" customWidth="1"/>
    <col min="8" max="8" width="17.88671875" style="61" bestFit="1" customWidth="1"/>
    <col min="9" max="9" width="18" style="61" bestFit="1" customWidth="1"/>
    <col min="10" max="10" width="21.88671875" style="61" bestFit="1" customWidth="1"/>
    <col min="11" max="11" width="24.88671875" style="61" bestFit="1" customWidth="1"/>
    <col min="12" max="12" width="23.33203125" style="61" bestFit="1" customWidth="1"/>
    <col min="13" max="13" width="17.88671875" style="61" bestFit="1" customWidth="1"/>
    <col min="14" max="14" width="18" style="61" bestFit="1" customWidth="1"/>
    <col min="15" max="15" width="21.88671875" style="61" bestFit="1" customWidth="1"/>
    <col min="16" max="16" width="24.88671875" style="61" bestFit="1" customWidth="1"/>
    <col min="17" max="17" width="23.33203125" style="61" bestFit="1" customWidth="1"/>
    <col min="18" max="18" width="17.88671875" style="61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6"/>
      <c r="AP2" s="186"/>
      <c r="AQ2" s="186"/>
      <c r="AR2" s="186"/>
      <c r="AS2" s="186"/>
      <c r="AT2" s="186"/>
      <c r="AU2" s="186"/>
      <c r="AV2" s="186"/>
      <c r="AW2" s="186"/>
      <c r="AX2" s="186"/>
      <c r="AY2" s="186"/>
      <c r="AZ2" s="186"/>
      <c r="BA2" s="186"/>
      <c r="BB2" s="186"/>
      <c r="BC2" s="186"/>
      <c r="BD2" s="186"/>
      <c r="BE2" s="186"/>
      <c r="BF2" s="186"/>
      <c r="BG2" s="186"/>
      <c r="BH2" s="186"/>
      <c r="BI2" s="186"/>
      <c r="BJ2" s="186"/>
      <c r="BK2" s="186"/>
      <c r="BL2" s="186"/>
      <c r="BM2" s="186"/>
      <c r="BN2" s="186"/>
      <c r="BO2" s="186"/>
      <c r="BP2" s="186"/>
      <c r="BQ2" s="186"/>
      <c r="BR2" s="186"/>
      <c r="BS2" s="186"/>
      <c r="BT2" s="186"/>
      <c r="BU2" s="186"/>
      <c r="BV2" s="186"/>
      <c r="BW2" s="186"/>
      <c r="BX2" s="186"/>
      <c r="BY2" s="186"/>
      <c r="BZ2" s="186"/>
      <c r="CA2" s="186"/>
      <c r="CB2" s="186"/>
      <c r="CC2" s="186"/>
      <c r="CD2" s="186"/>
      <c r="CE2" s="186"/>
      <c r="CF2" s="186"/>
      <c r="CG2" s="186"/>
      <c r="CH2" s="186"/>
      <c r="CI2" s="186"/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/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118"/>
      <c r="EM2" s="118"/>
      <c r="EN2" s="118"/>
      <c r="EO2" s="118"/>
      <c r="EP2" s="118"/>
      <c r="EQ2" s="118"/>
      <c r="ER2" s="118"/>
      <c r="ES2" s="118"/>
      <c r="ET2" s="118"/>
      <c r="EU2" s="118"/>
      <c r="EV2" s="118"/>
      <c r="EW2" s="118"/>
      <c r="EX2" s="118"/>
      <c r="EY2" s="118"/>
      <c r="EZ2" s="118"/>
      <c r="FA2" s="118"/>
      <c r="FB2" s="118"/>
      <c r="FC2" s="118"/>
      <c r="FD2" s="118"/>
      <c r="FE2" s="118"/>
      <c r="FF2" s="118"/>
      <c r="FG2" s="118"/>
      <c r="FH2" s="118"/>
      <c r="FI2" s="118"/>
      <c r="FJ2" s="118"/>
      <c r="FK2" s="118"/>
      <c r="FL2" s="118"/>
      <c r="FM2" s="118"/>
      <c r="FN2" s="118"/>
      <c r="FO2" s="118"/>
      <c r="FP2" s="118"/>
      <c r="FQ2" s="118"/>
      <c r="FR2" s="118"/>
      <c r="FS2" s="118"/>
      <c r="FT2" s="118"/>
      <c r="FU2" s="118"/>
      <c r="FV2" s="118"/>
      <c r="FW2" s="118"/>
      <c r="FX2" s="118"/>
      <c r="FY2" s="118"/>
      <c r="FZ2" s="186"/>
      <c r="GA2" s="186"/>
      <c r="GB2" s="186"/>
      <c r="GC2" s="186"/>
      <c r="GD2" s="186"/>
      <c r="GE2" s="186"/>
    </row>
    <row r="3" spans="2:187" ht="23.25" hidden="1" customHeight="1" x14ac:dyDescent="0.3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</row>
    <row r="4" spans="2:187" x14ac:dyDescent="0.3">
      <c r="B4"/>
      <c r="C4"/>
      <c r="D4" s="184" t="s">
        <v>213</v>
      </c>
      <c r="E4" s="185"/>
      <c r="F4" s="185"/>
      <c r="G4" s="185"/>
      <c r="H4" s="185"/>
      <c r="I4" s="185" t="s">
        <v>214</v>
      </c>
      <c r="J4" s="185"/>
      <c r="K4" s="185"/>
      <c r="L4" s="185"/>
      <c r="M4" s="185"/>
      <c r="N4" s="185" t="s">
        <v>215</v>
      </c>
      <c r="O4" s="185"/>
      <c r="P4" s="185"/>
      <c r="Q4" s="185"/>
      <c r="R4" s="185"/>
    </row>
    <row r="5" spans="2:187" x14ac:dyDescent="0.3">
      <c r="B5" s="133" t="s">
        <v>208</v>
      </c>
      <c r="C5" s="133" t="s">
        <v>209</v>
      </c>
      <c r="D5" s="144" t="s">
        <v>218</v>
      </c>
      <c r="E5" s="133" t="s">
        <v>219</v>
      </c>
      <c r="F5" s="133" t="s">
        <v>222</v>
      </c>
      <c r="G5" s="133" t="s">
        <v>221</v>
      </c>
      <c r="H5" s="133" t="s">
        <v>220</v>
      </c>
      <c r="I5" s="133" t="s">
        <v>223</v>
      </c>
      <c r="J5" s="133" t="s">
        <v>224</v>
      </c>
      <c r="K5" s="133" t="s">
        <v>225</v>
      </c>
      <c r="L5" s="133" t="s">
        <v>226</v>
      </c>
      <c r="M5" s="133" t="s">
        <v>227</v>
      </c>
      <c r="N5" s="133" t="s">
        <v>228</v>
      </c>
      <c r="O5" s="133" t="s">
        <v>229</v>
      </c>
      <c r="P5" s="133" t="s">
        <v>230</v>
      </c>
      <c r="Q5" s="133" t="s">
        <v>231</v>
      </c>
      <c r="R5" s="133" t="s">
        <v>232</v>
      </c>
      <c r="S5" s="134" t="s">
        <v>216</v>
      </c>
      <c r="T5" s="134" t="s">
        <v>217</v>
      </c>
    </row>
    <row r="6" spans="2:187" x14ac:dyDescent="0.3">
      <c r="B6" s="135">
        <v>46196</v>
      </c>
      <c r="C6" s="136" t="str">
        <f t="shared" ref="C6:C69" si="0">CHOOSE(WEEKDAY(B6,2),"Monday","Tuesday","Wednesday","Thursday","Friday","Saturday","Sunday")</f>
        <v>Tuesday</v>
      </c>
      <c r="D6" s="145" t="s">
        <v>210</v>
      </c>
      <c r="E6" s="136">
        <v>6</v>
      </c>
      <c r="F6" s="136">
        <v>3</v>
      </c>
      <c r="G6" s="136">
        <f>E6*25+F6</f>
        <v>153</v>
      </c>
      <c r="H6" s="136" t="str">
        <f t="shared" ref="H6" si="1">ROUNDDOWN(G6/60, 0)&amp;"h"&amp;ROUNDUP((G6/60-ROUNDDOWN(G6/60, 0))*60,0)</f>
        <v>2h33</v>
      </c>
      <c r="I6" s="146" t="s">
        <v>88</v>
      </c>
      <c r="J6" s="136"/>
      <c r="K6" s="136"/>
      <c r="L6" s="136">
        <f>J6*25+K6</f>
        <v>0</v>
      </c>
      <c r="M6" s="136" t="str">
        <f t="shared" ref="M6:M69" si="2">ROUNDDOWN(L6/60, 0)&amp;"h"&amp;ROUNDUP((L6/60-ROUNDDOWN(L6/60, 0))*60,0)</f>
        <v>0h0</v>
      </c>
      <c r="N6" s="146" t="s">
        <v>88</v>
      </c>
      <c r="O6" s="136"/>
      <c r="P6" s="136"/>
      <c r="Q6" s="136">
        <f>O6*25+P6</f>
        <v>0</v>
      </c>
      <c r="R6" s="136" t="str">
        <f t="shared" ref="R6:R69" si="3">ROUNDDOWN(Q6/60, 0)&amp;"h"&amp;ROUNDUP((Q6/60-ROUNDDOWN(Q6/60, 0))*60,0)</f>
        <v>0h0</v>
      </c>
      <c r="S6" s="146">
        <f>G6+L6+Q6</f>
        <v>153</v>
      </c>
      <c r="T6" s="136" t="str">
        <f t="shared" ref="T6:T69" si="4">ROUNDDOWN(S6/60, 0)&amp;"h"&amp;ROUNDUP((S6/60-ROUNDDOWN(S6/60, 0))*60,0)</f>
        <v>2h33</v>
      </c>
    </row>
    <row r="7" spans="2:187" x14ac:dyDescent="0.3">
      <c r="B7" s="135">
        <f>B6+1</f>
        <v>46197</v>
      </c>
      <c r="C7" s="136" t="str">
        <f t="shared" si="0"/>
        <v>Wednesday</v>
      </c>
      <c r="D7" s="145" t="s">
        <v>210</v>
      </c>
      <c r="E7" s="136">
        <v>9</v>
      </c>
      <c r="F7" s="136">
        <v>0</v>
      </c>
      <c r="G7" s="136">
        <f>E7*25+F7</f>
        <v>225</v>
      </c>
      <c r="H7" s="136" t="str">
        <f t="shared" ref="H7:H70" si="5">ROUNDDOWN(G7/60, 0)&amp;"h"&amp;ROUNDUP((G7/60-ROUNDDOWN(G7/60, 0))*60,0)</f>
        <v>3h45</v>
      </c>
      <c r="I7" s="145" t="s">
        <v>233</v>
      </c>
      <c r="J7" s="136">
        <v>0</v>
      </c>
      <c r="K7" s="136">
        <v>20</v>
      </c>
      <c r="L7" s="136">
        <f>J7*25+K7</f>
        <v>20</v>
      </c>
      <c r="M7" s="136" t="str">
        <f t="shared" si="2"/>
        <v>0h20</v>
      </c>
      <c r="N7" s="145" t="s">
        <v>88</v>
      </c>
      <c r="O7" s="136"/>
      <c r="P7" s="136"/>
      <c r="Q7" s="136">
        <f>O7*25+P7</f>
        <v>0</v>
      </c>
      <c r="R7" s="136" t="str">
        <f t="shared" si="3"/>
        <v>0h0</v>
      </c>
      <c r="S7" s="145">
        <f t="shared" ref="S7:S70" si="6">G7+L7+Q7</f>
        <v>245</v>
      </c>
      <c r="T7" s="136" t="str">
        <f t="shared" si="4"/>
        <v>4h5</v>
      </c>
    </row>
    <row r="8" spans="2:187" x14ac:dyDescent="0.3">
      <c r="B8" s="135">
        <f t="shared" ref="B8:B71" si="7">B7+1</f>
        <v>46198</v>
      </c>
      <c r="C8" s="136" t="str">
        <f t="shared" si="0"/>
        <v>Thursday</v>
      </c>
      <c r="D8" s="145" t="s">
        <v>88</v>
      </c>
      <c r="E8" s="136"/>
      <c r="F8" s="136"/>
      <c r="G8" s="136">
        <f t="shared" ref="G8:G71" si="8">E8*25+F8</f>
        <v>0</v>
      </c>
      <c r="H8" s="136" t="str">
        <f t="shared" si="5"/>
        <v>0h0</v>
      </c>
      <c r="I8" s="145" t="s">
        <v>88</v>
      </c>
      <c r="J8" s="136"/>
      <c r="K8" s="136"/>
      <c r="L8" s="136">
        <f t="shared" ref="L8:L71" si="9">J8*25+K8</f>
        <v>0</v>
      </c>
      <c r="M8" s="136" t="str">
        <f t="shared" si="2"/>
        <v>0h0</v>
      </c>
      <c r="N8" s="145" t="s">
        <v>88</v>
      </c>
      <c r="O8" s="136"/>
      <c r="P8" s="136"/>
      <c r="Q8" s="136">
        <f t="shared" ref="Q8:Q71" si="10">O8*25+P8</f>
        <v>0</v>
      </c>
      <c r="R8" s="136" t="str">
        <f t="shared" si="3"/>
        <v>0h0</v>
      </c>
      <c r="S8" s="145">
        <f t="shared" si="6"/>
        <v>0</v>
      </c>
      <c r="T8" s="136" t="str">
        <f t="shared" si="4"/>
        <v>0h0</v>
      </c>
    </row>
    <row r="9" spans="2:187" x14ac:dyDescent="0.3">
      <c r="B9" s="135">
        <f t="shared" si="7"/>
        <v>46199</v>
      </c>
      <c r="C9" s="136" t="str">
        <f t="shared" si="0"/>
        <v>Friday</v>
      </c>
      <c r="D9" s="145" t="s">
        <v>88</v>
      </c>
      <c r="E9" s="136"/>
      <c r="F9" s="136"/>
      <c r="G9" s="136">
        <f t="shared" si="8"/>
        <v>0</v>
      </c>
      <c r="H9" s="136" t="str">
        <f t="shared" si="5"/>
        <v>0h0</v>
      </c>
      <c r="I9" s="145" t="s">
        <v>88</v>
      </c>
      <c r="J9" s="136"/>
      <c r="K9" s="136"/>
      <c r="L9" s="136">
        <f t="shared" si="9"/>
        <v>0</v>
      </c>
      <c r="M9" s="136" t="str">
        <f t="shared" si="2"/>
        <v>0h0</v>
      </c>
      <c r="N9" s="145" t="s">
        <v>88</v>
      </c>
      <c r="O9" s="136"/>
      <c r="P9" s="136"/>
      <c r="Q9" s="136">
        <f t="shared" si="10"/>
        <v>0</v>
      </c>
      <c r="R9" s="136" t="str">
        <f t="shared" si="3"/>
        <v>0h0</v>
      </c>
      <c r="S9" s="145">
        <f t="shared" si="6"/>
        <v>0</v>
      </c>
      <c r="T9" s="136" t="str">
        <f t="shared" si="4"/>
        <v>0h0</v>
      </c>
    </row>
    <row r="10" spans="2:187" x14ac:dyDescent="0.3">
      <c r="B10" s="135">
        <f t="shared" si="7"/>
        <v>46200</v>
      </c>
      <c r="C10" s="136" t="str">
        <f t="shared" si="0"/>
        <v>Saturday</v>
      </c>
      <c r="D10" s="145" t="s">
        <v>88</v>
      </c>
      <c r="E10" s="136"/>
      <c r="F10" s="136"/>
      <c r="G10" s="136">
        <f t="shared" si="8"/>
        <v>0</v>
      </c>
      <c r="H10" s="136" t="str">
        <f t="shared" si="5"/>
        <v>0h0</v>
      </c>
      <c r="I10" s="145" t="s">
        <v>88</v>
      </c>
      <c r="J10" s="136"/>
      <c r="K10" s="136"/>
      <c r="L10" s="136">
        <f t="shared" si="9"/>
        <v>0</v>
      </c>
      <c r="M10" s="136" t="str">
        <f t="shared" si="2"/>
        <v>0h0</v>
      </c>
      <c r="N10" s="145" t="s">
        <v>88</v>
      </c>
      <c r="O10" s="136"/>
      <c r="P10" s="136"/>
      <c r="Q10" s="136">
        <f t="shared" si="10"/>
        <v>0</v>
      </c>
      <c r="R10" s="136" t="str">
        <f t="shared" si="3"/>
        <v>0h0</v>
      </c>
      <c r="S10" s="145">
        <f t="shared" si="6"/>
        <v>0</v>
      </c>
      <c r="T10" s="136" t="str">
        <f t="shared" si="4"/>
        <v>0h0</v>
      </c>
    </row>
    <row r="11" spans="2:187" x14ac:dyDescent="0.3">
      <c r="B11" s="135">
        <f t="shared" si="7"/>
        <v>46201</v>
      </c>
      <c r="C11" s="136" t="str">
        <f t="shared" si="0"/>
        <v>Sunday</v>
      </c>
      <c r="D11" s="145" t="s">
        <v>234</v>
      </c>
      <c r="E11" s="136">
        <v>4</v>
      </c>
      <c r="F11" s="136">
        <v>20</v>
      </c>
      <c r="G11" s="136">
        <f t="shared" si="8"/>
        <v>120</v>
      </c>
      <c r="H11" s="136" t="str">
        <f t="shared" si="5"/>
        <v>2h0</v>
      </c>
      <c r="I11" s="145" t="s">
        <v>88</v>
      </c>
      <c r="J11" s="136"/>
      <c r="K11" s="136"/>
      <c r="L11" s="136">
        <f t="shared" si="9"/>
        <v>0</v>
      </c>
      <c r="M11" s="136" t="str">
        <f t="shared" si="2"/>
        <v>0h0</v>
      </c>
      <c r="N11" s="145" t="s">
        <v>88</v>
      </c>
      <c r="O11" s="136"/>
      <c r="P11" s="136"/>
      <c r="Q11" s="136">
        <f t="shared" si="10"/>
        <v>0</v>
      </c>
      <c r="R11" s="136" t="str">
        <f t="shared" si="3"/>
        <v>0h0</v>
      </c>
      <c r="S11" s="145">
        <f t="shared" si="6"/>
        <v>120</v>
      </c>
      <c r="T11" s="136" t="str">
        <f t="shared" si="4"/>
        <v>2h0</v>
      </c>
    </row>
    <row r="12" spans="2:187" x14ac:dyDescent="0.3">
      <c r="B12" s="135">
        <f t="shared" si="7"/>
        <v>46202</v>
      </c>
      <c r="C12" s="136" t="str">
        <f t="shared" si="0"/>
        <v>Monday</v>
      </c>
      <c r="D12" s="145" t="s">
        <v>88</v>
      </c>
      <c r="E12" s="136"/>
      <c r="F12" s="136"/>
      <c r="G12" s="136">
        <f t="shared" si="8"/>
        <v>0</v>
      </c>
      <c r="H12" s="136" t="str">
        <f t="shared" si="5"/>
        <v>0h0</v>
      </c>
      <c r="I12" s="145" t="s">
        <v>88</v>
      </c>
      <c r="J12" s="136"/>
      <c r="K12" s="136"/>
      <c r="L12" s="136">
        <f t="shared" si="9"/>
        <v>0</v>
      </c>
      <c r="M12" s="136" t="str">
        <f t="shared" si="2"/>
        <v>0h0</v>
      </c>
      <c r="N12" s="145" t="s">
        <v>88</v>
      </c>
      <c r="O12" s="136"/>
      <c r="P12" s="136"/>
      <c r="Q12" s="136">
        <f t="shared" si="10"/>
        <v>0</v>
      </c>
      <c r="R12" s="136" t="str">
        <f t="shared" si="3"/>
        <v>0h0</v>
      </c>
      <c r="S12" s="145">
        <f t="shared" si="6"/>
        <v>0</v>
      </c>
      <c r="T12" s="136" t="str">
        <f t="shared" si="4"/>
        <v>0h0</v>
      </c>
    </row>
    <row r="13" spans="2:187" x14ac:dyDescent="0.3">
      <c r="B13" s="135">
        <f t="shared" si="7"/>
        <v>46203</v>
      </c>
      <c r="C13" s="136" t="str">
        <f t="shared" si="0"/>
        <v>Tuesday</v>
      </c>
      <c r="D13" s="145" t="s">
        <v>88</v>
      </c>
      <c r="E13" s="136"/>
      <c r="F13" s="136"/>
      <c r="G13" s="136">
        <f t="shared" si="8"/>
        <v>0</v>
      </c>
      <c r="H13" s="136" t="str">
        <f t="shared" si="5"/>
        <v>0h0</v>
      </c>
      <c r="I13" s="145" t="s">
        <v>88</v>
      </c>
      <c r="J13" s="136"/>
      <c r="K13" s="136"/>
      <c r="L13" s="136">
        <f t="shared" si="9"/>
        <v>0</v>
      </c>
      <c r="M13" s="136" t="str">
        <f t="shared" si="2"/>
        <v>0h0</v>
      </c>
      <c r="N13" s="145" t="s">
        <v>88</v>
      </c>
      <c r="O13" s="136"/>
      <c r="P13" s="136"/>
      <c r="Q13" s="136">
        <f t="shared" si="10"/>
        <v>0</v>
      </c>
      <c r="R13" s="136" t="str">
        <f t="shared" si="3"/>
        <v>0h0</v>
      </c>
      <c r="S13" s="145">
        <f t="shared" si="6"/>
        <v>0</v>
      </c>
      <c r="T13" s="136" t="str">
        <f t="shared" si="4"/>
        <v>0h0</v>
      </c>
    </row>
    <row r="14" spans="2:187" x14ac:dyDescent="0.3">
      <c r="B14" s="135">
        <f t="shared" si="7"/>
        <v>46204</v>
      </c>
      <c r="C14" s="136" t="str">
        <f t="shared" si="0"/>
        <v>Wednesday</v>
      </c>
      <c r="D14" s="145" t="s">
        <v>234</v>
      </c>
      <c r="E14" s="136">
        <v>6</v>
      </c>
      <c r="F14" s="136">
        <v>17</v>
      </c>
      <c r="G14" s="136">
        <f t="shared" si="8"/>
        <v>167</v>
      </c>
      <c r="H14" s="136" t="str">
        <f t="shared" si="5"/>
        <v>2h47</v>
      </c>
      <c r="I14" s="145" t="s">
        <v>88</v>
      </c>
      <c r="J14" s="136"/>
      <c r="K14" s="136"/>
      <c r="L14" s="136">
        <f t="shared" si="9"/>
        <v>0</v>
      </c>
      <c r="M14" s="136" t="str">
        <f t="shared" si="2"/>
        <v>0h0</v>
      </c>
      <c r="N14" s="145" t="s">
        <v>88</v>
      </c>
      <c r="O14" s="136"/>
      <c r="P14" s="136"/>
      <c r="Q14" s="136">
        <f t="shared" si="10"/>
        <v>0</v>
      </c>
      <c r="R14" s="136" t="str">
        <f t="shared" si="3"/>
        <v>0h0</v>
      </c>
      <c r="S14" s="145">
        <f t="shared" si="6"/>
        <v>167</v>
      </c>
      <c r="T14" s="136" t="str">
        <f t="shared" si="4"/>
        <v>2h47</v>
      </c>
    </row>
    <row r="15" spans="2:187" x14ac:dyDescent="0.3">
      <c r="B15" s="135">
        <f t="shared" si="7"/>
        <v>46205</v>
      </c>
      <c r="C15" s="136" t="str">
        <f t="shared" si="0"/>
        <v>Thursday</v>
      </c>
      <c r="D15" s="145" t="s">
        <v>88</v>
      </c>
      <c r="E15" s="136"/>
      <c r="F15" s="136"/>
      <c r="G15" s="136">
        <f t="shared" si="8"/>
        <v>0</v>
      </c>
      <c r="H15" s="136" t="str">
        <f t="shared" si="5"/>
        <v>0h0</v>
      </c>
      <c r="I15" s="145" t="s">
        <v>88</v>
      </c>
      <c r="J15" s="136"/>
      <c r="K15" s="136"/>
      <c r="L15" s="136">
        <f t="shared" si="9"/>
        <v>0</v>
      </c>
      <c r="M15" s="136" t="str">
        <f t="shared" si="2"/>
        <v>0h0</v>
      </c>
      <c r="N15" s="145" t="s">
        <v>88</v>
      </c>
      <c r="O15" s="136"/>
      <c r="P15" s="136"/>
      <c r="Q15" s="136">
        <f t="shared" si="10"/>
        <v>0</v>
      </c>
      <c r="R15" s="136" t="str">
        <f t="shared" si="3"/>
        <v>0h0</v>
      </c>
      <c r="S15" s="145">
        <f t="shared" si="6"/>
        <v>0</v>
      </c>
      <c r="T15" s="136" t="str">
        <f t="shared" si="4"/>
        <v>0h0</v>
      </c>
    </row>
    <row r="16" spans="2:187" x14ac:dyDescent="0.3">
      <c r="B16" s="135">
        <f t="shared" si="7"/>
        <v>46206</v>
      </c>
      <c r="C16" s="136" t="str">
        <f t="shared" si="0"/>
        <v>Friday</v>
      </c>
      <c r="D16" s="145" t="s">
        <v>88</v>
      </c>
      <c r="E16" s="136"/>
      <c r="F16" s="136"/>
      <c r="G16" s="136">
        <f t="shared" si="8"/>
        <v>0</v>
      </c>
      <c r="H16" s="136" t="str">
        <f t="shared" si="5"/>
        <v>0h0</v>
      </c>
      <c r="I16" s="145" t="s">
        <v>88</v>
      </c>
      <c r="J16" s="136"/>
      <c r="K16" s="136"/>
      <c r="L16" s="136">
        <f t="shared" si="9"/>
        <v>0</v>
      </c>
      <c r="M16" s="136" t="str">
        <f t="shared" si="2"/>
        <v>0h0</v>
      </c>
      <c r="N16" s="145" t="s">
        <v>88</v>
      </c>
      <c r="O16" s="136"/>
      <c r="P16" s="136"/>
      <c r="Q16" s="136">
        <f t="shared" si="10"/>
        <v>0</v>
      </c>
      <c r="R16" s="136" t="str">
        <f t="shared" si="3"/>
        <v>0h0</v>
      </c>
      <c r="S16" s="145">
        <f t="shared" si="6"/>
        <v>0</v>
      </c>
      <c r="T16" s="136" t="str">
        <f t="shared" si="4"/>
        <v>0h0</v>
      </c>
    </row>
    <row r="17" spans="2:20" x14ac:dyDescent="0.3">
      <c r="B17" s="135">
        <f t="shared" si="7"/>
        <v>46207</v>
      </c>
      <c r="C17" s="136" t="str">
        <f t="shared" si="0"/>
        <v>Saturday</v>
      </c>
      <c r="D17" s="145" t="s">
        <v>88</v>
      </c>
      <c r="E17" s="136"/>
      <c r="F17" s="136"/>
      <c r="G17" s="136">
        <f t="shared" si="8"/>
        <v>0</v>
      </c>
      <c r="H17" s="136" t="str">
        <f t="shared" si="5"/>
        <v>0h0</v>
      </c>
      <c r="I17" s="145" t="s">
        <v>88</v>
      </c>
      <c r="J17" s="136"/>
      <c r="K17" s="136"/>
      <c r="L17" s="136">
        <f t="shared" si="9"/>
        <v>0</v>
      </c>
      <c r="M17" s="136" t="str">
        <f t="shared" si="2"/>
        <v>0h0</v>
      </c>
      <c r="N17" s="145" t="s">
        <v>88</v>
      </c>
      <c r="O17" s="136"/>
      <c r="P17" s="136"/>
      <c r="Q17" s="136">
        <f t="shared" si="10"/>
        <v>0</v>
      </c>
      <c r="R17" s="136" t="str">
        <f t="shared" si="3"/>
        <v>0h0</v>
      </c>
      <c r="S17" s="145">
        <f t="shared" si="6"/>
        <v>0</v>
      </c>
      <c r="T17" s="136" t="str">
        <f t="shared" si="4"/>
        <v>0h0</v>
      </c>
    </row>
    <row r="18" spans="2:20" x14ac:dyDescent="0.3">
      <c r="B18" s="135">
        <f t="shared" si="7"/>
        <v>46208</v>
      </c>
      <c r="C18" s="136" t="str">
        <f t="shared" si="0"/>
        <v>Sunday</v>
      </c>
      <c r="D18" s="145" t="s">
        <v>88</v>
      </c>
      <c r="E18" s="136"/>
      <c r="F18" s="136"/>
      <c r="G18" s="136">
        <f t="shared" si="8"/>
        <v>0</v>
      </c>
      <c r="H18" s="136" t="str">
        <f t="shared" si="5"/>
        <v>0h0</v>
      </c>
      <c r="I18" s="145" t="s">
        <v>88</v>
      </c>
      <c r="J18" s="136"/>
      <c r="K18" s="136"/>
      <c r="L18" s="136">
        <f t="shared" si="9"/>
        <v>0</v>
      </c>
      <c r="M18" s="136" t="str">
        <f t="shared" si="2"/>
        <v>0h0</v>
      </c>
      <c r="N18" s="145" t="s">
        <v>88</v>
      </c>
      <c r="O18" s="136"/>
      <c r="P18" s="136"/>
      <c r="Q18" s="136">
        <f t="shared" si="10"/>
        <v>0</v>
      </c>
      <c r="R18" s="136" t="str">
        <f t="shared" si="3"/>
        <v>0h0</v>
      </c>
      <c r="S18" s="145">
        <f t="shared" si="6"/>
        <v>0</v>
      </c>
      <c r="T18" s="136" t="str">
        <f t="shared" si="4"/>
        <v>0h0</v>
      </c>
    </row>
    <row r="19" spans="2:20" x14ac:dyDescent="0.3">
      <c r="B19" s="135">
        <f t="shared" si="7"/>
        <v>46209</v>
      </c>
      <c r="C19" s="136" t="str">
        <f t="shared" si="0"/>
        <v>Monday</v>
      </c>
      <c r="D19" s="145" t="s">
        <v>88</v>
      </c>
      <c r="E19" s="136"/>
      <c r="F19" s="136"/>
      <c r="G19" s="136">
        <f t="shared" si="8"/>
        <v>0</v>
      </c>
      <c r="H19" s="136" t="str">
        <f t="shared" si="5"/>
        <v>0h0</v>
      </c>
      <c r="I19" s="145" t="s">
        <v>88</v>
      </c>
      <c r="J19" s="136"/>
      <c r="K19" s="136"/>
      <c r="L19" s="136">
        <f t="shared" si="9"/>
        <v>0</v>
      </c>
      <c r="M19" s="136" t="str">
        <f t="shared" si="2"/>
        <v>0h0</v>
      </c>
      <c r="N19" s="145" t="s">
        <v>88</v>
      </c>
      <c r="O19" s="136"/>
      <c r="P19" s="136"/>
      <c r="Q19" s="136">
        <f t="shared" si="10"/>
        <v>0</v>
      </c>
      <c r="R19" s="136" t="str">
        <f t="shared" si="3"/>
        <v>0h0</v>
      </c>
      <c r="S19" s="145">
        <f t="shared" si="6"/>
        <v>0</v>
      </c>
      <c r="T19" s="136" t="str">
        <f t="shared" si="4"/>
        <v>0h0</v>
      </c>
    </row>
    <row r="20" spans="2:20" x14ac:dyDescent="0.3">
      <c r="B20" s="135">
        <f t="shared" si="7"/>
        <v>46210</v>
      </c>
      <c r="C20" s="136" t="str">
        <f t="shared" si="0"/>
        <v>Tuesday</v>
      </c>
      <c r="D20" s="145" t="s">
        <v>88</v>
      </c>
      <c r="E20" s="136"/>
      <c r="F20" s="136"/>
      <c r="G20" s="136">
        <f t="shared" si="8"/>
        <v>0</v>
      </c>
      <c r="H20" s="136" t="str">
        <f t="shared" si="5"/>
        <v>0h0</v>
      </c>
      <c r="I20" s="145" t="s">
        <v>88</v>
      </c>
      <c r="J20" s="136"/>
      <c r="K20" s="136"/>
      <c r="L20" s="136">
        <f t="shared" si="9"/>
        <v>0</v>
      </c>
      <c r="M20" s="136" t="str">
        <f t="shared" si="2"/>
        <v>0h0</v>
      </c>
      <c r="N20" s="145" t="s">
        <v>88</v>
      </c>
      <c r="O20" s="136"/>
      <c r="P20" s="136"/>
      <c r="Q20" s="136">
        <f t="shared" si="10"/>
        <v>0</v>
      </c>
      <c r="R20" s="136" t="str">
        <f t="shared" si="3"/>
        <v>0h0</v>
      </c>
      <c r="S20" s="145">
        <f t="shared" si="6"/>
        <v>0</v>
      </c>
      <c r="T20" s="136" t="str">
        <f t="shared" si="4"/>
        <v>0h0</v>
      </c>
    </row>
    <row r="21" spans="2:20" x14ac:dyDescent="0.3">
      <c r="B21" s="135">
        <f t="shared" si="7"/>
        <v>46211</v>
      </c>
      <c r="C21" s="136" t="str">
        <f t="shared" si="0"/>
        <v>Wednesday</v>
      </c>
      <c r="D21" s="145" t="s">
        <v>88</v>
      </c>
      <c r="E21" s="136"/>
      <c r="F21" s="136"/>
      <c r="G21" s="136">
        <f t="shared" si="8"/>
        <v>0</v>
      </c>
      <c r="H21" s="136" t="str">
        <f t="shared" si="5"/>
        <v>0h0</v>
      </c>
      <c r="I21" s="145" t="s">
        <v>88</v>
      </c>
      <c r="J21" s="136"/>
      <c r="K21" s="136"/>
      <c r="L21" s="136">
        <f t="shared" si="9"/>
        <v>0</v>
      </c>
      <c r="M21" s="136" t="str">
        <f t="shared" si="2"/>
        <v>0h0</v>
      </c>
      <c r="N21" s="145" t="s">
        <v>88</v>
      </c>
      <c r="O21" s="136"/>
      <c r="P21" s="136"/>
      <c r="Q21" s="136">
        <f t="shared" si="10"/>
        <v>0</v>
      </c>
      <c r="R21" s="136" t="str">
        <f t="shared" si="3"/>
        <v>0h0</v>
      </c>
      <c r="S21" s="145">
        <f t="shared" si="6"/>
        <v>0</v>
      </c>
      <c r="T21" s="136" t="str">
        <f t="shared" si="4"/>
        <v>0h0</v>
      </c>
    </row>
    <row r="22" spans="2:20" x14ac:dyDescent="0.3">
      <c r="B22" s="135">
        <f t="shared" si="7"/>
        <v>46212</v>
      </c>
      <c r="C22" s="136" t="str">
        <f t="shared" si="0"/>
        <v>Thursday</v>
      </c>
      <c r="D22" s="145" t="s">
        <v>88</v>
      </c>
      <c r="E22" s="136"/>
      <c r="F22" s="136"/>
      <c r="G22" s="136">
        <f t="shared" si="8"/>
        <v>0</v>
      </c>
      <c r="H22" s="136" t="str">
        <f t="shared" si="5"/>
        <v>0h0</v>
      </c>
      <c r="I22" s="145" t="s">
        <v>88</v>
      </c>
      <c r="J22" s="136"/>
      <c r="K22" s="136"/>
      <c r="L22" s="136">
        <f t="shared" si="9"/>
        <v>0</v>
      </c>
      <c r="M22" s="136" t="str">
        <f t="shared" si="2"/>
        <v>0h0</v>
      </c>
      <c r="N22" s="145" t="s">
        <v>88</v>
      </c>
      <c r="O22" s="136"/>
      <c r="P22" s="136"/>
      <c r="Q22" s="136">
        <f t="shared" si="10"/>
        <v>0</v>
      </c>
      <c r="R22" s="136" t="str">
        <f t="shared" si="3"/>
        <v>0h0</v>
      </c>
      <c r="S22" s="145">
        <f t="shared" si="6"/>
        <v>0</v>
      </c>
      <c r="T22" s="136" t="str">
        <f t="shared" si="4"/>
        <v>0h0</v>
      </c>
    </row>
    <row r="23" spans="2:20" x14ac:dyDescent="0.3">
      <c r="B23" s="135">
        <f t="shared" si="7"/>
        <v>46213</v>
      </c>
      <c r="C23" s="136" t="str">
        <f t="shared" si="0"/>
        <v>Friday</v>
      </c>
      <c r="D23" s="145" t="s">
        <v>88</v>
      </c>
      <c r="E23" s="136"/>
      <c r="F23" s="136"/>
      <c r="G23" s="136">
        <f t="shared" si="8"/>
        <v>0</v>
      </c>
      <c r="H23" s="136" t="str">
        <f t="shared" si="5"/>
        <v>0h0</v>
      </c>
      <c r="I23" s="145" t="s">
        <v>88</v>
      </c>
      <c r="J23" s="136"/>
      <c r="K23" s="136"/>
      <c r="L23" s="136">
        <f t="shared" si="9"/>
        <v>0</v>
      </c>
      <c r="M23" s="136" t="str">
        <f t="shared" si="2"/>
        <v>0h0</v>
      </c>
      <c r="N23" s="145" t="s">
        <v>88</v>
      </c>
      <c r="O23" s="136"/>
      <c r="P23" s="136"/>
      <c r="Q23" s="136">
        <f t="shared" si="10"/>
        <v>0</v>
      </c>
      <c r="R23" s="136" t="str">
        <f t="shared" si="3"/>
        <v>0h0</v>
      </c>
      <c r="S23" s="145">
        <f t="shared" si="6"/>
        <v>0</v>
      </c>
      <c r="T23" s="136" t="str">
        <f t="shared" si="4"/>
        <v>0h0</v>
      </c>
    </row>
    <row r="24" spans="2:20" x14ac:dyDescent="0.3">
      <c r="B24" s="135">
        <f t="shared" si="7"/>
        <v>46214</v>
      </c>
      <c r="C24" s="136" t="str">
        <f t="shared" si="0"/>
        <v>Saturday</v>
      </c>
      <c r="D24" s="145" t="s">
        <v>88</v>
      </c>
      <c r="E24" s="136"/>
      <c r="F24" s="136"/>
      <c r="G24" s="136">
        <f t="shared" si="8"/>
        <v>0</v>
      </c>
      <c r="H24" s="136" t="str">
        <f t="shared" si="5"/>
        <v>0h0</v>
      </c>
      <c r="I24" s="145" t="s">
        <v>88</v>
      </c>
      <c r="J24" s="136"/>
      <c r="K24" s="136"/>
      <c r="L24" s="136">
        <f t="shared" si="9"/>
        <v>0</v>
      </c>
      <c r="M24" s="136" t="str">
        <f t="shared" si="2"/>
        <v>0h0</v>
      </c>
      <c r="N24" s="145" t="s">
        <v>88</v>
      </c>
      <c r="O24" s="136"/>
      <c r="P24" s="136"/>
      <c r="Q24" s="136">
        <f t="shared" si="10"/>
        <v>0</v>
      </c>
      <c r="R24" s="136" t="str">
        <f t="shared" si="3"/>
        <v>0h0</v>
      </c>
      <c r="S24" s="145">
        <f t="shared" si="6"/>
        <v>0</v>
      </c>
      <c r="T24" s="136" t="str">
        <f t="shared" si="4"/>
        <v>0h0</v>
      </c>
    </row>
    <row r="25" spans="2:20" x14ac:dyDescent="0.3">
      <c r="B25" s="135">
        <f t="shared" si="7"/>
        <v>46215</v>
      </c>
      <c r="C25" s="136" t="str">
        <f t="shared" si="0"/>
        <v>Sunday</v>
      </c>
      <c r="D25" s="145" t="s">
        <v>88</v>
      </c>
      <c r="E25" s="136"/>
      <c r="F25" s="136"/>
      <c r="G25" s="136">
        <f t="shared" si="8"/>
        <v>0</v>
      </c>
      <c r="H25" s="136" t="str">
        <f t="shared" si="5"/>
        <v>0h0</v>
      </c>
      <c r="I25" s="145" t="s">
        <v>88</v>
      </c>
      <c r="J25" s="136"/>
      <c r="K25" s="136"/>
      <c r="L25" s="136">
        <f t="shared" si="9"/>
        <v>0</v>
      </c>
      <c r="M25" s="136" t="str">
        <f t="shared" si="2"/>
        <v>0h0</v>
      </c>
      <c r="N25" s="145" t="s">
        <v>88</v>
      </c>
      <c r="O25" s="136"/>
      <c r="P25" s="136"/>
      <c r="Q25" s="136">
        <f t="shared" si="10"/>
        <v>0</v>
      </c>
      <c r="R25" s="136" t="str">
        <f t="shared" si="3"/>
        <v>0h0</v>
      </c>
      <c r="S25" s="145">
        <f t="shared" si="6"/>
        <v>0</v>
      </c>
      <c r="T25" s="136" t="str">
        <f t="shared" si="4"/>
        <v>0h0</v>
      </c>
    </row>
    <row r="26" spans="2:20" x14ac:dyDescent="0.3">
      <c r="B26" s="135">
        <f t="shared" si="7"/>
        <v>46216</v>
      </c>
      <c r="C26" s="136" t="str">
        <f t="shared" si="0"/>
        <v>Monday</v>
      </c>
      <c r="D26" s="145" t="s">
        <v>88</v>
      </c>
      <c r="E26" s="136"/>
      <c r="F26" s="136"/>
      <c r="G26" s="136">
        <f t="shared" si="8"/>
        <v>0</v>
      </c>
      <c r="H26" s="136" t="str">
        <f t="shared" si="5"/>
        <v>0h0</v>
      </c>
      <c r="I26" s="145" t="s">
        <v>88</v>
      </c>
      <c r="J26" s="136"/>
      <c r="K26" s="136"/>
      <c r="L26" s="136">
        <f t="shared" si="9"/>
        <v>0</v>
      </c>
      <c r="M26" s="136" t="str">
        <f t="shared" si="2"/>
        <v>0h0</v>
      </c>
      <c r="N26" s="145" t="s">
        <v>88</v>
      </c>
      <c r="O26" s="136"/>
      <c r="P26" s="136"/>
      <c r="Q26" s="136">
        <f t="shared" si="10"/>
        <v>0</v>
      </c>
      <c r="R26" s="136" t="str">
        <f t="shared" si="3"/>
        <v>0h0</v>
      </c>
      <c r="S26" s="145">
        <f t="shared" si="6"/>
        <v>0</v>
      </c>
      <c r="T26" s="136" t="str">
        <f t="shared" si="4"/>
        <v>0h0</v>
      </c>
    </row>
    <row r="27" spans="2:20" x14ac:dyDescent="0.3">
      <c r="B27" s="135">
        <f t="shared" si="7"/>
        <v>46217</v>
      </c>
      <c r="C27" s="136" t="str">
        <f t="shared" si="0"/>
        <v>Tuesday</v>
      </c>
      <c r="D27" s="145" t="s">
        <v>88</v>
      </c>
      <c r="E27" s="136"/>
      <c r="F27" s="136"/>
      <c r="G27" s="136">
        <f t="shared" si="8"/>
        <v>0</v>
      </c>
      <c r="H27" s="136" t="str">
        <f t="shared" si="5"/>
        <v>0h0</v>
      </c>
      <c r="I27" s="145" t="s">
        <v>88</v>
      </c>
      <c r="J27" s="136"/>
      <c r="K27" s="136"/>
      <c r="L27" s="136">
        <f t="shared" si="9"/>
        <v>0</v>
      </c>
      <c r="M27" s="136" t="str">
        <f t="shared" si="2"/>
        <v>0h0</v>
      </c>
      <c r="N27" s="145" t="s">
        <v>88</v>
      </c>
      <c r="O27" s="136"/>
      <c r="P27" s="136"/>
      <c r="Q27" s="136">
        <f t="shared" si="10"/>
        <v>0</v>
      </c>
      <c r="R27" s="136" t="str">
        <f t="shared" si="3"/>
        <v>0h0</v>
      </c>
      <c r="S27" s="145">
        <f t="shared" si="6"/>
        <v>0</v>
      </c>
      <c r="T27" s="136" t="str">
        <f t="shared" si="4"/>
        <v>0h0</v>
      </c>
    </row>
    <row r="28" spans="2:20" x14ac:dyDescent="0.3">
      <c r="B28" s="135">
        <f t="shared" si="7"/>
        <v>46218</v>
      </c>
      <c r="C28" s="136" t="str">
        <f t="shared" si="0"/>
        <v>Wednesday</v>
      </c>
      <c r="D28" s="145" t="s">
        <v>88</v>
      </c>
      <c r="E28" s="136"/>
      <c r="F28" s="136"/>
      <c r="G28" s="136">
        <f t="shared" si="8"/>
        <v>0</v>
      </c>
      <c r="H28" s="136" t="str">
        <f t="shared" si="5"/>
        <v>0h0</v>
      </c>
      <c r="I28" s="145" t="s">
        <v>88</v>
      </c>
      <c r="J28" s="136"/>
      <c r="K28" s="136"/>
      <c r="L28" s="136">
        <f t="shared" si="9"/>
        <v>0</v>
      </c>
      <c r="M28" s="136" t="str">
        <f t="shared" si="2"/>
        <v>0h0</v>
      </c>
      <c r="N28" s="145" t="s">
        <v>88</v>
      </c>
      <c r="O28" s="136"/>
      <c r="P28" s="136"/>
      <c r="Q28" s="136">
        <f t="shared" si="10"/>
        <v>0</v>
      </c>
      <c r="R28" s="136" t="str">
        <f t="shared" si="3"/>
        <v>0h0</v>
      </c>
      <c r="S28" s="145">
        <f t="shared" si="6"/>
        <v>0</v>
      </c>
      <c r="T28" s="136" t="str">
        <f t="shared" si="4"/>
        <v>0h0</v>
      </c>
    </row>
    <row r="29" spans="2:20" x14ac:dyDescent="0.3">
      <c r="B29" s="135">
        <f t="shared" si="7"/>
        <v>46219</v>
      </c>
      <c r="C29" s="136" t="str">
        <f t="shared" si="0"/>
        <v>Thursday</v>
      </c>
      <c r="D29" s="145" t="s">
        <v>88</v>
      </c>
      <c r="E29" s="136"/>
      <c r="F29" s="136"/>
      <c r="G29" s="136">
        <f t="shared" si="8"/>
        <v>0</v>
      </c>
      <c r="H29" s="136" t="str">
        <f t="shared" si="5"/>
        <v>0h0</v>
      </c>
      <c r="I29" s="145" t="s">
        <v>88</v>
      </c>
      <c r="J29" s="136"/>
      <c r="K29" s="136"/>
      <c r="L29" s="136">
        <f t="shared" si="9"/>
        <v>0</v>
      </c>
      <c r="M29" s="136" t="str">
        <f t="shared" si="2"/>
        <v>0h0</v>
      </c>
      <c r="N29" s="145" t="s">
        <v>88</v>
      </c>
      <c r="O29" s="136"/>
      <c r="P29" s="136"/>
      <c r="Q29" s="136">
        <f t="shared" si="10"/>
        <v>0</v>
      </c>
      <c r="R29" s="136" t="str">
        <f t="shared" si="3"/>
        <v>0h0</v>
      </c>
      <c r="S29" s="145">
        <f t="shared" si="6"/>
        <v>0</v>
      </c>
      <c r="T29" s="136" t="str">
        <f t="shared" si="4"/>
        <v>0h0</v>
      </c>
    </row>
    <row r="30" spans="2:20" x14ac:dyDescent="0.3">
      <c r="B30" s="135">
        <f t="shared" si="7"/>
        <v>46220</v>
      </c>
      <c r="C30" s="136" t="str">
        <f t="shared" si="0"/>
        <v>Friday</v>
      </c>
      <c r="D30" s="145" t="s">
        <v>88</v>
      </c>
      <c r="E30" s="136"/>
      <c r="F30" s="136"/>
      <c r="G30" s="136">
        <f t="shared" si="8"/>
        <v>0</v>
      </c>
      <c r="H30" s="136" t="str">
        <f t="shared" si="5"/>
        <v>0h0</v>
      </c>
      <c r="I30" s="145" t="s">
        <v>88</v>
      </c>
      <c r="J30" s="136"/>
      <c r="K30" s="136"/>
      <c r="L30" s="136">
        <f t="shared" si="9"/>
        <v>0</v>
      </c>
      <c r="M30" s="136" t="str">
        <f t="shared" si="2"/>
        <v>0h0</v>
      </c>
      <c r="N30" s="145" t="s">
        <v>88</v>
      </c>
      <c r="O30" s="136"/>
      <c r="P30" s="136"/>
      <c r="Q30" s="136">
        <f t="shared" si="10"/>
        <v>0</v>
      </c>
      <c r="R30" s="136" t="str">
        <f t="shared" si="3"/>
        <v>0h0</v>
      </c>
      <c r="S30" s="145">
        <f t="shared" si="6"/>
        <v>0</v>
      </c>
      <c r="T30" s="136" t="str">
        <f t="shared" si="4"/>
        <v>0h0</v>
      </c>
    </row>
    <row r="31" spans="2:20" x14ac:dyDescent="0.3">
      <c r="B31" s="135">
        <f t="shared" si="7"/>
        <v>46221</v>
      </c>
      <c r="C31" s="136" t="str">
        <f t="shared" si="0"/>
        <v>Saturday</v>
      </c>
      <c r="D31" s="145" t="s">
        <v>88</v>
      </c>
      <c r="E31" s="136"/>
      <c r="F31" s="136"/>
      <c r="G31" s="136">
        <f t="shared" si="8"/>
        <v>0</v>
      </c>
      <c r="H31" s="136" t="str">
        <f t="shared" si="5"/>
        <v>0h0</v>
      </c>
      <c r="I31" s="145" t="s">
        <v>88</v>
      </c>
      <c r="J31" s="136"/>
      <c r="K31" s="136"/>
      <c r="L31" s="136">
        <f t="shared" si="9"/>
        <v>0</v>
      </c>
      <c r="M31" s="136" t="str">
        <f t="shared" si="2"/>
        <v>0h0</v>
      </c>
      <c r="N31" s="145" t="s">
        <v>88</v>
      </c>
      <c r="O31" s="136"/>
      <c r="P31" s="136"/>
      <c r="Q31" s="136">
        <f t="shared" si="10"/>
        <v>0</v>
      </c>
      <c r="R31" s="136" t="str">
        <f t="shared" si="3"/>
        <v>0h0</v>
      </c>
      <c r="S31" s="145">
        <f t="shared" si="6"/>
        <v>0</v>
      </c>
      <c r="T31" s="136" t="str">
        <f t="shared" si="4"/>
        <v>0h0</v>
      </c>
    </row>
    <row r="32" spans="2:20" x14ac:dyDescent="0.3">
      <c r="B32" s="135">
        <f t="shared" si="7"/>
        <v>46222</v>
      </c>
      <c r="C32" s="136" t="str">
        <f t="shared" si="0"/>
        <v>Sunday</v>
      </c>
      <c r="D32" s="145" t="s">
        <v>88</v>
      </c>
      <c r="E32" s="136"/>
      <c r="F32" s="136"/>
      <c r="G32" s="136">
        <f t="shared" si="8"/>
        <v>0</v>
      </c>
      <c r="H32" s="136" t="str">
        <f t="shared" si="5"/>
        <v>0h0</v>
      </c>
      <c r="I32" s="145" t="s">
        <v>88</v>
      </c>
      <c r="J32" s="136"/>
      <c r="K32" s="136"/>
      <c r="L32" s="136">
        <f t="shared" si="9"/>
        <v>0</v>
      </c>
      <c r="M32" s="136" t="str">
        <f t="shared" si="2"/>
        <v>0h0</v>
      </c>
      <c r="N32" s="145" t="s">
        <v>88</v>
      </c>
      <c r="O32" s="136"/>
      <c r="P32" s="136"/>
      <c r="Q32" s="136">
        <f t="shared" si="10"/>
        <v>0</v>
      </c>
      <c r="R32" s="136" t="str">
        <f t="shared" si="3"/>
        <v>0h0</v>
      </c>
      <c r="S32" s="145">
        <f t="shared" si="6"/>
        <v>0</v>
      </c>
      <c r="T32" s="136" t="str">
        <f t="shared" si="4"/>
        <v>0h0</v>
      </c>
    </row>
    <row r="33" spans="2:20" x14ac:dyDescent="0.3">
      <c r="B33" s="135">
        <f t="shared" si="7"/>
        <v>46223</v>
      </c>
      <c r="C33" s="136" t="str">
        <f t="shared" si="0"/>
        <v>Monday</v>
      </c>
      <c r="D33" s="145" t="s">
        <v>88</v>
      </c>
      <c r="E33" s="136"/>
      <c r="F33" s="136"/>
      <c r="G33" s="136">
        <f t="shared" si="8"/>
        <v>0</v>
      </c>
      <c r="H33" s="136" t="str">
        <f t="shared" si="5"/>
        <v>0h0</v>
      </c>
      <c r="I33" s="145" t="s">
        <v>88</v>
      </c>
      <c r="J33" s="136"/>
      <c r="K33" s="136"/>
      <c r="L33" s="136">
        <f t="shared" si="9"/>
        <v>0</v>
      </c>
      <c r="M33" s="136" t="str">
        <f t="shared" si="2"/>
        <v>0h0</v>
      </c>
      <c r="N33" s="145" t="s">
        <v>88</v>
      </c>
      <c r="O33" s="136"/>
      <c r="P33" s="136"/>
      <c r="Q33" s="136">
        <f t="shared" si="10"/>
        <v>0</v>
      </c>
      <c r="R33" s="136" t="str">
        <f t="shared" si="3"/>
        <v>0h0</v>
      </c>
      <c r="S33" s="145">
        <f t="shared" si="6"/>
        <v>0</v>
      </c>
      <c r="T33" s="136" t="str">
        <f t="shared" si="4"/>
        <v>0h0</v>
      </c>
    </row>
    <row r="34" spans="2:20" x14ac:dyDescent="0.3">
      <c r="B34" s="135">
        <f t="shared" si="7"/>
        <v>46224</v>
      </c>
      <c r="C34" s="136" t="str">
        <f t="shared" si="0"/>
        <v>Tuesday</v>
      </c>
      <c r="D34" s="145" t="s">
        <v>233</v>
      </c>
      <c r="E34" s="136">
        <v>0</v>
      </c>
      <c r="F34" s="136">
        <v>20</v>
      </c>
      <c r="G34" s="136">
        <f t="shared" si="8"/>
        <v>20</v>
      </c>
      <c r="H34" s="136" t="str">
        <f t="shared" si="5"/>
        <v>0h20</v>
      </c>
      <c r="I34" s="145" t="s">
        <v>88</v>
      </c>
      <c r="J34" s="136"/>
      <c r="K34" s="136"/>
      <c r="L34" s="136">
        <f t="shared" si="9"/>
        <v>0</v>
      </c>
      <c r="M34" s="136" t="str">
        <f t="shared" si="2"/>
        <v>0h0</v>
      </c>
      <c r="N34" s="145" t="s">
        <v>88</v>
      </c>
      <c r="O34" s="136"/>
      <c r="P34" s="136"/>
      <c r="Q34" s="136">
        <f t="shared" si="10"/>
        <v>0</v>
      </c>
      <c r="R34" s="136" t="str">
        <f t="shared" si="3"/>
        <v>0h0</v>
      </c>
      <c r="S34" s="145">
        <f t="shared" si="6"/>
        <v>20</v>
      </c>
      <c r="T34" s="136" t="str">
        <f t="shared" si="4"/>
        <v>0h20</v>
      </c>
    </row>
    <row r="35" spans="2:20" x14ac:dyDescent="0.3">
      <c r="B35" s="135">
        <f t="shared" si="7"/>
        <v>46225</v>
      </c>
      <c r="C35" s="136" t="str">
        <f t="shared" si="0"/>
        <v>Wednesday</v>
      </c>
      <c r="D35" s="145" t="s">
        <v>233</v>
      </c>
      <c r="E35" s="136">
        <v>0</v>
      </c>
      <c r="F35" s="136">
        <v>20</v>
      </c>
      <c r="G35" s="136">
        <f t="shared" si="8"/>
        <v>20</v>
      </c>
      <c r="H35" s="136" t="str">
        <f t="shared" si="5"/>
        <v>0h20</v>
      </c>
      <c r="I35" s="145" t="s">
        <v>88</v>
      </c>
      <c r="J35" s="136"/>
      <c r="K35" s="136"/>
      <c r="L35" s="136">
        <f t="shared" si="9"/>
        <v>0</v>
      </c>
      <c r="M35" s="136" t="str">
        <f t="shared" si="2"/>
        <v>0h0</v>
      </c>
      <c r="N35" s="145" t="s">
        <v>88</v>
      </c>
      <c r="O35" s="136"/>
      <c r="P35" s="136"/>
      <c r="Q35" s="136">
        <f t="shared" si="10"/>
        <v>0</v>
      </c>
      <c r="R35" s="136" t="str">
        <f t="shared" si="3"/>
        <v>0h0</v>
      </c>
      <c r="S35" s="145">
        <f t="shared" si="6"/>
        <v>20</v>
      </c>
      <c r="T35" s="136" t="str">
        <f t="shared" si="4"/>
        <v>0h20</v>
      </c>
    </row>
    <row r="36" spans="2:20" x14ac:dyDescent="0.3">
      <c r="B36" s="135">
        <f t="shared" si="7"/>
        <v>46226</v>
      </c>
      <c r="C36" s="136" t="str">
        <f t="shared" si="0"/>
        <v>Thursday</v>
      </c>
      <c r="D36" s="145"/>
      <c r="E36" s="136"/>
      <c r="F36" s="136"/>
      <c r="G36" s="136">
        <f t="shared" si="8"/>
        <v>0</v>
      </c>
      <c r="H36" s="136" t="str">
        <f t="shared" si="5"/>
        <v>0h0</v>
      </c>
      <c r="I36" s="145" t="s">
        <v>88</v>
      </c>
      <c r="J36" s="136"/>
      <c r="K36" s="136"/>
      <c r="L36" s="136">
        <f t="shared" si="9"/>
        <v>0</v>
      </c>
      <c r="M36" s="136" t="str">
        <f t="shared" si="2"/>
        <v>0h0</v>
      </c>
      <c r="N36" s="145" t="s">
        <v>88</v>
      </c>
      <c r="O36" s="136"/>
      <c r="P36" s="136"/>
      <c r="Q36" s="136">
        <f t="shared" si="10"/>
        <v>0</v>
      </c>
      <c r="R36" s="136" t="str">
        <f t="shared" si="3"/>
        <v>0h0</v>
      </c>
      <c r="S36" s="145">
        <f t="shared" si="6"/>
        <v>0</v>
      </c>
      <c r="T36" s="136" t="str">
        <f t="shared" si="4"/>
        <v>0h0</v>
      </c>
    </row>
    <row r="37" spans="2:20" x14ac:dyDescent="0.3">
      <c r="B37" s="135">
        <f t="shared" si="7"/>
        <v>46227</v>
      </c>
      <c r="C37" s="136" t="str">
        <f t="shared" si="0"/>
        <v>Friday</v>
      </c>
      <c r="D37" s="145" t="s">
        <v>233</v>
      </c>
      <c r="E37" s="136">
        <v>0</v>
      </c>
      <c r="F37" s="136">
        <v>20</v>
      </c>
      <c r="G37" s="136">
        <f t="shared" si="8"/>
        <v>20</v>
      </c>
      <c r="H37" s="136" t="str">
        <f t="shared" si="5"/>
        <v>0h20</v>
      </c>
      <c r="I37" s="145" t="s">
        <v>88</v>
      </c>
      <c r="J37" s="136"/>
      <c r="K37" s="136"/>
      <c r="L37" s="136">
        <f t="shared" si="9"/>
        <v>0</v>
      </c>
      <c r="M37" s="136" t="str">
        <f t="shared" si="2"/>
        <v>0h0</v>
      </c>
      <c r="N37" s="145" t="s">
        <v>88</v>
      </c>
      <c r="O37" s="136"/>
      <c r="P37" s="136"/>
      <c r="Q37" s="136">
        <f t="shared" si="10"/>
        <v>0</v>
      </c>
      <c r="R37" s="136" t="str">
        <f t="shared" si="3"/>
        <v>0h0</v>
      </c>
      <c r="S37" s="145">
        <f t="shared" si="6"/>
        <v>20</v>
      </c>
      <c r="T37" s="136" t="str">
        <f t="shared" si="4"/>
        <v>0h20</v>
      </c>
    </row>
    <row r="38" spans="2:20" x14ac:dyDescent="0.3">
      <c r="B38" s="135">
        <f t="shared" si="7"/>
        <v>46228</v>
      </c>
      <c r="C38" s="136" t="str">
        <f t="shared" si="0"/>
        <v>Saturday</v>
      </c>
      <c r="D38" s="145" t="s">
        <v>88</v>
      </c>
      <c r="E38" s="136"/>
      <c r="F38" s="136"/>
      <c r="G38" s="136">
        <f t="shared" si="8"/>
        <v>0</v>
      </c>
      <c r="H38" s="136" t="str">
        <f t="shared" si="5"/>
        <v>0h0</v>
      </c>
      <c r="I38" s="145" t="s">
        <v>88</v>
      </c>
      <c r="J38" s="136"/>
      <c r="K38" s="136"/>
      <c r="L38" s="136">
        <f t="shared" si="9"/>
        <v>0</v>
      </c>
      <c r="M38" s="136" t="str">
        <f t="shared" si="2"/>
        <v>0h0</v>
      </c>
      <c r="N38" s="145" t="s">
        <v>88</v>
      </c>
      <c r="O38" s="136"/>
      <c r="P38" s="136"/>
      <c r="Q38" s="136">
        <f t="shared" si="10"/>
        <v>0</v>
      </c>
      <c r="R38" s="136" t="str">
        <f t="shared" si="3"/>
        <v>0h0</v>
      </c>
      <c r="S38" s="145">
        <f t="shared" si="6"/>
        <v>0</v>
      </c>
      <c r="T38" s="136" t="str">
        <f t="shared" si="4"/>
        <v>0h0</v>
      </c>
    </row>
    <row r="39" spans="2:20" x14ac:dyDescent="0.3">
      <c r="B39" s="135">
        <f t="shared" si="7"/>
        <v>46229</v>
      </c>
      <c r="C39" s="136" t="str">
        <f t="shared" si="0"/>
        <v>Sunday</v>
      </c>
      <c r="D39" s="145" t="s">
        <v>88</v>
      </c>
      <c r="E39" s="136"/>
      <c r="F39" s="136"/>
      <c r="G39" s="136">
        <f t="shared" si="8"/>
        <v>0</v>
      </c>
      <c r="H39" s="136" t="str">
        <f t="shared" si="5"/>
        <v>0h0</v>
      </c>
      <c r="I39" s="145" t="s">
        <v>88</v>
      </c>
      <c r="J39" s="136"/>
      <c r="K39" s="136"/>
      <c r="L39" s="136">
        <f t="shared" si="9"/>
        <v>0</v>
      </c>
      <c r="M39" s="136" t="str">
        <f t="shared" si="2"/>
        <v>0h0</v>
      </c>
      <c r="N39" s="145" t="s">
        <v>88</v>
      </c>
      <c r="O39" s="136"/>
      <c r="P39" s="136"/>
      <c r="Q39" s="136">
        <f t="shared" si="10"/>
        <v>0</v>
      </c>
      <c r="R39" s="136" t="str">
        <f t="shared" si="3"/>
        <v>0h0</v>
      </c>
      <c r="S39" s="145">
        <f t="shared" si="6"/>
        <v>0</v>
      </c>
      <c r="T39" s="136" t="str">
        <f t="shared" si="4"/>
        <v>0h0</v>
      </c>
    </row>
    <row r="40" spans="2:20" x14ac:dyDescent="0.3">
      <c r="B40" s="135">
        <f t="shared" si="7"/>
        <v>46230</v>
      </c>
      <c r="C40" s="136" t="str">
        <f t="shared" si="0"/>
        <v>Monday</v>
      </c>
      <c r="D40" s="145" t="s">
        <v>88</v>
      </c>
      <c r="E40" s="136"/>
      <c r="F40" s="136"/>
      <c r="G40" s="136">
        <f t="shared" si="8"/>
        <v>0</v>
      </c>
      <c r="H40" s="136" t="str">
        <f t="shared" si="5"/>
        <v>0h0</v>
      </c>
      <c r="I40" s="145" t="s">
        <v>88</v>
      </c>
      <c r="J40" s="136"/>
      <c r="K40" s="136"/>
      <c r="L40" s="136">
        <f t="shared" si="9"/>
        <v>0</v>
      </c>
      <c r="M40" s="136" t="str">
        <f t="shared" si="2"/>
        <v>0h0</v>
      </c>
      <c r="N40" s="145" t="s">
        <v>88</v>
      </c>
      <c r="O40" s="136"/>
      <c r="P40" s="136"/>
      <c r="Q40" s="136">
        <f t="shared" si="10"/>
        <v>0</v>
      </c>
      <c r="R40" s="136" t="str">
        <f t="shared" si="3"/>
        <v>0h0</v>
      </c>
      <c r="S40" s="145">
        <f t="shared" si="6"/>
        <v>0</v>
      </c>
      <c r="T40" s="136" t="str">
        <f t="shared" si="4"/>
        <v>0h0</v>
      </c>
    </row>
    <row r="41" spans="2:20" x14ac:dyDescent="0.3">
      <c r="B41" s="135">
        <f t="shared" si="7"/>
        <v>46231</v>
      </c>
      <c r="C41" s="136" t="str">
        <f t="shared" si="0"/>
        <v>Tuesday</v>
      </c>
      <c r="D41" s="145" t="s">
        <v>233</v>
      </c>
      <c r="E41" s="136">
        <v>0</v>
      </c>
      <c r="F41" s="136">
        <v>20</v>
      </c>
      <c r="G41" s="136">
        <f t="shared" si="8"/>
        <v>20</v>
      </c>
      <c r="H41" s="136" t="str">
        <f t="shared" si="5"/>
        <v>0h20</v>
      </c>
      <c r="I41" s="145" t="s">
        <v>88</v>
      </c>
      <c r="J41" s="136"/>
      <c r="K41" s="136"/>
      <c r="L41" s="136">
        <f t="shared" si="9"/>
        <v>0</v>
      </c>
      <c r="M41" s="136" t="str">
        <f t="shared" si="2"/>
        <v>0h0</v>
      </c>
      <c r="N41" s="145" t="s">
        <v>88</v>
      </c>
      <c r="O41" s="136"/>
      <c r="P41" s="136"/>
      <c r="Q41" s="136">
        <f t="shared" si="10"/>
        <v>0</v>
      </c>
      <c r="R41" s="136" t="str">
        <f t="shared" si="3"/>
        <v>0h0</v>
      </c>
      <c r="S41" s="145">
        <f t="shared" si="6"/>
        <v>20</v>
      </c>
      <c r="T41" s="136" t="str">
        <f t="shared" si="4"/>
        <v>0h20</v>
      </c>
    </row>
    <row r="42" spans="2:20" x14ac:dyDescent="0.3">
      <c r="B42" s="135">
        <f t="shared" si="7"/>
        <v>46232</v>
      </c>
      <c r="C42" s="136" t="str">
        <f t="shared" si="0"/>
        <v>Wednesday</v>
      </c>
      <c r="D42" s="145" t="s">
        <v>233</v>
      </c>
      <c r="E42" s="136">
        <v>0</v>
      </c>
      <c r="F42" s="136">
        <v>20</v>
      </c>
      <c r="G42" s="136">
        <f t="shared" si="8"/>
        <v>20</v>
      </c>
      <c r="H42" s="136" t="str">
        <f t="shared" si="5"/>
        <v>0h20</v>
      </c>
      <c r="I42" s="145" t="s">
        <v>88</v>
      </c>
      <c r="J42" s="136"/>
      <c r="K42" s="136"/>
      <c r="L42" s="136">
        <f t="shared" si="9"/>
        <v>0</v>
      </c>
      <c r="M42" s="136" t="str">
        <f t="shared" si="2"/>
        <v>0h0</v>
      </c>
      <c r="N42" s="145" t="s">
        <v>88</v>
      </c>
      <c r="O42" s="136"/>
      <c r="P42" s="136"/>
      <c r="Q42" s="136">
        <f t="shared" si="10"/>
        <v>0</v>
      </c>
      <c r="R42" s="136" t="str">
        <f t="shared" si="3"/>
        <v>0h0</v>
      </c>
      <c r="S42" s="145">
        <f t="shared" si="6"/>
        <v>20</v>
      </c>
      <c r="T42" s="136" t="str">
        <f t="shared" si="4"/>
        <v>0h20</v>
      </c>
    </row>
    <row r="43" spans="2:20" x14ac:dyDescent="0.3">
      <c r="B43" s="135">
        <f t="shared" si="7"/>
        <v>46233</v>
      </c>
      <c r="C43" s="136" t="str">
        <f t="shared" si="0"/>
        <v>Thursday</v>
      </c>
      <c r="D43" s="145" t="s">
        <v>88</v>
      </c>
      <c r="E43" s="136"/>
      <c r="F43" s="136"/>
      <c r="G43" s="136">
        <f t="shared" si="8"/>
        <v>0</v>
      </c>
      <c r="H43" s="136" t="str">
        <f t="shared" si="5"/>
        <v>0h0</v>
      </c>
      <c r="I43" s="145" t="s">
        <v>88</v>
      </c>
      <c r="J43" s="136"/>
      <c r="K43" s="136"/>
      <c r="L43" s="136">
        <f t="shared" si="9"/>
        <v>0</v>
      </c>
      <c r="M43" s="136" t="str">
        <f t="shared" si="2"/>
        <v>0h0</v>
      </c>
      <c r="N43" s="145" t="s">
        <v>88</v>
      </c>
      <c r="O43" s="136"/>
      <c r="P43" s="136"/>
      <c r="Q43" s="136">
        <f t="shared" si="10"/>
        <v>0</v>
      </c>
      <c r="R43" s="136" t="str">
        <f t="shared" si="3"/>
        <v>0h0</v>
      </c>
      <c r="S43" s="145">
        <f t="shared" si="6"/>
        <v>0</v>
      </c>
      <c r="T43" s="136" t="str">
        <f t="shared" si="4"/>
        <v>0h0</v>
      </c>
    </row>
    <row r="44" spans="2:20" x14ac:dyDescent="0.3">
      <c r="B44" s="135">
        <f t="shared" si="7"/>
        <v>46234</v>
      </c>
      <c r="C44" s="136" t="str">
        <f t="shared" si="0"/>
        <v>Friday</v>
      </c>
      <c r="D44" s="145" t="s">
        <v>88</v>
      </c>
      <c r="E44" s="136"/>
      <c r="F44" s="136"/>
      <c r="G44" s="136">
        <f t="shared" si="8"/>
        <v>0</v>
      </c>
      <c r="H44" s="136" t="str">
        <f t="shared" si="5"/>
        <v>0h0</v>
      </c>
      <c r="I44" s="145" t="s">
        <v>88</v>
      </c>
      <c r="J44" s="136"/>
      <c r="K44" s="136"/>
      <c r="L44" s="136">
        <f t="shared" si="9"/>
        <v>0</v>
      </c>
      <c r="M44" s="136" t="str">
        <f t="shared" si="2"/>
        <v>0h0</v>
      </c>
      <c r="N44" s="145" t="s">
        <v>88</v>
      </c>
      <c r="O44" s="136"/>
      <c r="P44" s="136"/>
      <c r="Q44" s="136">
        <f t="shared" si="10"/>
        <v>0</v>
      </c>
      <c r="R44" s="136" t="str">
        <f t="shared" si="3"/>
        <v>0h0</v>
      </c>
      <c r="S44" s="145">
        <f t="shared" si="6"/>
        <v>0</v>
      </c>
      <c r="T44" s="136" t="str">
        <f t="shared" si="4"/>
        <v>0h0</v>
      </c>
    </row>
    <row r="45" spans="2:20" x14ac:dyDescent="0.3">
      <c r="B45" s="135">
        <f t="shared" si="7"/>
        <v>46235</v>
      </c>
      <c r="C45" s="136" t="str">
        <f t="shared" si="0"/>
        <v>Saturday</v>
      </c>
      <c r="D45" s="145" t="s">
        <v>88</v>
      </c>
      <c r="E45" s="136"/>
      <c r="F45" s="136"/>
      <c r="G45" s="136">
        <f t="shared" si="8"/>
        <v>0</v>
      </c>
      <c r="H45" s="136" t="str">
        <f t="shared" si="5"/>
        <v>0h0</v>
      </c>
      <c r="I45" s="145" t="s">
        <v>88</v>
      </c>
      <c r="J45" s="136"/>
      <c r="K45" s="136"/>
      <c r="L45" s="136">
        <f t="shared" si="9"/>
        <v>0</v>
      </c>
      <c r="M45" s="136" t="str">
        <f t="shared" si="2"/>
        <v>0h0</v>
      </c>
      <c r="N45" s="145" t="s">
        <v>88</v>
      </c>
      <c r="O45" s="136"/>
      <c r="P45" s="136"/>
      <c r="Q45" s="136">
        <f t="shared" si="10"/>
        <v>0</v>
      </c>
      <c r="R45" s="136" t="str">
        <f t="shared" si="3"/>
        <v>0h0</v>
      </c>
      <c r="S45" s="145">
        <f t="shared" si="6"/>
        <v>0</v>
      </c>
      <c r="T45" s="136" t="str">
        <f t="shared" si="4"/>
        <v>0h0</v>
      </c>
    </row>
    <row r="46" spans="2:20" x14ac:dyDescent="0.3">
      <c r="B46" s="135">
        <f t="shared" si="7"/>
        <v>46236</v>
      </c>
      <c r="C46" s="136" t="str">
        <f t="shared" si="0"/>
        <v>Sunday</v>
      </c>
      <c r="D46" s="145" t="s">
        <v>233</v>
      </c>
      <c r="E46" s="136">
        <v>0</v>
      </c>
      <c r="F46" s="136">
        <v>20</v>
      </c>
      <c r="G46" s="136">
        <f t="shared" si="8"/>
        <v>20</v>
      </c>
      <c r="H46" s="136" t="str">
        <f t="shared" si="5"/>
        <v>0h20</v>
      </c>
      <c r="I46" s="145" t="s">
        <v>88</v>
      </c>
      <c r="J46" s="136"/>
      <c r="K46" s="136"/>
      <c r="L46" s="136">
        <f t="shared" si="9"/>
        <v>0</v>
      </c>
      <c r="M46" s="136" t="str">
        <f t="shared" si="2"/>
        <v>0h0</v>
      </c>
      <c r="N46" s="145" t="s">
        <v>88</v>
      </c>
      <c r="O46" s="136"/>
      <c r="P46" s="136"/>
      <c r="Q46" s="136">
        <f t="shared" si="10"/>
        <v>0</v>
      </c>
      <c r="R46" s="136" t="str">
        <f t="shared" si="3"/>
        <v>0h0</v>
      </c>
      <c r="S46" s="145">
        <f t="shared" si="6"/>
        <v>20</v>
      </c>
      <c r="T46" s="136" t="str">
        <f t="shared" si="4"/>
        <v>0h20</v>
      </c>
    </row>
    <row r="47" spans="2:20" x14ac:dyDescent="0.3">
      <c r="B47" s="135">
        <f t="shared" si="7"/>
        <v>46237</v>
      </c>
      <c r="C47" s="136" t="str">
        <f t="shared" si="0"/>
        <v>Monday</v>
      </c>
      <c r="D47" s="145" t="s">
        <v>88</v>
      </c>
      <c r="E47" s="136"/>
      <c r="F47" s="136"/>
      <c r="G47" s="136">
        <f t="shared" si="8"/>
        <v>0</v>
      </c>
      <c r="H47" s="136" t="str">
        <f t="shared" si="5"/>
        <v>0h0</v>
      </c>
      <c r="I47" s="145" t="s">
        <v>88</v>
      </c>
      <c r="J47" s="136"/>
      <c r="K47" s="136"/>
      <c r="L47" s="136">
        <f t="shared" si="9"/>
        <v>0</v>
      </c>
      <c r="M47" s="136" t="str">
        <f t="shared" si="2"/>
        <v>0h0</v>
      </c>
      <c r="N47" s="145" t="s">
        <v>88</v>
      </c>
      <c r="O47" s="136"/>
      <c r="P47" s="136"/>
      <c r="Q47" s="136">
        <f t="shared" si="10"/>
        <v>0</v>
      </c>
      <c r="R47" s="136" t="str">
        <f t="shared" si="3"/>
        <v>0h0</v>
      </c>
      <c r="S47" s="145">
        <f t="shared" si="6"/>
        <v>0</v>
      </c>
      <c r="T47" s="136" t="str">
        <f t="shared" si="4"/>
        <v>0h0</v>
      </c>
    </row>
    <row r="48" spans="2:20" x14ac:dyDescent="0.3">
      <c r="B48" s="135">
        <f t="shared" si="7"/>
        <v>46238</v>
      </c>
      <c r="C48" s="136" t="str">
        <f t="shared" si="0"/>
        <v>Tuesday</v>
      </c>
      <c r="D48" s="145" t="s">
        <v>233</v>
      </c>
      <c r="E48" s="136">
        <v>0</v>
      </c>
      <c r="F48" s="136">
        <v>20</v>
      </c>
      <c r="G48" s="136">
        <f t="shared" si="8"/>
        <v>20</v>
      </c>
      <c r="H48" s="136" t="str">
        <f t="shared" si="5"/>
        <v>0h20</v>
      </c>
      <c r="I48" s="145" t="s">
        <v>88</v>
      </c>
      <c r="J48" s="136"/>
      <c r="K48" s="136"/>
      <c r="L48" s="136">
        <f t="shared" si="9"/>
        <v>0</v>
      </c>
      <c r="M48" s="136" t="str">
        <f t="shared" si="2"/>
        <v>0h0</v>
      </c>
      <c r="N48" s="145" t="s">
        <v>88</v>
      </c>
      <c r="O48" s="136"/>
      <c r="P48" s="136"/>
      <c r="Q48" s="136">
        <f t="shared" si="10"/>
        <v>0</v>
      </c>
      <c r="R48" s="136" t="str">
        <f t="shared" si="3"/>
        <v>0h0</v>
      </c>
      <c r="S48" s="145">
        <f t="shared" si="6"/>
        <v>20</v>
      </c>
      <c r="T48" s="136" t="str">
        <f t="shared" si="4"/>
        <v>0h20</v>
      </c>
    </row>
    <row r="49" spans="2:20" x14ac:dyDescent="0.3">
      <c r="B49" s="135">
        <f t="shared" si="7"/>
        <v>46239</v>
      </c>
      <c r="C49" s="136" t="str">
        <f t="shared" si="0"/>
        <v>Wednesday</v>
      </c>
      <c r="D49" s="145" t="s">
        <v>233</v>
      </c>
      <c r="E49" s="136">
        <v>0</v>
      </c>
      <c r="F49" s="136">
        <v>20</v>
      </c>
      <c r="G49" s="136">
        <f t="shared" si="8"/>
        <v>20</v>
      </c>
      <c r="H49" s="136" t="str">
        <f t="shared" si="5"/>
        <v>0h20</v>
      </c>
      <c r="I49" s="145" t="s">
        <v>88</v>
      </c>
      <c r="J49" s="136"/>
      <c r="K49" s="136"/>
      <c r="L49" s="136">
        <f t="shared" si="9"/>
        <v>0</v>
      </c>
      <c r="M49" s="136" t="str">
        <f t="shared" si="2"/>
        <v>0h0</v>
      </c>
      <c r="N49" s="145" t="s">
        <v>88</v>
      </c>
      <c r="O49" s="136"/>
      <c r="P49" s="136"/>
      <c r="Q49" s="136">
        <f t="shared" si="10"/>
        <v>0</v>
      </c>
      <c r="R49" s="136" t="str">
        <f t="shared" si="3"/>
        <v>0h0</v>
      </c>
      <c r="S49" s="145">
        <f t="shared" si="6"/>
        <v>20</v>
      </c>
      <c r="T49" s="136" t="str">
        <f t="shared" si="4"/>
        <v>0h20</v>
      </c>
    </row>
    <row r="50" spans="2:20" x14ac:dyDescent="0.3">
      <c r="B50" s="135">
        <f t="shared" si="7"/>
        <v>46240</v>
      </c>
      <c r="C50" s="136" t="str">
        <f t="shared" si="0"/>
        <v>Thursday</v>
      </c>
      <c r="D50" s="145" t="s">
        <v>88</v>
      </c>
      <c r="E50" s="136"/>
      <c r="F50" s="136"/>
      <c r="G50" s="136">
        <f t="shared" si="8"/>
        <v>0</v>
      </c>
      <c r="H50" s="136" t="str">
        <f t="shared" si="5"/>
        <v>0h0</v>
      </c>
      <c r="I50" s="145" t="s">
        <v>88</v>
      </c>
      <c r="J50" s="136"/>
      <c r="K50" s="136"/>
      <c r="L50" s="136">
        <f t="shared" si="9"/>
        <v>0</v>
      </c>
      <c r="M50" s="136" t="str">
        <f t="shared" si="2"/>
        <v>0h0</v>
      </c>
      <c r="N50" s="145" t="s">
        <v>88</v>
      </c>
      <c r="O50" s="136"/>
      <c r="P50" s="136"/>
      <c r="Q50" s="136">
        <f t="shared" si="10"/>
        <v>0</v>
      </c>
      <c r="R50" s="136" t="str">
        <f t="shared" si="3"/>
        <v>0h0</v>
      </c>
      <c r="S50" s="145">
        <f t="shared" si="6"/>
        <v>0</v>
      </c>
      <c r="T50" s="136" t="str">
        <f t="shared" si="4"/>
        <v>0h0</v>
      </c>
    </row>
    <row r="51" spans="2:20" x14ac:dyDescent="0.3">
      <c r="B51" s="135">
        <f t="shared" si="7"/>
        <v>46241</v>
      </c>
      <c r="C51" s="136" t="str">
        <f t="shared" si="0"/>
        <v>Friday</v>
      </c>
      <c r="D51" s="145" t="s">
        <v>88</v>
      </c>
      <c r="E51" s="136"/>
      <c r="F51" s="136"/>
      <c r="G51" s="136">
        <f t="shared" si="8"/>
        <v>0</v>
      </c>
      <c r="H51" s="136" t="str">
        <f t="shared" si="5"/>
        <v>0h0</v>
      </c>
      <c r="I51" s="145" t="s">
        <v>88</v>
      </c>
      <c r="J51" s="136"/>
      <c r="K51" s="136"/>
      <c r="L51" s="136">
        <f t="shared" si="9"/>
        <v>0</v>
      </c>
      <c r="M51" s="136" t="str">
        <f t="shared" si="2"/>
        <v>0h0</v>
      </c>
      <c r="N51" s="145" t="s">
        <v>88</v>
      </c>
      <c r="O51" s="136"/>
      <c r="P51" s="136"/>
      <c r="Q51" s="136">
        <f t="shared" si="10"/>
        <v>0</v>
      </c>
      <c r="R51" s="136" t="str">
        <f t="shared" si="3"/>
        <v>0h0</v>
      </c>
      <c r="S51" s="145">
        <f t="shared" si="6"/>
        <v>0</v>
      </c>
      <c r="T51" s="136" t="str">
        <f t="shared" si="4"/>
        <v>0h0</v>
      </c>
    </row>
    <row r="52" spans="2:20" x14ac:dyDescent="0.3">
      <c r="B52" s="135">
        <f t="shared" si="7"/>
        <v>46242</v>
      </c>
      <c r="C52" s="136" t="str">
        <f t="shared" si="0"/>
        <v>Saturday</v>
      </c>
      <c r="D52" s="145" t="s">
        <v>88</v>
      </c>
      <c r="E52" s="136"/>
      <c r="F52" s="136"/>
      <c r="G52" s="136">
        <f t="shared" si="8"/>
        <v>0</v>
      </c>
      <c r="H52" s="136" t="str">
        <f t="shared" si="5"/>
        <v>0h0</v>
      </c>
      <c r="I52" s="145" t="s">
        <v>88</v>
      </c>
      <c r="J52" s="136"/>
      <c r="K52" s="136"/>
      <c r="L52" s="136">
        <f t="shared" si="9"/>
        <v>0</v>
      </c>
      <c r="M52" s="136" t="str">
        <f t="shared" si="2"/>
        <v>0h0</v>
      </c>
      <c r="N52" s="145" t="s">
        <v>88</v>
      </c>
      <c r="O52" s="136"/>
      <c r="P52" s="136"/>
      <c r="Q52" s="136">
        <f t="shared" si="10"/>
        <v>0</v>
      </c>
      <c r="R52" s="136" t="str">
        <f t="shared" si="3"/>
        <v>0h0</v>
      </c>
      <c r="S52" s="145">
        <f t="shared" si="6"/>
        <v>0</v>
      </c>
      <c r="T52" s="136" t="str">
        <f t="shared" si="4"/>
        <v>0h0</v>
      </c>
    </row>
    <row r="53" spans="2:20" x14ac:dyDescent="0.3">
      <c r="B53" s="135">
        <f t="shared" si="7"/>
        <v>46243</v>
      </c>
      <c r="C53" s="136" t="str">
        <f t="shared" si="0"/>
        <v>Sunday</v>
      </c>
      <c r="D53" s="145" t="s">
        <v>88</v>
      </c>
      <c r="E53" s="136"/>
      <c r="F53" s="136"/>
      <c r="G53" s="136">
        <f t="shared" si="8"/>
        <v>0</v>
      </c>
      <c r="H53" s="136" t="str">
        <f t="shared" si="5"/>
        <v>0h0</v>
      </c>
      <c r="I53" s="145" t="s">
        <v>88</v>
      </c>
      <c r="J53" s="136"/>
      <c r="K53" s="136"/>
      <c r="L53" s="136">
        <f t="shared" si="9"/>
        <v>0</v>
      </c>
      <c r="M53" s="136" t="str">
        <f t="shared" si="2"/>
        <v>0h0</v>
      </c>
      <c r="N53" s="145" t="s">
        <v>88</v>
      </c>
      <c r="O53" s="136"/>
      <c r="P53" s="136"/>
      <c r="Q53" s="136">
        <f t="shared" si="10"/>
        <v>0</v>
      </c>
      <c r="R53" s="136" t="str">
        <f t="shared" si="3"/>
        <v>0h0</v>
      </c>
      <c r="S53" s="145">
        <f t="shared" si="6"/>
        <v>0</v>
      </c>
      <c r="T53" s="136" t="str">
        <f t="shared" si="4"/>
        <v>0h0</v>
      </c>
    </row>
    <row r="54" spans="2:20" x14ac:dyDescent="0.3">
      <c r="B54" s="135">
        <f t="shared" si="7"/>
        <v>46244</v>
      </c>
      <c r="C54" s="136" t="str">
        <f t="shared" si="0"/>
        <v>Monday</v>
      </c>
      <c r="D54" s="145" t="s">
        <v>233</v>
      </c>
      <c r="E54" s="136">
        <v>0</v>
      </c>
      <c r="F54" s="136">
        <v>20</v>
      </c>
      <c r="G54" s="136">
        <f t="shared" si="8"/>
        <v>20</v>
      </c>
      <c r="H54" s="136" t="str">
        <f t="shared" si="5"/>
        <v>0h20</v>
      </c>
      <c r="I54" s="145" t="s">
        <v>88</v>
      </c>
      <c r="J54" s="136"/>
      <c r="K54" s="136"/>
      <c r="L54" s="136">
        <f t="shared" si="9"/>
        <v>0</v>
      </c>
      <c r="M54" s="136" t="str">
        <f t="shared" si="2"/>
        <v>0h0</v>
      </c>
      <c r="N54" s="145" t="s">
        <v>88</v>
      </c>
      <c r="O54" s="136"/>
      <c r="P54" s="136"/>
      <c r="Q54" s="136">
        <f t="shared" si="10"/>
        <v>0</v>
      </c>
      <c r="R54" s="136" t="str">
        <f t="shared" si="3"/>
        <v>0h0</v>
      </c>
      <c r="S54" s="145">
        <f t="shared" si="6"/>
        <v>20</v>
      </c>
      <c r="T54" s="136" t="str">
        <f t="shared" si="4"/>
        <v>0h20</v>
      </c>
    </row>
    <row r="55" spans="2:20" x14ac:dyDescent="0.3">
      <c r="B55" s="135">
        <f t="shared" si="7"/>
        <v>46245</v>
      </c>
      <c r="C55" s="136" t="str">
        <f t="shared" si="0"/>
        <v>Tuesday</v>
      </c>
      <c r="D55" s="145" t="s">
        <v>233</v>
      </c>
      <c r="E55" s="136">
        <v>0</v>
      </c>
      <c r="F55" s="136">
        <v>20</v>
      </c>
      <c r="G55" s="136">
        <f t="shared" si="8"/>
        <v>20</v>
      </c>
      <c r="H55" s="136" t="str">
        <f t="shared" si="5"/>
        <v>0h20</v>
      </c>
      <c r="I55" s="145" t="s">
        <v>88</v>
      </c>
      <c r="J55" s="136"/>
      <c r="K55" s="136"/>
      <c r="L55" s="136">
        <f t="shared" si="9"/>
        <v>0</v>
      </c>
      <c r="M55" s="136" t="str">
        <f t="shared" si="2"/>
        <v>0h0</v>
      </c>
      <c r="N55" s="145" t="s">
        <v>88</v>
      </c>
      <c r="O55" s="136"/>
      <c r="P55" s="136"/>
      <c r="Q55" s="136">
        <f t="shared" si="10"/>
        <v>0</v>
      </c>
      <c r="R55" s="136" t="str">
        <f t="shared" si="3"/>
        <v>0h0</v>
      </c>
      <c r="S55" s="145">
        <f t="shared" si="6"/>
        <v>20</v>
      </c>
      <c r="T55" s="136" t="str">
        <f t="shared" si="4"/>
        <v>0h20</v>
      </c>
    </row>
    <row r="56" spans="2:20" x14ac:dyDescent="0.3">
      <c r="B56" s="135">
        <f t="shared" si="7"/>
        <v>46246</v>
      </c>
      <c r="C56" s="136" t="str">
        <f t="shared" si="0"/>
        <v>Wednesday</v>
      </c>
      <c r="D56" s="145" t="s">
        <v>88</v>
      </c>
      <c r="E56" s="136"/>
      <c r="F56" s="136"/>
      <c r="G56" s="136">
        <f t="shared" si="8"/>
        <v>0</v>
      </c>
      <c r="H56" s="136" t="str">
        <f t="shared" si="5"/>
        <v>0h0</v>
      </c>
      <c r="I56" s="145" t="s">
        <v>88</v>
      </c>
      <c r="J56" s="136"/>
      <c r="K56" s="136"/>
      <c r="L56" s="136">
        <f t="shared" si="9"/>
        <v>0</v>
      </c>
      <c r="M56" s="136" t="str">
        <f t="shared" si="2"/>
        <v>0h0</v>
      </c>
      <c r="N56" s="145" t="s">
        <v>88</v>
      </c>
      <c r="O56" s="136"/>
      <c r="P56" s="136"/>
      <c r="Q56" s="136">
        <f t="shared" si="10"/>
        <v>0</v>
      </c>
      <c r="R56" s="136" t="str">
        <f t="shared" si="3"/>
        <v>0h0</v>
      </c>
      <c r="S56" s="145">
        <f t="shared" si="6"/>
        <v>0</v>
      </c>
      <c r="T56" s="136" t="str">
        <f t="shared" si="4"/>
        <v>0h0</v>
      </c>
    </row>
    <row r="57" spans="2:20" x14ac:dyDescent="0.3">
      <c r="B57" s="135">
        <f t="shared" si="7"/>
        <v>46247</v>
      </c>
      <c r="C57" s="136" t="str">
        <f t="shared" si="0"/>
        <v>Thursday</v>
      </c>
      <c r="D57" s="145" t="s">
        <v>88</v>
      </c>
      <c r="E57" s="136"/>
      <c r="F57" s="136"/>
      <c r="G57" s="136">
        <f t="shared" si="8"/>
        <v>0</v>
      </c>
      <c r="H57" s="136" t="str">
        <f t="shared" si="5"/>
        <v>0h0</v>
      </c>
      <c r="I57" s="145" t="s">
        <v>88</v>
      </c>
      <c r="J57" s="136"/>
      <c r="K57" s="136"/>
      <c r="L57" s="136">
        <f t="shared" si="9"/>
        <v>0</v>
      </c>
      <c r="M57" s="136" t="str">
        <f t="shared" si="2"/>
        <v>0h0</v>
      </c>
      <c r="N57" s="145" t="s">
        <v>88</v>
      </c>
      <c r="O57" s="136"/>
      <c r="P57" s="136"/>
      <c r="Q57" s="136">
        <f t="shared" si="10"/>
        <v>0</v>
      </c>
      <c r="R57" s="136" t="str">
        <f t="shared" si="3"/>
        <v>0h0</v>
      </c>
      <c r="S57" s="145">
        <f t="shared" si="6"/>
        <v>0</v>
      </c>
      <c r="T57" s="136" t="str">
        <f t="shared" si="4"/>
        <v>0h0</v>
      </c>
    </row>
    <row r="58" spans="2:20" x14ac:dyDescent="0.3">
      <c r="B58" s="135">
        <f t="shared" si="7"/>
        <v>46248</v>
      </c>
      <c r="C58" s="136" t="str">
        <f t="shared" si="0"/>
        <v>Friday</v>
      </c>
      <c r="D58" s="145" t="s">
        <v>88</v>
      </c>
      <c r="E58" s="136"/>
      <c r="F58" s="136"/>
      <c r="G58" s="136">
        <f t="shared" si="8"/>
        <v>0</v>
      </c>
      <c r="H58" s="136" t="str">
        <f t="shared" si="5"/>
        <v>0h0</v>
      </c>
      <c r="I58" s="145" t="s">
        <v>88</v>
      </c>
      <c r="J58" s="136"/>
      <c r="K58" s="136"/>
      <c r="L58" s="136">
        <f t="shared" si="9"/>
        <v>0</v>
      </c>
      <c r="M58" s="136" t="str">
        <f t="shared" si="2"/>
        <v>0h0</v>
      </c>
      <c r="N58" s="145" t="s">
        <v>88</v>
      </c>
      <c r="O58" s="136"/>
      <c r="P58" s="136"/>
      <c r="Q58" s="136">
        <f t="shared" si="10"/>
        <v>0</v>
      </c>
      <c r="R58" s="136" t="str">
        <f t="shared" si="3"/>
        <v>0h0</v>
      </c>
      <c r="S58" s="145">
        <f t="shared" si="6"/>
        <v>0</v>
      </c>
      <c r="T58" s="136" t="str">
        <f t="shared" si="4"/>
        <v>0h0</v>
      </c>
    </row>
    <row r="59" spans="2:20" x14ac:dyDescent="0.3">
      <c r="B59" s="135">
        <f t="shared" si="7"/>
        <v>46249</v>
      </c>
      <c r="C59" s="136" t="str">
        <f t="shared" si="0"/>
        <v>Saturday</v>
      </c>
      <c r="D59" s="145" t="s">
        <v>88</v>
      </c>
      <c r="E59" s="136"/>
      <c r="F59" s="136"/>
      <c r="G59" s="136">
        <f t="shared" si="8"/>
        <v>0</v>
      </c>
      <c r="H59" s="136" t="str">
        <f t="shared" si="5"/>
        <v>0h0</v>
      </c>
      <c r="I59" s="145" t="s">
        <v>88</v>
      </c>
      <c r="J59" s="136"/>
      <c r="K59" s="136"/>
      <c r="L59" s="136">
        <f t="shared" si="9"/>
        <v>0</v>
      </c>
      <c r="M59" s="136" t="str">
        <f t="shared" si="2"/>
        <v>0h0</v>
      </c>
      <c r="N59" s="145" t="s">
        <v>88</v>
      </c>
      <c r="O59" s="136"/>
      <c r="P59" s="136"/>
      <c r="Q59" s="136">
        <f t="shared" si="10"/>
        <v>0</v>
      </c>
      <c r="R59" s="136" t="str">
        <f t="shared" si="3"/>
        <v>0h0</v>
      </c>
      <c r="S59" s="145">
        <f t="shared" si="6"/>
        <v>0</v>
      </c>
      <c r="T59" s="136" t="str">
        <f t="shared" si="4"/>
        <v>0h0</v>
      </c>
    </row>
    <row r="60" spans="2:20" x14ac:dyDescent="0.3">
      <c r="B60" s="135">
        <f t="shared" si="7"/>
        <v>46250</v>
      </c>
      <c r="C60" s="136" t="str">
        <f t="shared" si="0"/>
        <v>Sunday</v>
      </c>
      <c r="D60" s="145" t="s">
        <v>88</v>
      </c>
      <c r="E60" s="136"/>
      <c r="F60" s="136"/>
      <c r="G60" s="136">
        <f t="shared" si="8"/>
        <v>0</v>
      </c>
      <c r="H60" s="136" t="str">
        <f t="shared" si="5"/>
        <v>0h0</v>
      </c>
      <c r="I60" s="145" t="s">
        <v>88</v>
      </c>
      <c r="J60" s="136"/>
      <c r="K60" s="136"/>
      <c r="L60" s="136">
        <f t="shared" si="9"/>
        <v>0</v>
      </c>
      <c r="M60" s="136" t="str">
        <f t="shared" si="2"/>
        <v>0h0</v>
      </c>
      <c r="N60" s="145" t="s">
        <v>88</v>
      </c>
      <c r="O60" s="136"/>
      <c r="P60" s="136"/>
      <c r="Q60" s="136">
        <f t="shared" si="10"/>
        <v>0</v>
      </c>
      <c r="R60" s="136" t="str">
        <f t="shared" si="3"/>
        <v>0h0</v>
      </c>
      <c r="S60" s="145">
        <f t="shared" si="6"/>
        <v>0</v>
      </c>
      <c r="T60" s="136" t="str">
        <f t="shared" si="4"/>
        <v>0h0</v>
      </c>
    </row>
    <row r="61" spans="2:20" x14ac:dyDescent="0.3">
      <c r="B61" s="135">
        <f t="shared" si="7"/>
        <v>46251</v>
      </c>
      <c r="C61" s="136" t="str">
        <f t="shared" si="0"/>
        <v>Monday</v>
      </c>
      <c r="D61" s="145" t="s">
        <v>88</v>
      </c>
      <c r="E61" s="136"/>
      <c r="F61" s="136"/>
      <c r="G61" s="136">
        <f t="shared" si="8"/>
        <v>0</v>
      </c>
      <c r="H61" s="136" t="str">
        <f t="shared" si="5"/>
        <v>0h0</v>
      </c>
      <c r="I61" s="145" t="s">
        <v>88</v>
      </c>
      <c r="J61" s="136"/>
      <c r="K61" s="136"/>
      <c r="L61" s="136">
        <f t="shared" si="9"/>
        <v>0</v>
      </c>
      <c r="M61" s="136" t="str">
        <f t="shared" si="2"/>
        <v>0h0</v>
      </c>
      <c r="N61" s="145" t="s">
        <v>88</v>
      </c>
      <c r="O61" s="136"/>
      <c r="P61" s="136"/>
      <c r="Q61" s="136">
        <f t="shared" si="10"/>
        <v>0</v>
      </c>
      <c r="R61" s="136" t="str">
        <f t="shared" si="3"/>
        <v>0h0</v>
      </c>
      <c r="S61" s="145">
        <f t="shared" si="6"/>
        <v>0</v>
      </c>
      <c r="T61" s="136" t="str">
        <f t="shared" si="4"/>
        <v>0h0</v>
      </c>
    </row>
    <row r="62" spans="2:20" x14ac:dyDescent="0.3">
      <c r="B62" s="135">
        <f t="shared" si="7"/>
        <v>46252</v>
      </c>
      <c r="C62" s="136" t="str">
        <f t="shared" si="0"/>
        <v>Tuesday</v>
      </c>
      <c r="D62" s="145" t="s">
        <v>233</v>
      </c>
      <c r="E62" s="136">
        <v>0</v>
      </c>
      <c r="F62" s="136">
        <v>20</v>
      </c>
      <c r="G62" s="136">
        <f t="shared" si="8"/>
        <v>20</v>
      </c>
      <c r="H62" s="136" t="str">
        <f t="shared" si="5"/>
        <v>0h20</v>
      </c>
      <c r="I62" s="145" t="s">
        <v>88</v>
      </c>
      <c r="J62" s="136"/>
      <c r="K62" s="136"/>
      <c r="L62" s="136">
        <f t="shared" si="9"/>
        <v>0</v>
      </c>
      <c r="M62" s="136" t="str">
        <f t="shared" si="2"/>
        <v>0h0</v>
      </c>
      <c r="N62" s="145" t="s">
        <v>88</v>
      </c>
      <c r="O62" s="136"/>
      <c r="P62" s="136"/>
      <c r="Q62" s="136">
        <f t="shared" si="10"/>
        <v>0</v>
      </c>
      <c r="R62" s="136" t="str">
        <f t="shared" si="3"/>
        <v>0h0</v>
      </c>
      <c r="S62" s="145">
        <f t="shared" si="6"/>
        <v>20</v>
      </c>
      <c r="T62" s="136" t="str">
        <f t="shared" si="4"/>
        <v>0h20</v>
      </c>
    </row>
    <row r="63" spans="2:20" x14ac:dyDescent="0.3">
      <c r="B63" s="135">
        <f t="shared" si="7"/>
        <v>46253</v>
      </c>
      <c r="C63" s="136" t="str">
        <f t="shared" si="0"/>
        <v>Wednesday</v>
      </c>
      <c r="D63" s="145" t="s">
        <v>88</v>
      </c>
      <c r="E63" s="136"/>
      <c r="F63" s="136"/>
      <c r="G63" s="136">
        <f t="shared" si="8"/>
        <v>0</v>
      </c>
      <c r="H63" s="136" t="str">
        <f t="shared" si="5"/>
        <v>0h0</v>
      </c>
      <c r="I63" s="145" t="s">
        <v>88</v>
      </c>
      <c r="J63" s="136"/>
      <c r="K63" s="136"/>
      <c r="L63" s="136">
        <f t="shared" si="9"/>
        <v>0</v>
      </c>
      <c r="M63" s="136" t="str">
        <f t="shared" si="2"/>
        <v>0h0</v>
      </c>
      <c r="N63" s="145" t="s">
        <v>88</v>
      </c>
      <c r="O63" s="136"/>
      <c r="P63" s="136"/>
      <c r="Q63" s="136">
        <f t="shared" si="10"/>
        <v>0</v>
      </c>
      <c r="R63" s="136" t="str">
        <f t="shared" si="3"/>
        <v>0h0</v>
      </c>
      <c r="S63" s="145">
        <f t="shared" si="6"/>
        <v>0</v>
      </c>
      <c r="T63" s="136" t="str">
        <f t="shared" si="4"/>
        <v>0h0</v>
      </c>
    </row>
    <row r="64" spans="2:20" x14ac:dyDescent="0.3">
      <c r="B64" s="135">
        <f t="shared" si="7"/>
        <v>46254</v>
      </c>
      <c r="C64" s="136" t="str">
        <f t="shared" si="0"/>
        <v>Thursday</v>
      </c>
      <c r="D64" s="145"/>
      <c r="E64" s="136"/>
      <c r="F64" s="136"/>
      <c r="G64" s="136">
        <f t="shared" si="8"/>
        <v>0</v>
      </c>
      <c r="H64" s="136" t="str">
        <f t="shared" si="5"/>
        <v>0h0</v>
      </c>
      <c r="I64" s="145" t="s">
        <v>88</v>
      </c>
      <c r="J64" s="136"/>
      <c r="K64" s="136"/>
      <c r="L64" s="136">
        <f t="shared" si="9"/>
        <v>0</v>
      </c>
      <c r="M64" s="136" t="str">
        <f t="shared" si="2"/>
        <v>0h0</v>
      </c>
      <c r="N64" s="145" t="s">
        <v>88</v>
      </c>
      <c r="O64" s="136"/>
      <c r="P64" s="136"/>
      <c r="Q64" s="136">
        <f t="shared" si="10"/>
        <v>0</v>
      </c>
      <c r="R64" s="136" t="str">
        <f t="shared" si="3"/>
        <v>0h0</v>
      </c>
      <c r="S64" s="145">
        <f t="shared" si="6"/>
        <v>0</v>
      </c>
      <c r="T64" s="136" t="str">
        <f t="shared" si="4"/>
        <v>0h0</v>
      </c>
    </row>
    <row r="65" spans="2:20" x14ac:dyDescent="0.3">
      <c r="B65" s="135">
        <f t="shared" si="7"/>
        <v>46255</v>
      </c>
      <c r="C65" s="136" t="str">
        <f t="shared" si="0"/>
        <v>Friday</v>
      </c>
      <c r="D65" s="145" t="s">
        <v>88</v>
      </c>
      <c r="E65" s="136"/>
      <c r="F65" s="136"/>
      <c r="G65" s="136">
        <f t="shared" si="8"/>
        <v>0</v>
      </c>
      <c r="H65" s="136" t="str">
        <f t="shared" si="5"/>
        <v>0h0</v>
      </c>
      <c r="I65" s="145" t="s">
        <v>88</v>
      </c>
      <c r="J65" s="136"/>
      <c r="K65" s="136"/>
      <c r="L65" s="136">
        <f t="shared" si="9"/>
        <v>0</v>
      </c>
      <c r="M65" s="136" t="str">
        <f t="shared" si="2"/>
        <v>0h0</v>
      </c>
      <c r="N65" s="145" t="s">
        <v>88</v>
      </c>
      <c r="O65" s="136"/>
      <c r="P65" s="136"/>
      <c r="Q65" s="136">
        <f t="shared" si="10"/>
        <v>0</v>
      </c>
      <c r="R65" s="136" t="str">
        <f t="shared" si="3"/>
        <v>0h0</v>
      </c>
      <c r="S65" s="145">
        <f t="shared" si="6"/>
        <v>0</v>
      </c>
      <c r="T65" s="136" t="str">
        <f t="shared" si="4"/>
        <v>0h0</v>
      </c>
    </row>
    <row r="66" spans="2:20" x14ac:dyDescent="0.3">
      <c r="B66" s="135">
        <f t="shared" si="7"/>
        <v>46256</v>
      </c>
      <c r="C66" s="136" t="str">
        <f t="shared" si="0"/>
        <v>Saturday</v>
      </c>
      <c r="D66" s="145" t="s">
        <v>88</v>
      </c>
      <c r="E66" s="136"/>
      <c r="F66" s="136"/>
      <c r="G66" s="136">
        <f t="shared" si="8"/>
        <v>0</v>
      </c>
      <c r="H66" s="136" t="str">
        <f t="shared" si="5"/>
        <v>0h0</v>
      </c>
      <c r="I66" s="145" t="s">
        <v>88</v>
      </c>
      <c r="J66" s="136"/>
      <c r="K66" s="136"/>
      <c r="L66" s="136">
        <f t="shared" si="9"/>
        <v>0</v>
      </c>
      <c r="M66" s="136" t="str">
        <f t="shared" si="2"/>
        <v>0h0</v>
      </c>
      <c r="N66" s="145" t="s">
        <v>88</v>
      </c>
      <c r="O66" s="136"/>
      <c r="P66" s="136"/>
      <c r="Q66" s="136">
        <f t="shared" si="10"/>
        <v>0</v>
      </c>
      <c r="R66" s="136" t="str">
        <f t="shared" si="3"/>
        <v>0h0</v>
      </c>
      <c r="S66" s="145">
        <f t="shared" si="6"/>
        <v>0</v>
      </c>
      <c r="T66" s="136" t="str">
        <f t="shared" si="4"/>
        <v>0h0</v>
      </c>
    </row>
    <row r="67" spans="2:20" x14ac:dyDescent="0.3">
      <c r="B67" s="135">
        <f t="shared" si="7"/>
        <v>46257</v>
      </c>
      <c r="C67" s="136" t="str">
        <f t="shared" si="0"/>
        <v>Sunday</v>
      </c>
      <c r="D67" s="145" t="s">
        <v>88</v>
      </c>
      <c r="E67" s="136"/>
      <c r="F67" s="136"/>
      <c r="G67" s="136">
        <f t="shared" si="8"/>
        <v>0</v>
      </c>
      <c r="H67" s="136" t="str">
        <f t="shared" si="5"/>
        <v>0h0</v>
      </c>
      <c r="I67" s="145" t="s">
        <v>88</v>
      </c>
      <c r="J67" s="136"/>
      <c r="K67" s="136"/>
      <c r="L67" s="136">
        <f t="shared" si="9"/>
        <v>0</v>
      </c>
      <c r="M67" s="136" t="str">
        <f t="shared" si="2"/>
        <v>0h0</v>
      </c>
      <c r="N67" s="145" t="s">
        <v>88</v>
      </c>
      <c r="O67" s="136"/>
      <c r="P67" s="136"/>
      <c r="Q67" s="136">
        <f t="shared" si="10"/>
        <v>0</v>
      </c>
      <c r="R67" s="136" t="str">
        <f t="shared" si="3"/>
        <v>0h0</v>
      </c>
      <c r="S67" s="145">
        <f t="shared" si="6"/>
        <v>0</v>
      </c>
      <c r="T67" s="136" t="str">
        <f t="shared" si="4"/>
        <v>0h0</v>
      </c>
    </row>
    <row r="68" spans="2:20" x14ac:dyDescent="0.3">
      <c r="B68" s="135">
        <f t="shared" si="7"/>
        <v>46258</v>
      </c>
      <c r="C68" s="136" t="str">
        <f t="shared" si="0"/>
        <v>Monday</v>
      </c>
      <c r="D68" s="145" t="s">
        <v>88</v>
      </c>
      <c r="E68" s="136"/>
      <c r="F68" s="136"/>
      <c r="G68" s="136">
        <f t="shared" si="8"/>
        <v>0</v>
      </c>
      <c r="H68" s="136" t="str">
        <f t="shared" si="5"/>
        <v>0h0</v>
      </c>
      <c r="I68" s="145" t="s">
        <v>88</v>
      </c>
      <c r="J68" s="136"/>
      <c r="K68" s="136"/>
      <c r="L68" s="136">
        <f t="shared" si="9"/>
        <v>0</v>
      </c>
      <c r="M68" s="136" t="str">
        <f t="shared" si="2"/>
        <v>0h0</v>
      </c>
      <c r="N68" s="145" t="s">
        <v>88</v>
      </c>
      <c r="O68" s="136"/>
      <c r="P68" s="136"/>
      <c r="Q68" s="136">
        <f t="shared" si="10"/>
        <v>0</v>
      </c>
      <c r="R68" s="136" t="str">
        <f t="shared" si="3"/>
        <v>0h0</v>
      </c>
      <c r="S68" s="145">
        <f t="shared" si="6"/>
        <v>0</v>
      </c>
      <c r="T68" s="136" t="str">
        <f t="shared" si="4"/>
        <v>0h0</v>
      </c>
    </row>
    <row r="69" spans="2:20" x14ac:dyDescent="0.3">
      <c r="B69" s="135">
        <f t="shared" si="7"/>
        <v>46259</v>
      </c>
      <c r="C69" s="136" t="str">
        <f t="shared" si="0"/>
        <v>Tuesday</v>
      </c>
      <c r="D69" s="145" t="s">
        <v>88</v>
      </c>
      <c r="E69" s="136"/>
      <c r="F69" s="136"/>
      <c r="G69" s="136">
        <f t="shared" si="8"/>
        <v>0</v>
      </c>
      <c r="H69" s="136" t="str">
        <f t="shared" si="5"/>
        <v>0h0</v>
      </c>
      <c r="I69" s="145" t="s">
        <v>88</v>
      </c>
      <c r="J69" s="136"/>
      <c r="K69" s="136"/>
      <c r="L69" s="136">
        <f t="shared" si="9"/>
        <v>0</v>
      </c>
      <c r="M69" s="136" t="str">
        <f t="shared" si="2"/>
        <v>0h0</v>
      </c>
      <c r="N69" s="145" t="s">
        <v>88</v>
      </c>
      <c r="O69" s="136"/>
      <c r="P69" s="136"/>
      <c r="Q69" s="136">
        <f t="shared" si="10"/>
        <v>0</v>
      </c>
      <c r="R69" s="136" t="str">
        <f t="shared" si="3"/>
        <v>0h0</v>
      </c>
      <c r="S69" s="145">
        <f t="shared" si="6"/>
        <v>0</v>
      </c>
      <c r="T69" s="136" t="str">
        <f t="shared" si="4"/>
        <v>0h0</v>
      </c>
    </row>
    <row r="70" spans="2:20" x14ac:dyDescent="0.3">
      <c r="B70" s="135">
        <f t="shared" si="7"/>
        <v>46260</v>
      </c>
      <c r="C70" s="136" t="str">
        <f t="shared" ref="C70:C133" si="11">CHOOSE(WEEKDAY(B70,2),"Monday","Tuesday","Wednesday","Thursday","Friday","Saturday","Sunday")</f>
        <v>Wednesday</v>
      </c>
      <c r="D70" s="145" t="s">
        <v>88</v>
      </c>
      <c r="E70" s="136"/>
      <c r="F70" s="136"/>
      <c r="G70" s="136">
        <f t="shared" si="8"/>
        <v>0</v>
      </c>
      <c r="H70" s="136" t="str">
        <f t="shared" si="5"/>
        <v>0h0</v>
      </c>
      <c r="I70" s="145" t="s">
        <v>88</v>
      </c>
      <c r="J70" s="136"/>
      <c r="K70" s="136"/>
      <c r="L70" s="136">
        <f t="shared" si="9"/>
        <v>0</v>
      </c>
      <c r="M70" s="136" t="str">
        <f t="shared" ref="M70:M133" si="12">ROUNDDOWN(L70/60, 0)&amp;"h"&amp;ROUNDUP((L70/60-ROUNDDOWN(L70/60, 0))*60,0)</f>
        <v>0h0</v>
      </c>
      <c r="N70" s="145" t="s">
        <v>88</v>
      </c>
      <c r="O70" s="136"/>
      <c r="P70" s="136"/>
      <c r="Q70" s="136">
        <f t="shared" si="10"/>
        <v>0</v>
      </c>
      <c r="R70" s="136" t="str">
        <f t="shared" ref="R70:R133" si="13">ROUNDDOWN(Q70/60, 0)&amp;"h"&amp;ROUNDUP((Q70/60-ROUNDDOWN(Q70/60, 0))*60,0)</f>
        <v>0h0</v>
      </c>
      <c r="S70" s="145">
        <f t="shared" si="6"/>
        <v>0</v>
      </c>
      <c r="T70" s="136" t="str">
        <f t="shared" ref="T70:T133" si="14">ROUNDDOWN(S70/60, 0)&amp;"h"&amp;ROUNDUP((S70/60-ROUNDDOWN(S70/60, 0))*60,0)</f>
        <v>0h0</v>
      </c>
    </row>
    <row r="71" spans="2:20" x14ac:dyDescent="0.3">
      <c r="B71" s="135">
        <f t="shared" si="7"/>
        <v>46261</v>
      </c>
      <c r="C71" s="136" t="str">
        <f t="shared" si="11"/>
        <v>Thursday</v>
      </c>
      <c r="D71" s="145" t="s">
        <v>233</v>
      </c>
      <c r="E71" s="136">
        <v>0</v>
      </c>
      <c r="F71" s="136">
        <v>20</v>
      </c>
      <c r="G71" s="136">
        <f t="shared" si="8"/>
        <v>20</v>
      </c>
      <c r="H71" s="136" t="str">
        <f t="shared" ref="H71:H134" si="15">ROUNDDOWN(G71/60, 0)&amp;"h"&amp;ROUNDUP((G71/60-ROUNDDOWN(G71/60, 0))*60,0)</f>
        <v>0h20</v>
      </c>
      <c r="I71" s="145" t="s">
        <v>88</v>
      </c>
      <c r="J71" s="136"/>
      <c r="K71" s="136"/>
      <c r="L71" s="136">
        <f t="shared" si="9"/>
        <v>0</v>
      </c>
      <c r="M71" s="136" t="str">
        <f t="shared" si="12"/>
        <v>0h0</v>
      </c>
      <c r="N71" s="145" t="s">
        <v>88</v>
      </c>
      <c r="O71" s="136"/>
      <c r="P71" s="136"/>
      <c r="Q71" s="136">
        <f t="shared" si="10"/>
        <v>0</v>
      </c>
      <c r="R71" s="136" t="str">
        <f t="shared" si="13"/>
        <v>0h0</v>
      </c>
      <c r="S71" s="145">
        <f t="shared" ref="S71:S134" si="16">G71+L71+Q71</f>
        <v>20</v>
      </c>
      <c r="T71" s="136" t="str">
        <f t="shared" si="14"/>
        <v>0h20</v>
      </c>
    </row>
    <row r="72" spans="2:20" x14ac:dyDescent="0.3">
      <c r="B72" s="135">
        <f t="shared" ref="B72:B135" si="17">B71+1</f>
        <v>46262</v>
      </c>
      <c r="C72" s="136" t="str">
        <f t="shared" si="11"/>
        <v>Friday</v>
      </c>
      <c r="D72" s="145" t="s">
        <v>88</v>
      </c>
      <c r="E72" s="136"/>
      <c r="F72" s="136"/>
      <c r="G72" s="136">
        <f t="shared" ref="G72:G135" si="18">E72*25+F72</f>
        <v>0</v>
      </c>
      <c r="H72" s="136" t="str">
        <f t="shared" si="15"/>
        <v>0h0</v>
      </c>
      <c r="I72" s="145" t="s">
        <v>88</v>
      </c>
      <c r="J72" s="136"/>
      <c r="K72" s="136"/>
      <c r="L72" s="136">
        <f t="shared" ref="L72:L135" si="19">J72*25+K72</f>
        <v>0</v>
      </c>
      <c r="M72" s="136" t="str">
        <f t="shared" si="12"/>
        <v>0h0</v>
      </c>
      <c r="N72" s="145" t="s">
        <v>88</v>
      </c>
      <c r="O72" s="136"/>
      <c r="P72" s="136"/>
      <c r="Q72" s="136">
        <f t="shared" ref="Q72:Q135" si="20">O72*25+P72</f>
        <v>0</v>
      </c>
      <c r="R72" s="136" t="str">
        <f t="shared" si="13"/>
        <v>0h0</v>
      </c>
      <c r="S72" s="145">
        <f t="shared" si="16"/>
        <v>0</v>
      </c>
      <c r="T72" s="136" t="str">
        <f t="shared" si="14"/>
        <v>0h0</v>
      </c>
    </row>
    <row r="73" spans="2:20" x14ac:dyDescent="0.3">
      <c r="B73" s="135">
        <f t="shared" si="17"/>
        <v>46263</v>
      </c>
      <c r="C73" s="136" t="str">
        <f t="shared" si="11"/>
        <v>Saturday</v>
      </c>
      <c r="D73" s="145" t="s">
        <v>88</v>
      </c>
      <c r="E73" s="136"/>
      <c r="F73" s="136"/>
      <c r="G73" s="136">
        <f t="shared" si="18"/>
        <v>0</v>
      </c>
      <c r="H73" s="136" t="str">
        <f t="shared" si="15"/>
        <v>0h0</v>
      </c>
      <c r="I73" s="145" t="s">
        <v>88</v>
      </c>
      <c r="J73" s="136"/>
      <c r="K73" s="136"/>
      <c r="L73" s="136">
        <f t="shared" si="19"/>
        <v>0</v>
      </c>
      <c r="M73" s="136" t="str">
        <f t="shared" si="12"/>
        <v>0h0</v>
      </c>
      <c r="N73" s="145" t="s">
        <v>88</v>
      </c>
      <c r="O73" s="136"/>
      <c r="P73" s="136"/>
      <c r="Q73" s="136">
        <f t="shared" si="20"/>
        <v>0</v>
      </c>
      <c r="R73" s="136" t="str">
        <f t="shared" si="13"/>
        <v>0h0</v>
      </c>
      <c r="S73" s="145">
        <f t="shared" si="16"/>
        <v>0</v>
      </c>
      <c r="T73" s="136" t="str">
        <f t="shared" si="14"/>
        <v>0h0</v>
      </c>
    </row>
    <row r="74" spans="2:20" x14ac:dyDescent="0.3">
      <c r="B74" s="135">
        <f t="shared" si="17"/>
        <v>46264</v>
      </c>
      <c r="C74" s="136" t="str">
        <f t="shared" si="11"/>
        <v>Sunday</v>
      </c>
      <c r="D74" s="145" t="s">
        <v>88</v>
      </c>
      <c r="E74" s="136"/>
      <c r="F74" s="136"/>
      <c r="G74" s="136">
        <f t="shared" si="18"/>
        <v>0</v>
      </c>
      <c r="H74" s="136" t="str">
        <f t="shared" si="15"/>
        <v>0h0</v>
      </c>
      <c r="I74" s="145" t="s">
        <v>88</v>
      </c>
      <c r="J74" s="136"/>
      <c r="K74" s="136"/>
      <c r="L74" s="136">
        <f t="shared" si="19"/>
        <v>0</v>
      </c>
      <c r="M74" s="136" t="str">
        <f t="shared" si="12"/>
        <v>0h0</v>
      </c>
      <c r="N74" s="145" t="s">
        <v>88</v>
      </c>
      <c r="O74" s="136"/>
      <c r="P74" s="136"/>
      <c r="Q74" s="136">
        <f t="shared" si="20"/>
        <v>0</v>
      </c>
      <c r="R74" s="136" t="str">
        <f t="shared" si="13"/>
        <v>0h0</v>
      </c>
      <c r="S74" s="145">
        <f t="shared" si="16"/>
        <v>0</v>
      </c>
      <c r="T74" s="136" t="str">
        <f t="shared" si="14"/>
        <v>0h0</v>
      </c>
    </row>
    <row r="75" spans="2:20" x14ac:dyDescent="0.3">
      <c r="B75" s="135">
        <f t="shared" si="17"/>
        <v>46265</v>
      </c>
      <c r="C75" s="136" t="str">
        <f t="shared" si="11"/>
        <v>Monday</v>
      </c>
      <c r="D75" s="145" t="s">
        <v>88</v>
      </c>
      <c r="E75" s="136"/>
      <c r="F75" s="136"/>
      <c r="G75" s="136">
        <f t="shared" si="18"/>
        <v>0</v>
      </c>
      <c r="H75" s="136" t="str">
        <f t="shared" si="15"/>
        <v>0h0</v>
      </c>
      <c r="I75" s="145" t="s">
        <v>88</v>
      </c>
      <c r="J75" s="136"/>
      <c r="K75" s="136"/>
      <c r="L75" s="136">
        <f t="shared" si="19"/>
        <v>0</v>
      </c>
      <c r="M75" s="136" t="str">
        <f t="shared" si="12"/>
        <v>0h0</v>
      </c>
      <c r="N75" s="145" t="s">
        <v>88</v>
      </c>
      <c r="O75" s="136"/>
      <c r="P75" s="136"/>
      <c r="Q75" s="136">
        <f t="shared" si="20"/>
        <v>0</v>
      </c>
      <c r="R75" s="136" t="str">
        <f t="shared" si="13"/>
        <v>0h0</v>
      </c>
      <c r="S75" s="145">
        <f t="shared" si="16"/>
        <v>0</v>
      </c>
      <c r="T75" s="136" t="str">
        <f t="shared" si="14"/>
        <v>0h0</v>
      </c>
    </row>
    <row r="76" spans="2:20" x14ac:dyDescent="0.3">
      <c r="B76" s="135">
        <f t="shared" si="17"/>
        <v>46266</v>
      </c>
      <c r="C76" s="136" t="str">
        <f t="shared" si="11"/>
        <v>Tuesday</v>
      </c>
      <c r="D76" s="145" t="s">
        <v>233</v>
      </c>
      <c r="E76" s="136">
        <v>0</v>
      </c>
      <c r="F76" s="136">
        <v>20</v>
      </c>
      <c r="G76" s="136">
        <f t="shared" si="18"/>
        <v>20</v>
      </c>
      <c r="H76" s="136" t="str">
        <f t="shared" si="15"/>
        <v>0h20</v>
      </c>
      <c r="I76" s="145" t="s">
        <v>88</v>
      </c>
      <c r="J76" s="136"/>
      <c r="K76" s="136"/>
      <c r="L76" s="136">
        <f t="shared" si="19"/>
        <v>0</v>
      </c>
      <c r="M76" s="136" t="str">
        <f t="shared" si="12"/>
        <v>0h0</v>
      </c>
      <c r="N76" s="145" t="s">
        <v>88</v>
      </c>
      <c r="O76" s="136"/>
      <c r="P76" s="136"/>
      <c r="Q76" s="136">
        <f t="shared" si="20"/>
        <v>0</v>
      </c>
      <c r="R76" s="136" t="str">
        <f t="shared" si="13"/>
        <v>0h0</v>
      </c>
      <c r="S76" s="145">
        <f t="shared" si="16"/>
        <v>20</v>
      </c>
      <c r="T76" s="136" t="str">
        <f t="shared" si="14"/>
        <v>0h20</v>
      </c>
    </row>
    <row r="77" spans="2:20" x14ac:dyDescent="0.3">
      <c r="B77" s="135">
        <f t="shared" si="17"/>
        <v>46267</v>
      </c>
      <c r="C77" s="136" t="str">
        <f t="shared" si="11"/>
        <v>Wednesday</v>
      </c>
      <c r="D77" s="145" t="s">
        <v>233</v>
      </c>
      <c r="E77" s="136">
        <v>0</v>
      </c>
      <c r="F77" s="136">
        <v>20</v>
      </c>
      <c r="G77" s="136">
        <f t="shared" si="18"/>
        <v>20</v>
      </c>
      <c r="H77" s="136" t="str">
        <f t="shared" si="15"/>
        <v>0h20</v>
      </c>
      <c r="I77" s="145" t="s">
        <v>88</v>
      </c>
      <c r="J77" s="136"/>
      <c r="K77" s="136"/>
      <c r="L77" s="136">
        <f t="shared" si="19"/>
        <v>0</v>
      </c>
      <c r="M77" s="136" t="str">
        <f t="shared" si="12"/>
        <v>0h0</v>
      </c>
      <c r="N77" s="145" t="s">
        <v>88</v>
      </c>
      <c r="O77" s="136"/>
      <c r="P77" s="136"/>
      <c r="Q77" s="136">
        <f t="shared" si="20"/>
        <v>0</v>
      </c>
      <c r="R77" s="136" t="str">
        <f t="shared" si="13"/>
        <v>0h0</v>
      </c>
      <c r="S77" s="145">
        <f t="shared" si="16"/>
        <v>20</v>
      </c>
      <c r="T77" s="136" t="str">
        <f t="shared" si="14"/>
        <v>0h20</v>
      </c>
    </row>
    <row r="78" spans="2:20" x14ac:dyDescent="0.3">
      <c r="B78" s="135">
        <f t="shared" si="17"/>
        <v>46268</v>
      </c>
      <c r="C78" s="136" t="str">
        <f t="shared" si="11"/>
        <v>Thursday</v>
      </c>
      <c r="D78" s="145" t="s">
        <v>88</v>
      </c>
      <c r="E78" s="136"/>
      <c r="F78" s="136"/>
      <c r="G78" s="136">
        <f t="shared" si="18"/>
        <v>0</v>
      </c>
      <c r="H78" s="136" t="str">
        <f t="shared" si="15"/>
        <v>0h0</v>
      </c>
      <c r="I78" s="145" t="s">
        <v>88</v>
      </c>
      <c r="J78" s="136"/>
      <c r="K78" s="136"/>
      <c r="L78" s="136">
        <f t="shared" si="19"/>
        <v>0</v>
      </c>
      <c r="M78" s="136" t="str">
        <f t="shared" si="12"/>
        <v>0h0</v>
      </c>
      <c r="N78" s="145" t="s">
        <v>88</v>
      </c>
      <c r="O78" s="136"/>
      <c r="P78" s="136"/>
      <c r="Q78" s="136">
        <f t="shared" si="20"/>
        <v>0</v>
      </c>
      <c r="R78" s="136" t="str">
        <f t="shared" si="13"/>
        <v>0h0</v>
      </c>
      <c r="S78" s="145">
        <f t="shared" si="16"/>
        <v>0</v>
      </c>
      <c r="T78" s="136" t="str">
        <f t="shared" si="14"/>
        <v>0h0</v>
      </c>
    </row>
    <row r="79" spans="2:20" x14ac:dyDescent="0.3">
      <c r="B79" s="135">
        <f t="shared" si="17"/>
        <v>46269</v>
      </c>
      <c r="C79" s="136" t="str">
        <f t="shared" si="11"/>
        <v>Friday</v>
      </c>
      <c r="D79" s="145" t="s">
        <v>88</v>
      </c>
      <c r="E79" s="136"/>
      <c r="F79" s="136"/>
      <c r="G79" s="136">
        <f t="shared" si="18"/>
        <v>0</v>
      </c>
      <c r="H79" s="136" t="str">
        <f t="shared" si="15"/>
        <v>0h0</v>
      </c>
      <c r="I79" s="145" t="s">
        <v>88</v>
      </c>
      <c r="J79" s="136"/>
      <c r="K79" s="136"/>
      <c r="L79" s="136">
        <f t="shared" si="19"/>
        <v>0</v>
      </c>
      <c r="M79" s="136" t="str">
        <f t="shared" si="12"/>
        <v>0h0</v>
      </c>
      <c r="N79" s="145" t="s">
        <v>88</v>
      </c>
      <c r="O79" s="136"/>
      <c r="P79" s="136"/>
      <c r="Q79" s="136">
        <f t="shared" si="20"/>
        <v>0</v>
      </c>
      <c r="R79" s="136" t="str">
        <f t="shared" si="13"/>
        <v>0h0</v>
      </c>
      <c r="S79" s="145">
        <f t="shared" si="16"/>
        <v>0</v>
      </c>
      <c r="T79" s="136" t="str">
        <f t="shared" si="14"/>
        <v>0h0</v>
      </c>
    </row>
    <row r="80" spans="2:20" x14ac:dyDescent="0.3">
      <c r="B80" s="135">
        <f t="shared" si="17"/>
        <v>46270</v>
      </c>
      <c r="C80" s="136" t="str">
        <f t="shared" si="11"/>
        <v>Saturday</v>
      </c>
      <c r="D80" s="145" t="s">
        <v>88</v>
      </c>
      <c r="E80" s="136"/>
      <c r="F80" s="136"/>
      <c r="G80" s="136">
        <f t="shared" si="18"/>
        <v>0</v>
      </c>
      <c r="H80" s="136" t="str">
        <f t="shared" si="15"/>
        <v>0h0</v>
      </c>
      <c r="I80" s="145" t="s">
        <v>88</v>
      </c>
      <c r="J80" s="136"/>
      <c r="K80" s="136"/>
      <c r="L80" s="136">
        <f t="shared" si="19"/>
        <v>0</v>
      </c>
      <c r="M80" s="136" t="str">
        <f t="shared" si="12"/>
        <v>0h0</v>
      </c>
      <c r="N80" s="145" t="s">
        <v>88</v>
      </c>
      <c r="O80" s="136"/>
      <c r="P80" s="136"/>
      <c r="Q80" s="136">
        <f t="shared" si="20"/>
        <v>0</v>
      </c>
      <c r="R80" s="136" t="str">
        <f t="shared" si="13"/>
        <v>0h0</v>
      </c>
      <c r="S80" s="145">
        <f t="shared" si="16"/>
        <v>0</v>
      </c>
      <c r="T80" s="136" t="str">
        <f t="shared" si="14"/>
        <v>0h0</v>
      </c>
    </row>
    <row r="81" spans="2:20" x14ac:dyDescent="0.3">
      <c r="B81" s="135">
        <f t="shared" si="17"/>
        <v>46271</v>
      </c>
      <c r="C81" s="136" t="str">
        <f t="shared" si="11"/>
        <v>Sunday</v>
      </c>
      <c r="D81" s="145" t="s">
        <v>88</v>
      </c>
      <c r="E81" s="136"/>
      <c r="F81" s="136"/>
      <c r="G81" s="136">
        <f t="shared" si="18"/>
        <v>0</v>
      </c>
      <c r="H81" s="136" t="str">
        <f t="shared" si="15"/>
        <v>0h0</v>
      </c>
      <c r="I81" s="145" t="s">
        <v>88</v>
      </c>
      <c r="J81" s="136"/>
      <c r="K81" s="136"/>
      <c r="L81" s="136">
        <f t="shared" si="19"/>
        <v>0</v>
      </c>
      <c r="M81" s="136" t="str">
        <f t="shared" si="12"/>
        <v>0h0</v>
      </c>
      <c r="N81" s="145" t="s">
        <v>88</v>
      </c>
      <c r="O81" s="136"/>
      <c r="P81" s="136"/>
      <c r="Q81" s="136">
        <f t="shared" si="20"/>
        <v>0</v>
      </c>
      <c r="R81" s="136" t="str">
        <f t="shared" si="13"/>
        <v>0h0</v>
      </c>
      <c r="S81" s="145">
        <f t="shared" si="16"/>
        <v>0</v>
      </c>
      <c r="T81" s="136" t="str">
        <f t="shared" si="14"/>
        <v>0h0</v>
      </c>
    </row>
    <row r="82" spans="2:20" x14ac:dyDescent="0.3">
      <c r="B82" s="135">
        <f t="shared" si="17"/>
        <v>46272</v>
      </c>
      <c r="C82" s="136" t="str">
        <f t="shared" si="11"/>
        <v>Monday</v>
      </c>
      <c r="D82" s="145" t="s">
        <v>88</v>
      </c>
      <c r="E82" s="136"/>
      <c r="F82" s="136"/>
      <c r="G82" s="136">
        <f t="shared" si="18"/>
        <v>0</v>
      </c>
      <c r="H82" s="136" t="str">
        <f t="shared" si="15"/>
        <v>0h0</v>
      </c>
      <c r="I82" s="145" t="s">
        <v>88</v>
      </c>
      <c r="J82" s="136"/>
      <c r="K82" s="136"/>
      <c r="L82" s="136">
        <f t="shared" si="19"/>
        <v>0</v>
      </c>
      <c r="M82" s="136" t="str">
        <f t="shared" si="12"/>
        <v>0h0</v>
      </c>
      <c r="N82" s="145" t="s">
        <v>88</v>
      </c>
      <c r="O82" s="136"/>
      <c r="P82" s="136"/>
      <c r="Q82" s="136">
        <f t="shared" si="20"/>
        <v>0</v>
      </c>
      <c r="R82" s="136" t="str">
        <f t="shared" si="13"/>
        <v>0h0</v>
      </c>
      <c r="S82" s="145">
        <f t="shared" si="16"/>
        <v>0</v>
      </c>
      <c r="T82" s="136" t="str">
        <f t="shared" si="14"/>
        <v>0h0</v>
      </c>
    </row>
    <row r="83" spans="2:20" x14ac:dyDescent="0.3">
      <c r="B83" s="135">
        <f t="shared" si="17"/>
        <v>46273</v>
      </c>
      <c r="C83" s="136" t="str">
        <f t="shared" si="11"/>
        <v>Tuesday</v>
      </c>
      <c r="D83" s="145" t="s">
        <v>88</v>
      </c>
      <c r="E83" s="136"/>
      <c r="F83" s="136"/>
      <c r="G83" s="136">
        <f t="shared" si="18"/>
        <v>0</v>
      </c>
      <c r="H83" s="136" t="str">
        <f t="shared" si="15"/>
        <v>0h0</v>
      </c>
      <c r="I83" s="145" t="s">
        <v>88</v>
      </c>
      <c r="J83" s="136"/>
      <c r="K83" s="136"/>
      <c r="L83" s="136">
        <f t="shared" si="19"/>
        <v>0</v>
      </c>
      <c r="M83" s="136" t="str">
        <f t="shared" si="12"/>
        <v>0h0</v>
      </c>
      <c r="N83" s="145" t="s">
        <v>88</v>
      </c>
      <c r="O83" s="136"/>
      <c r="P83" s="136"/>
      <c r="Q83" s="136">
        <f t="shared" si="20"/>
        <v>0</v>
      </c>
      <c r="R83" s="136" t="str">
        <f t="shared" si="13"/>
        <v>0h0</v>
      </c>
      <c r="S83" s="145">
        <f t="shared" si="16"/>
        <v>0</v>
      </c>
      <c r="T83" s="136" t="str">
        <f t="shared" si="14"/>
        <v>0h0</v>
      </c>
    </row>
    <row r="84" spans="2:20" x14ac:dyDescent="0.3">
      <c r="B84" s="135">
        <f t="shared" si="17"/>
        <v>46274</v>
      </c>
      <c r="C84" s="136" t="str">
        <f t="shared" si="11"/>
        <v>Wednesday</v>
      </c>
      <c r="D84" s="145" t="s">
        <v>88</v>
      </c>
      <c r="E84" s="136"/>
      <c r="F84" s="136"/>
      <c r="G84" s="136">
        <f t="shared" si="18"/>
        <v>0</v>
      </c>
      <c r="H84" s="136" t="str">
        <f t="shared" si="15"/>
        <v>0h0</v>
      </c>
      <c r="I84" s="145" t="s">
        <v>88</v>
      </c>
      <c r="J84" s="136"/>
      <c r="K84" s="136"/>
      <c r="L84" s="136">
        <f t="shared" si="19"/>
        <v>0</v>
      </c>
      <c r="M84" s="136" t="str">
        <f t="shared" si="12"/>
        <v>0h0</v>
      </c>
      <c r="N84" s="145" t="s">
        <v>88</v>
      </c>
      <c r="O84" s="136"/>
      <c r="P84" s="136"/>
      <c r="Q84" s="136">
        <f t="shared" si="20"/>
        <v>0</v>
      </c>
      <c r="R84" s="136" t="str">
        <f t="shared" si="13"/>
        <v>0h0</v>
      </c>
      <c r="S84" s="145">
        <f t="shared" si="16"/>
        <v>0</v>
      </c>
      <c r="T84" s="136" t="str">
        <f t="shared" si="14"/>
        <v>0h0</v>
      </c>
    </row>
    <row r="85" spans="2:20" x14ac:dyDescent="0.3">
      <c r="B85" s="135">
        <f t="shared" si="17"/>
        <v>46275</v>
      </c>
      <c r="C85" s="136" t="str">
        <f t="shared" si="11"/>
        <v>Thursday</v>
      </c>
      <c r="D85" s="145" t="s">
        <v>88</v>
      </c>
      <c r="E85" s="136"/>
      <c r="F85" s="136"/>
      <c r="G85" s="136">
        <f t="shared" si="18"/>
        <v>0</v>
      </c>
      <c r="H85" s="136" t="str">
        <f t="shared" si="15"/>
        <v>0h0</v>
      </c>
      <c r="I85" s="145" t="s">
        <v>88</v>
      </c>
      <c r="J85" s="136"/>
      <c r="K85" s="136"/>
      <c r="L85" s="136">
        <f t="shared" si="19"/>
        <v>0</v>
      </c>
      <c r="M85" s="136" t="str">
        <f t="shared" si="12"/>
        <v>0h0</v>
      </c>
      <c r="N85" s="145" t="s">
        <v>88</v>
      </c>
      <c r="O85" s="136"/>
      <c r="P85" s="136"/>
      <c r="Q85" s="136">
        <f t="shared" si="20"/>
        <v>0</v>
      </c>
      <c r="R85" s="136" t="str">
        <f t="shared" si="13"/>
        <v>0h0</v>
      </c>
      <c r="S85" s="145">
        <f t="shared" si="16"/>
        <v>0</v>
      </c>
      <c r="T85" s="136" t="str">
        <f t="shared" si="14"/>
        <v>0h0</v>
      </c>
    </row>
    <row r="86" spans="2:20" x14ac:dyDescent="0.3">
      <c r="B86" s="135">
        <f t="shared" si="17"/>
        <v>46276</v>
      </c>
      <c r="C86" s="136" t="str">
        <f t="shared" si="11"/>
        <v>Friday</v>
      </c>
      <c r="D86" s="145" t="s">
        <v>88</v>
      </c>
      <c r="E86" s="136"/>
      <c r="F86" s="136"/>
      <c r="G86" s="136">
        <f t="shared" si="18"/>
        <v>0</v>
      </c>
      <c r="H86" s="136" t="str">
        <f t="shared" si="15"/>
        <v>0h0</v>
      </c>
      <c r="I86" s="145" t="s">
        <v>88</v>
      </c>
      <c r="J86" s="136"/>
      <c r="K86" s="136"/>
      <c r="L86" s="136">
        <f t="shared" si="19"/>
        <v>0</v>
      </c>
      <c r="M86" s="136" t="str">
        <f t="shared" si="12"/>
        <v>0h0</v>
      </c>
      <c r="N86" s="145" t="s">
        <v>88</v>
      </c>
      <c r="O86" s="136"/>
      <c r="P86" s="136"/>
      <c r="Q86" s="136">
        <f t="shared" si="20"/>
        <v>0</v>
      </c>
      <c r="R86" s="136" t="str">
        <f t="shared" si="13"/>
        <v>0h0</v>
      </c>
      <c r="S86" s="145">
        <f t="shared" si="16"/>
        <v>0</v>
      </c>
      <c r="T86" s="136" t="str">
        <f t="shared" si="14"/>
        <v>0h0</v>
      </c>
    </row>
    <row r="87" spans="2:20" x14ac:dyDescent="0.3">
      <c r="B87" s="135">
        <f t="shared" si="17"/>
        <v>46277</v>
      </c>
      <c r="C87" s="136" t="str">
        <f t="shared" si="11"/>
        <v>Saturday</v>
      </c>
      <c r="D87" s="145" t="s">
        <v>88</v>
      </c>
      <c r="E87" s="136"/>
      <c r="F87" s="136"/>
      <c r="G87" s="136">
        <f t="shared" si="18"/>
        <v>0</v>
      </c>
      <c r="H87" s="136" t="str">
        <f t="shared" si="15"/>
        <v>0h0</v>
      </c>
      <c r="I87" s="145" t="s">
        <v>88</v>
      </c>
      <c r="J87" s="136"/>
      <c r="K87" s="136"/>
      <c r="L87" s="136">
        <f t="shared" si="19"/>
        <v>0</v>
      </c>
      <c r="M87" s="136" t="str">
        <f t="shared" si="12"/>
        <v>0h0</v>
      </c>
      <c r="N87" s="145" t="s">
        <v>88</v>
      </c>
      <c r="O87" s="136"/>
      <c r="P87" s="136"/>
      <c r="Q87" s="136">
        <f t="shared" si="20"/>
        <v>0</v>
      </c>
      <c r="R87" s="136" t="str">
        <f t="shared" si="13"/>
        <v>0h0</v>
      </c>
      <c r="S87" s="145">
        <f t="shared" si="16"/>
        <v>0</v>
      </c>
      <c r="T87" s="136" t="str">
        <f t="shared" si="14"/>
        <v>0h0</v>
      </c>
    </row>
    <row r="88" spans="2:20" x14ac:dyDescent="0.3">
      <c r="B88" s="135">
        <f t="shared" si="17"/>
        <v>46278</v>
      </c>
      <c r="C88" s="136" t="str">
        <f t="shared" si="11"/>
        <v>Sunday</v>
      </c>
      <c r="D88" s="145" t="s">
        <v>88</v>
      </c>
      <c r="E88" s="136"/>
      <c r="F88" s="136"/>
      <c r="G88" s="136">
        <f t="shared" si="18"/>
        <v>0</v>
      </c>
      <c r="H88" s="136" t="str">
        <f t="shared" si="15"/>
        <v>0h0</v>
      </c>
      <c r="I88" s="145" t="s">
        <v>88</v>
      </c>
      <c r="J88" s="136"/>
      <c r="K88" s="136"/>
      <c r="L88" s="136">
        <f t="shared" si="19"/>
        <v>0</v>
      </c>
      <c r="M88" s="136" t="str">
        <f t="shared" si="12"/>
        <v>0h0</v>
      </c>
      <c r="N88" s="145" t="s">
        <v>88</v>
      </c>
      <c r="O88" s="136"/>
      <c r="P88" s="136"/>
      <c r="Q88" s="136">
        <f t="shared" si="20"/>
        <v>0</v>
      </c>
      <c r="R88" s="136" t="str">
        <f t="shared" si="13"/>
        <v>0h0</v>
      </c>
      <c r="S88" s="145">
        <f t="shared" si="16"/>
        <v>0</v>
      </c>
      <c r="T88" s="136" t="str">
        <f t="shared" si="14"/>
        <v>0h0</v>
      </c>
    </row>
    <row r="89" spans="2:20" x14ac:dyDescent="0.3">
      <c r="B89" s="135">
        <f t="shared" si="17"/>
        <v>46279</v>
      </c>
      <c r="C89" s="136" t="str">
        <f t="shared" si="11"/>
        <v>Monday</v>
      </c>
      <c r="D89" s="145" t="s">
        <v>88</v>
      </c>
      <c r="E89" s="136"/>
      <c r="F89" s="136"/>
      <c r="G89" s="136">
        <f t="shared" si="18"/>
        <v>0</v>
      </c>
      <c r="H89" s="136" t="str">
        <f t="shared" si="15"/>
        <v>0h0</v>
      </c>
      <c r="I89" s="145" t="s">
        <v>88</v>
      </c>
      <c r="J89" s="136"/>
      <c r="K89" s="136"/>
      <c r="L89" s="136">
        <f t="shared" si="19"/>
        <v>0</v>
      </c>
      <c r="M89" s="136" t="str">
        <f t="shared" si="12"/>
        <v>0h0</v>
      </c>
      <c r="N89" s="145" t="s">
        <v>88</v>
      </c>
      <c r="O89" s="136"/>
      <c r="P89" s="136"/>
      <c r="Q89" s="136">
        <f t="shared" si="20"/>
        <v>0</v>
      </c>
      <c r="R89" s="136" t="str">
        <f t="shared" si="13"/>
        <v>0h0</v>
      </c>
      <c r="S89" s="145">
        <f t="shared" si="16"/>
        <v>0</v>
      </c>
      <c r="T89" s="136" t="str">
        <f t="shared" si="14"/>
        <v>0h0</v>
      </c>
    </row>
    <row r="90" spans="2:20" x14ac:dyDescent="0.3">
      <c r="B90" s="135">
        <f t="shared" si="17"/>
        <v>46280</v>
      </c>
      <c r="C90" s="136" t="str">
        <f t="shared" si="11"/>
        <v>Tuesday</v>
      </c>
      <c r="D90" s="145" t="s">
        <v>88</v>
      </c>
      <c r="E90" s="136"/>
      <c r="F90" s="136"/>
      <c r="G90" s="136">
        <f t="shared" si="18"/>
        <v>0</v>
      </c>
      <c r="H90" s="136" t="str">
        <f t="shared" si="15"/>
        <v>0h0</v>
      </c>
      <c r="I90" s="145" t="s">
        <v>88</v>
      </c>
      <c r="J90" s="136"/>
      <c r="K90" s="136"/>
      <c r="L90" s="136">
        <f t="shared" si="19"/>
        <v>0</v>
      </c>
      <c r="M90" s="136" t="str">
        <f t="shared" si="12"/>
        <v>0h0</v>
      </c>
      <c r="N90" s="145" t="s">
        <v>88</v>
      </c>
      <c r="O90" s="136"/>
      <c r="P90" s="136"/>
      <c r="Q90" s="136">
        <f t="shared" si="20"/>
        <v>0</v>
      </c>
      <c r="R90" s="136" t="str">
        <f t="shared" si="13"/>
        <v>0h0</v>
      </c>
      <c r="S90" s="145">
        <f t="shared" si="16"/>
        <v>0</v>
      </c>
      <c r="T90" s="136" t="str">
        <f t="shared" si="14"/>
        <v>0h0</v>
      </c>
    </row>
    <row r="91" spans="2:20" x14ac:dyDescent="0.3">
      <c r="B91" s="135">
        <f t="shared" si="17"/>
        <v>46281</v>
      </c>
      <c r="C91" s="136" t="str">
        <f t="shared" si="11"/>
        <v>Wednesday</v>
      </c>
      <c r="D91" s="145" t="s">
        <v>88</v>
      </c>
      <c r="E91" s="136"/>
      <c r="F91" s="136"/>
      <c r="G91" s="136">
        <f t="shared" si="18"/>
        <v>0</v>
      </c>
      <c r="H91" s="136" t="str">
        <f t="shared" si="15"/>
        <v>0h0</v>
      </c>
      <c r="I91" s="145" t="s">
        <v>88</v>
      </c>
      <c r="J91" s="136"/>
      <c r="K91" s="136"/>
      <c r="L91" s="136">
        <f t="shared" si="19"/>
        <v>0</v>
      </c>
      <c r="M91" s="136" t="str">
        <f t="shared" si="12"/>
        <v>0h0</v>
      </c>
      <c r="N91" s="145" t="s">
        <v>88</v>
      </c>
      <c r="O91" s="136"/>
      <c r="P91" s="136"/>
      <c r="Q91" s="136">
        <f t="shared" si="20"/>
        <v>0</v>
      </c>
      <c r="R91" s="136" t="str">
        <f t="shared" si="13"/>
        <v>0h0</v>
      </c>
      <c r="S91" s="145">
        <f t="shared" si="16"/>
        <v>0</v>
      </c>
      <c r="T91" s="136" t="str">
        <f t="shared" si="14"/>
        <v>0h0</v>
      </c>
    </row>
    <row r="92" spans="2:20" x14ac:dyDescent="0.3">
      <c r="B92" s="135">
        <f t="shared" si="17"/>
        <v>46282</v>
      </c>
      <c r="C92" s="136" t="str">
        <f t="shared" si="11"/>
        <v>Thursday</v>
      </c>
      <c r="D92" s="145" t="s">
        <v>88</v>
      </c>
      <c r="E92" s="136"/>
      <c r="F92" s="136"/>
      <c r="G92" s="136">
        <f t="shared" si="18"/>
        <v>0</v>
      </c>
      <c r="H92" s="136" t="str">
        <f t="shared" si="15"/>
        <v>0h0</v>
      </c>
      <c r="I92" s="145" t="s">
        <v>88</v>
      </c>
      <c r="J92" s="136"/>
      <c r="K92" s="136"/>
      <c r="L92" s="136">
        <f t="shared" si="19"/>
        <v>0</v>
      </c>
      <c r="M92" s="136" t="str">
        <f t="shared" si="12"/>
        <v>0h0</v>
      </c>
      <c r="N92" s="145" t="s">
        <v>88</v>
      </c>
      <c r="O92" s="136"/>
      <c r="P92" s="136"/>
      <c r="Q92" s="136">
        <f t="shared" si="20"/>
        <v>0</v>
      </c>
      <c r="R92" s="136" t="str">
        <f t="shared" si="13"/>
        <v>0h0</v>
      </c>
      <c r="S92" s="145">
        <f t="shared" si="16"/>
        <v>0</v>
      </c>
      <c r="T92" s="136" t="str">
        <f t="shared" si="14"/>
        <v>0h0</v>
      </c>
    </row>
    <row r="93" spans="2:20" x14ac:dyDescent="0.3">
      <c r="B93" s="135">
        <f t="shared" si="17"/>
        <v>46283</v>
      </c>
      <c r="C93" s="136" t="str">
        <f t="shared" si="11"/>
        <v>Friday</v>
      </c>
      <c r="D93" s="145" t="s">
        <v>88</v>
      </c>
      <c r="E93" s="136"/>
      <c r="F93" s="136"/>
      <c r="G93" s="136">
        <f t="shared" si="18"/>
        <v>0</v>
      </c>
      <c r="H93" s="136" t="str">
        <f t="shared" si="15"/>
        <v>0h0</v>
      </c>
      <c r="I93" s="145" t="s">
        <v>88</v>
      </c>
      <c r="J93" s="136"/>
      <c r="K93" s="136"/>
      <c r="L93" s="136">
        <f t="shared" si="19"/>
        <v>0</v>
      </c>
      <c r="M93" s="136" t="str">
        <f t="shared" si="12"/>
        <v>0h0</v>
      </c>
      <c r="N93" s="145" t="s">
        <v>88</v>
      </c>
      <c r="O93" s="136"/>
      <c r="P93" s="136"/>
      <c r="Q93" s="136">
        <f t="shared" si="20"/>
        <v>0</v>
      </c>
      <c r="R93" s="136" t="str">
        <f t="shared" si="13"/>
        <v>0h0</v>
      </c>
      <c r="S93" s="145">
        <f t="shared" si="16"/>
        <v>0</v>
      </c>
      <c r="T93" s="136" t="str">
        <f t="shared" si="14"/>
        <v>0h0</v>
      </c>
    </row>
    <row r="94" spans="2:20" x14ac:dyDescent="0.3">
      <c r="B94" s="135">
        <f t="shared" si="17"/>
        <v>46284</v>
      </c>
      <c r="C94" s="136" t="str">
        <f t="shared" si="11"/>
        <v>Saturday</v>
      </c>
      <c r="D94" s="145" t="s">
        <v>88</v>
      </c>
      <c r="E94" s="136"/>
      <c r="F94" s="136"/>
      <c r="G94" s="136">
        <f t="shared" si="18"/>
        <v>0</v>
      </c>
      <c r="H94" s="136" t="str">
        <f t="shared" si="15"/>
        <v>0h0</v>
      </c>
      <c r="I94" s="145" t="s">
        <v>88</v>
      </c>
      <c r="J94" s="136"/>
      <c r="K94" s="136"/>
      <c r="L94" s="136">
        <f t="shared" si="19"/>
        <v>0</v>
      </c>
      <c r="M94" s="136" t="str">
        <f t="shared" si="12"/>
        <v>0h0</v>
      </c>
      <c r="N94" s="145" t="s">
        <v>88</v>
      </c>
      <c r="O94" s="136"/>
      <c r="P94" s="136"/>
      <c r="Q94" s="136">
        <f t="shared" si="20"/>
        <v>0</v>
      </c>
      <c r="R94" s="136" t="str">
        <f t="shared" si="13"/>
        <v>0h0</v>
      </c>
      <c r="S94" s="145">
        <f t="shared" si="16"/>
        <v>0</v>
      </c>
      <c r="T94" s="136" t="str">
        <f t="shared" si="14"/>
        <v>0h0</v>
      </c>
    </row>
    <row r="95" spans="2:20" x14ac:dyDescent="0.3">
      <c r="B95" s="135">
        <f t="shared" si="17"/>
        <v>46285</v>
      </c>
      <c r="C95" s="136" t="str">
        <f t="shared" si="11"/>
        <v>Sunday</v>
      </c>
      <c r="D95" s="145" t="s">
        <v>88</v>
      </c>
      <c r="E95" s="136"/>
      <c r="F95" s="136"/>
      <c r="G95" s="136">
        <f t="shared" si="18"/>
        <v>0</v>
      </c>
      <c r="H95" s="136" t="str">
        <f t="shared" si="15"/>
        <v>0h0</v>
      </c>
      <c r="I95" s="145" t="s">
        <v>88</v>
      </c>
      <c r="J95" s="136"/>
      <c r="K95" s="136"/>
      <c r="L95" s="136">
        <f t="shared" si="19"/>
        <v>0</v>
      </c>
      <c r="M95" s="136" t="str">
        <f t="shared" si="12"/>
        <v>0h0</v>
      </c>
      <c r="N95" s="145" t="s">
        <v>88</v>
      </c>
      <c r="O95" s="136"/>
      <c r="P95" s="136"/>
      <c r="Q95" s="136">
        <f t="shared" si="20"/>
        <v>0</v>
      </c>
      <c r="R95" s="136" t="str">
        <f t="shared" si="13"/>
        <v>0h0</v>
      </c>
      <c r="S95" s="145">
        <f t="shared" si="16"/>
        <v>0</v>
      </c>
      <c r="T95" s="136" t="str">
        <f t="shared" si="14"/>
        <v>0h0</v>
      </c>
    </row>
    <row r="96" spans="2:20" x14ac:dyDescent="0.3">
      <c r="B96" s="135">
        <f t="shared" si="17"/>
        <v>46286</v>
      </c>
      <c r="C96" s="136" t="str">
        <f t="shared" si="11"/>
        <v>Monday</v>
      </c>
      <c r="D96" s="145" t="s">
        <v>88</v>
      </c>
      <c r="E96" s="136"/>
      <c r="F96" s="136"/>
      <c r="G96" s="136">
        <f t="shared" si="18"/>
        <v>0</v>
      </c>
      <c r="H96" s="136" t="str">
        <f t="shared" si="15"/>
        <v>0h0</v>
      </c>
      <c r="I96" s="145" t="s">
        <v>88</v>
      </c>
      <c r="J96" s="136"/>
      <c r="K96" s="136"/>
      <c r="L96" s="136">
        <f t="shared" si="19"/>
        <v>0</v>
      </c>
      <c r="M96" s="136" t="str">
        <f t="shared" si="12"/>
        <v>0h0</v>
      </c>
      <c r="N96" s="145" t="s">
        <v>88</v>
      </c>
      <c r="O96" s="136"/>
      <c r="P96" s="136"/>
      <c r="Q96" s="136">
        <f t="shared" si="20"/>
        <v>0</v>
      </c>
      <c r="R96" s="136" t="str">
        <f t="shared" si="13"/>
        <v>0h0</v>
      </c>
      <c r="S96" s="145">
        <f t="shared" si="16"/>
        <v>0</v>
      </c>
      <c r="T96" s="136" t="str">
        <f t="shared" si="14"/>
        <v>0h0</v>
      </c>
    </row>
    <row r="97" spans="2:20" x14ac:dyDescent="0.3">
      <c r="B97" s="135">
        <f t="shared" si="17"/>
        <v>46287</v>
      </c>
      <c r="C97" s="136" t="str">
        <f t="shared" si="11"/>
        <v>Tuesday</v>
      </c>
      <c r="D97" s="145" t="s">
        <v>88</v>
      </c>
      <c r="E97" s="136"/>
      <c r="F97" s="136"/>
      <c r="G97" s="136">
        <f t="shared" si="18"/>
        <v>0</v>
      </c>
      <c r="H97" s="136" t="str">
        <f t="shared" si="15"/>
        <v>0h0</v>
      </c>
      <c r="I97" s="145" t="s">
        <v>88</v>
      </c>
      <c r="J97" s="136"/>
      <c r="K97" s="136"/>
      <c r="L97" s="136">
        <f t="shared" si="19"/>
        <v>0</v>
      </c>
      <c r="M97" s="136" t="str">
        <f t="shared" si="12"/>
        <v>0h0</v>
      </c>
      <c r="N97" s="145" t="s">
        <v>88</v>
      </c>
      <c r="O97" s="136"/>
      <c r="P97" s="136"/>
      <c r="Q97" s="136">
        <f t="shared" si="20"/>
        <v>0</v>
      </c>
      <c r="R97" s="136" t="str">
        <f t="shared" si="13"/>
        <v>0h0</v>
      </c>
      <c r="S97" s="145">
        <f t="shared" si="16"/>
        <v>0</v>
      </c>
      <c r="T97" s="136" t="str">
        <f t="shared" si="14"/>
        <v>0h0</v>
      </c>
    </row>
    <row r="98" spans="2:20" x14ac:dyDescent="0.3">
      <c r="B98" s="135">
        <f t="shared" si="17"/>
        <v>46288</v>
      </c>
      <c r="C98" s="136" t="str">
        <f t="shared" si="11"/>
        <v>Wednesday</v>
      </c>
      <c r="D98" s="145" t="s">
        <v>88</v>
      </c>
      <c r="E98" s="136"/>
      <c r="F98" s="136"/>
      <c r="G98" s="136">
        <f t="shared" si="18"/>
        <v>0</v>
      </c>
      <c r="H98" s="136" t="str">
        <f t="shared" si="15"/>
        <v>0h0</v>
      </c>
      <c r="I98" s="145" t="s">
        <v>88</v>
      </c>
      <c r="J98" s="136"/>
      <c r="K98" s="136"/>
      <c r="L98" s="136">
        <f t="shared" si="19"/>
        <v>0</v>
      </c>
      <c r="M98" s="136" t="str">
        <f t="shared" si="12"/>
        <v>0h0</v>
      </c>
      <c r="N98" s="145" t="s">
        <v>88</v>
      </c>
      <c r="O98" s="136"/>
      <c r="P98" s="136"/>
      <c r="Q98" s="136">
        <f t="shared" si="20"/>
        <v>0</v>
      </c>
      <c r="R98" s="136" t="str">
        <f t="shared" si="13"/>
        <v>0h0</v>
      </c>
      <c r="S98" s="145">
        <f t="shared" si="16"/>
        <v>0</v>
      </c>
      <c r="T98" s="136" t="str">
        <f t="shared" si="14"/>
        <v>0h0</v>
      </c>
    </row>
    <row r="99" spans="2:20" x14ac:dyDescent="0.3">
      <c r="B99" s="135">
        <f t="shared" si="17"/>
        <v>46289</v>
      </c>
      <c r="C99" s="136" t="str">
        <f t="shared" si="11"/>
        <v>Thursday</v>
      </c>
      <c r="D99" s="145" t="s">
        <v>88</v>
      </c>
      <c r="E99" s="136"/>
      <c r="F99" s="136"/>
      <c r="G99" s="136">
        <f t="shared" si="18"/>
        <v>0</v>
      </c>
      <c r="H99" s="136" t="str">
        <f t="shared" si="15"/>
        <v>0h0</v>
      </c>
      <c r="I99" s="145" t="s">
        <v>88</v>
      </c>
      <c r="J99" s="136"/>
      <c r="K99" s="136"/>
      <c r="L99" s="136">
        <f t="shared" si="19"/>
        <v>0</v>
      </c>
      <c r="M99" s="136" t="str">
        <f t="shared" si="12"/>
        <v>0h0</v>
      </c>
      <c r="N99" s="145" t="s">
        <v>88</v>
      </c>
      <c r="O99" s="136"/>
      <c r="P99" s="136"/>
      <c r="Q99" s="136">
        <f t="shared" si="20"/>
        <v>0</v>
      </c>
      <c r="R99" s="136" t="str">
        <f t="shared" si="13"/>
        <v>0h0</v>
      </c>
      <c r="S99" s="145">
        <f t="shared" si="16"/>
        <v>0</v>
      </c>
      <c r="T99" s="136" t="str">
        <f t="shared" si="14"/>
        <v>0h0</v>
      </c>
    </row>
    <row r="100" spans="2:20" x14ac:dyDescent="0.3">
      <c r="B100" s="135">
        <f t="shared" si="17"/>
        <v>46290</v>
      </c>
      <c r="C100" s="136" t="str">
        <f t="shared" si="11"/>
        <v>Friday</v>
      </c>
      <c r="D100" s="145" t="s">
        <v>88</v>
      </c>
      <c r="E100" s="136"/>
      <c r="F100" s="136"/>
      <c r="G100" s="136">
        <f t="shared" si="18"/>
        <v>0</v>
      </c>
      <c r="H100" s="136" t="str">
        <f t="shared" si="15"/>
        <v>0h0</v>
      </c>
      <c r="I100" s="145" t="s">
        <v>88</v>
      </c>
      <c r="J100" s="136"/>
      <c r="K100" s="136"/>
      <c r="L100" s="136">
        <f t="shared" si="19"/>
        <v>0</v>
      </c>
      <c r="M100" s="136" t="str">
        <f t="shared" si="12"/>
        <v>0h0</v>
      </c>
      <c r="N100" s="145" t="s">
        <v>88</v>
      </c>
      <c r="O100" s="136"/>
      <c r="P100" s="136"/>
      <c r="Q100" s="136">
        <f t="shared" si="20"/>
        <v>0</v>
      </c>
      <c r="R100" s="136" t="str">
        <f t="shared" si="13"/>
        <v>0h0</v>
      </c>
      <c r="S100" s="145">
        <f t="shared" si="16"/>
        <v>0</v>
      </c>
      <c r="T100" s="136" t="str">
        <f t="shared" si="14"/>
        <v>0h0</v>
      </c>
    </row>
    <row r="101" spans="2:20" x14ac:dyDescent="0.3">
      <c r="B101" s="135">
        <f t="shared" si="17"/>
        <v>46291</v>
      </c>
      <c r="C101" s="136" t="str">
        <f t="shared" si="11"/>
        <v>Saturday</v>
      </c>
      <c r="D101" s="145" t="s">
        <v>88</v>
      </c>
      <c r="E101" s="136"/>
      <c r="F101" s="136"/>
      <c r="G101" s="136">
        <f t="shared" si="18"/>
        <v>0</v>
      </c>
      <c r="H101" s="136" t="str">
        <f t="shared" si="15"/>
        <v>0h0</v>
      </c>
      <c r="I101" s="145" t="s">
        <v>88</v>
      </c>
      <c r="J101" s="136"/>
      <c r="K101" s="136"/>
      <c r="L101" s="136">
        <f t="shared" si="19"/>
        <v>0</v>
      </c>
      <c r="M101" s="136" t="str">
        <f t="shared" si="12"/>
        <v>0h0</v>
      </c>
      <c r="N101" s="145" t="s">
        <v>88</v>
      </c>
      <c r="O101" s="136"/>
      <c r="P101" s="136"/>
      <c r="Q101" s="136">
        <f t="shared" si="20"/>
        <v>0</v>
      </c>
      <c r="R101" s="136" t="str">
        <f t="shared" si="13"/>
        <v>0h0</v>
      </c>
      <c r="S101" s="145">
        <f t="shared" si="16"/>
        <v>0</v>
      </c>
      <c r="T101" s="136" t="str">
        <f t="shared" si="14"/>
        <v>0h0</v>
      </c>
    </row>
    <row r="102" spans="2:20" x14ac:dyDescent="0.3">
      <c r="B102" s="135">
        <f t="shared" si="17"/>
        <v>46292</v>
      </c>
      <c r="C102" s="136" t="str">
        <f t="shared" si="11"/>
        <v>Sunday</v>
      </c>
      <c r="D102" s="145" t="s">
        <v>88</v>
      </c>
      <c r="E102" s="136"/>
      <c r="F102" s="136"/>
      <c r="G102" s="136">
        <f t="shared" si="18"/>
        <v>0</v>
      </c>
      <c r="H102" s="136" t="str">
        <f t="shared" si="15"/>
        <v>0h0</v>
      </c>
      <c r="I102" s="145" t="s">
        <v>88</v>
      </c>
      <c r="J102" s="136"/>
      <c r="K102" s="136"/>
      <c r="L102" s="136">
        <f t="shared" si="19"/>
        <v>0</v>
      </c>
      <c r="M102" s="136" t="str">
        <f t="shared" si="12"/>
        <v>0h0</v>
      </c>
      <c r="N102" s="145" t="s">
        <v>88</v>
      </c>
      <c r="O102" s="136"/>
      <c r="P102" s="136"/>
      <c r="Q102" s="136">
        <f t="shared" si="20"/>
        <v>0</v>
      </c>
      <c r="R102" s="136" t="str">
        <f t="shared" si="13"/>
        <v>0h0</v>
      </c>
      <c r="S102" s="145">
        <f t="shared" si="16"/>
        <v>0</v>
      </c>
      <c r="T102" s="136" t="str">
        <f t="shared" si="14"/>
        <v>0h0</v>
      </c>
    </row>
    <row r="103" spans="2:20" x14ac:dyDescent="0.3">
      <c r="B103" s="135">
        <f t="shared" si="17"/>
        <v>46293</v>
      </c>
      <c r="C103" s="136" t="str">
        <f t="shared" si="11"/>
        <v>Monday</v>
      </c>
      <c r="D103" s="145" t="s">
        <v>88</v>
      </c>
      <c r="E103" s="136"/>
      <c r="F103" s="136"/>
      <c r="G103" s="136">
        <f t="shared" si="18"/>
        <v>0</v>
      </c>
      <c r="H103" s="136" t="str">
        <f t="shared" si="15"/>
        <v>0h0</v>
      </c>
      <c r="I103" s="145" t="s">
        <v>88</v>
      </c>
      <c r="J103" s="136"/>
      <c r="K103" s="136"/>
      <c r="L103" s="136">
        <f t="shared" si="19"/>
        <v>0</v>
      </c>
      <c r="M103" s="136" t="str">
        <f t="shared" si="12"/>
        <v>0h0</v>
      </c>
      <c r="N103" s="145" t="s">
        <v>88</v>
      </c>
      <c r="O103" s="136"/>
      <c r="P103" s="136"/>
      <c r="Q103" s="136">
        <f t="shared" si="20"/>
        <v>0</v>
      </c>
      <c r="R103" s="136" t="str">
        <f t="shared" si="13"/>
        <v>0h0</v>
      </c>
      <c r="S103" s="145">
        <f t="shared" si="16"/>
        <v>0</v>
      </c>
      <c r="T103" s="136" t="str">
        <f t="shared" si="14"/>
        <v>0h0</v>
      </c>
    </row>
    <row r="104" spans="2:20" x14ac:dyDescent="0.3">
      <c r="B104" s="135">
        <f t="shared" si="17"/>
        <v>46294</v>
      </c>
      <c r="C104" s="136" t="str">
        <f t="shared" si="11"/>
        <v>Tuesday</v>
      </c>
      <c r="D104" s="145" t="s">
        <v>88</v>
      </c>
      <c r="E104" s="136"/>
      <c r="F104" s="136"/>
      <c r="G104" s="136">
        <f t="shared" si="18"/>
        <v>0</v>
      </c>
      <c r="H104" s="136" t="str">
        <f t="shared" si="15"/>
        <v>0h0</v>
      </c>
      <c r="I104" s="145" t="s">
        <v>88</v>
      </c>
      <c r="J104" s="136"/>
      <c r="K104" s="136"/>
      <c r="L104" s="136">
        <f t="shared" si="19"/>
        <v>0</v>
      </c>
      <c r="M104" s="136" t="str">
        <f t="shared" si="12"/>
        <v>0h0</v>
      </c>
      <c r="N104" s="145" t="s">
        <v>88</v>
      </c>
      <c r="O104" s="136"/>
      <c r="P104" s="136"/>
      <c r="Q104" s="136">
        <f t="shared" si="20"/>
        <v>0</v>
      </c>
      <c r="R104" s="136" t="str">
        <f t="shared" si="13"/>
        <v>0h0</v>
      </c>
      <c r="S104" s="145">
        <f t="shared" si="16"/>
        <v>0</v>
      </c>
      <c r="T104" s="136" t="str">
        <f t="shared" si="14"/>
        <v>0h0</v>
      </c>
    </row>
    <row r="105" spans="2:20" x14ac:dyDescent="0.3">
      <c r="B105" s="135">
        <f t="shared" si="17"/>
        <v>46295</v>
      </c>
      <c r="C105" s="136" t="str">
        <f t="shared" si="11"/>
        <v>Wednesday</v>
      </c>
      <c r="D105" s="145" t="s">
        <v>88</v>
      </c>
      <c r="E105" s="136"/>
      <c r="F105" s="136"/>
      <c r="G105" s="136">
        <f t="shared" si="18"/>
        <v>0</v>
      </c>
      <c r="H105" s="136" t="str">
        <f t="shared" si="15"/>
        <v>0h0</v>
      </c>
      <c r="I105" s="145" t="s">
        <v>88</v>
      </c>
      <c r="J105" s="136"/>
      <c r="K105" s="136"/>
      <c r="L105" s="136">
        <f t="shared" si="19"/>
        <v>0</v>
      </c>
      <c r="M105" s="136" t="str">
        <f t="shared" si="12"/>
        <v>0h0</v>
      </c>
      <c r="N105" s="145" t="s">
        <v>88</v>
      </c>
      <c r="O105" s="136"/>
      <c r="P105" s="136"/>
      <c r="Q105" s="136">
        <f t="shared" si="20"/>
        <v>0</v>
      </c>
      <c r="R105" s="136" t="str">
        <f t="shared" si="13"/>
        <v>0h0</v>
      </c>
      <c r="S105" s="145">
        <f t="shared" si="16"/>
        <v>0</v>
      </c>
      <c r="T105" s="136" t="str">
        <f t="shared" si="14"/>
        <v>0h0</v>
      </c>
    </row>
    <row r="106" spans="2:20" x14ac:dyDescent="0.3">
      <c r="B106" s="135">
        <f t="shared" si="17"/>
        <v>46296</v>
      </c>
      <c r="C106" s="136" t="str">
        <f t="shared" si="11"/>
        <v>Thursday</v>
      </c>
      <c r="D106" s="145" t="s">
        <v>88</v>
      </c>
      <c r="E106" s="136"/>
      <c r="F106" s="136"/>
      <c r="G106" s="136">
        <f t="shared" si="18"/>
        <v>0</v>
      </c>
      <c r="H106" s="136" t="str">
        <f t="shared" si="15"/>
        <v>0h0</v>
      </c>
      <c r="I106" s="145" t="s">
        <v>88</v>
      </c>
      <c r="J106" s="136"/>
      <c r="K106" s="136"/>
      <c r="L106" s="136">
        <f t="shared" si="19"/>
        <v>0</v>
      </c>
      <c r="M106" s="136" t="str">
        <f t="shared" si="12"/>
        <v>0h0</v>
      </c>
      <c r="N106" s="145" t="s">
        <v>88</v>
      </c>
      <c r="O106" s="136"/>
      <c r="P106" s="136"/>
      <c r="Q106" s="136">
        <f t="shared" si="20"/>
        <v>0</v>
      </c>
      <c r="R106" s="136" t="str">
        <f t="shared" si="13"/>
        <v>0h0</v>
      </c>
      <c r="S106" s="145">
        <f t="shared" si="16"/>
        <v>0</v>
      </c>
      <c r="T106" s="136" t="str">
        <f t="shared" si="14"/>
        <v>0h0</v>
      </c>
    </row>
    <row r="107" spans="2:20" x14ac:dyDescent="0.3">
      <c r="B107" s="135">
        <f t="shared" si="17"/>
        <v>46297</v>
      </c>
      <c r="C107" s="136" t="str">
        <f t="shared" si="11"/>
        <v>Friday</v>
      </c>
      <c r="D107" s="145" t="s">
        <v>88</v>
      </c>
      <c r="E107" s="136"/>
      <c r="F107" s="136"/>
      <c r="G107" s="136">
        <f t="shared" si="18"/>
        <v>0</v>
      </c>
      <c r="H107" s="136" t="str">
        <f t="shared" si="15"/>
        <v>0h0</v>
      </c>
      <c r="I107" s="145" t="s">
        <v>88</v>
      </c>
      <c r="J107" s="136"/>
      <c r="K107" s="136"/>
      <c r="L107" s="136">
        <f t="shared" si="19"/>
        <v>0</v>
      </c>
      <c r="M107" s="136" t="str">
        <f t="shared" si="12"/>
        <v>0h0</v>
      </c>
      <c r="N107" s="145" t="s">
        <v>88</v>
      </c>
      <c r="O107" s="136"/>
      <c r="P107" s="136"/>
      <c r="Q107" s="136">
        <f t="shared" si="20"/>
        <v>0</v>
      </c>
      <c r="R107" s="136" t="str">
        <f t="shared" si="13"/>
        <v>0h0</v>
      </c>
      <c r="S107" s="145">
        <f t="shared" si="16"/>
        <v>0</v>
      </c>
      <c r="T107" s="136" t="str">
        <f t="shared" si="14"/>
        <v>0h0</v>
      </c>
    </row>
    <row r="108" spans="2:20" x14ac:dyDescent="0.3">
      <c r="B108" s="135">
        <f t="shared" si="17"/>
        <v>46298</v>
      </c>
      <c r="C108" s="136" t="str">
        <f t="shared" si="11"/>
        <v>Saturday</v>
      </c>
      <c r="D108" s="145" t="s">
        <v>88</v>
      </c>
      <c r="E108" s="136"/>
      <c r="F108" s="136"/>
      <c r="G108" s="136">
        <f t="shared" si="18"/>
        <v>0</v>
      </c>
      <c r="H108" s="136" t="str">
        <f t="shared" si="15"/>
        <v>0h0</v>
      </c>
      <c r="I108" s="145" t="s">
        <v>88</v>
      </c>
      <c r="J108" s="136"/>
      <c r="K108" s="136"/>
      <c r="L108" s="136">
        <f t="shared" si="19"/>
        <v>0</v>
      </c>
      <c r="M108" s="136" t="str">
        <f t="shared" si="12"/>
        <v>0h0</v>
      </c>
      <c r="N108" s="145" t="s">
        <v>88</v>
      </c>
      <c r="O108" s="136"/>
      <c r="P108" s="136"/>
      <c r="Q108" s="136">
        <f t="shared" si="20"/>
        <v>0</v>
      </c>
      <c r="R108" s="136" t="str">
        <f t="shared" si="13"/>
        <v>0h0</v>
      </c>
      <c r="S108" s="145">
        <f t="shared" si="16"/>
        <v>0</v>
      </c>
      <c r="T108" s="136" t="str">
        <f t="shared" si="14"/>
        <v>0h0</v>
      </c>
    </row>
    <row r="109" spans="2:20" x14ac:dyDescent="0.3">
      <c r="B109" s="135">
        <f t="shared" si="17"/>
        <v>46299</v>
      </c>
      <c r="C109" s="136" t="str">
        <f t="shared" si="11"/>
        <v>Sunday</v>
      </c>
      <c r="D109" s="145" t="s">
        <v>88</v>
      </c>
      <c r="E109" s="136"/>
      <c r="F109" s="136"/>
      <c r="G109" s="136">
        <f t="shared" si="18"/>
        <v>0</v>
      </c>
      <c r="H109" s="136" t="str">
        <f t="shared" si="15"/>
        <v>0h0</v>
      </c>
      <c r="I109" s="145" t="s">
        <v>88</v>
      </c>
      <c r="J109" s="136"/>
      <c r="K109" s="136"/>
      <c r="L109" s="136">
        <f t="shared" si="19"/>
        <v>0</v>
      </c>
      <c r="M109" s="136" t="str">
        <f t="shared" si="12"/>
        <v>0h0</v>
      </c>
      <c r="N109" s="145" t="s">
        <v>88</v>
      </c>
      <c r="O109" s="136"/>
      <c r="P109" s="136"/>
      <c r="Q109" s="136">
        <f t="shared" si="20"/>
        <v>0</v>
      </c>
      <c r="R109" s="136" t="str">
        <f t="shared" si="13"/>
        <v>0h0</v>
      </c>
      <c r="S109" s="145">
        <f t="shared" si="16"/>
        <v>0</v>
      </c>
      <c r="T109" s="136" t="str">
        <f t="shared" si="14"/>
        <v>0h0</v>
      </c>
    </row>
    <row r="110" spans="2:20" x14ac:dyDescent="0.3">
      <c r="B110" s="135">
        <f t="shared" si="17"/>
        <v>46300</v>
      </c>
      <c r="C110" s="136" t="str">
        <f t="shared" si="11"/>
        <v>Monday</v>
      </c>
      <c r="D110" s="145" t="s">
        <v>88</v>
      </c>
      <c r="E110" s="136"/>
      <c r="F110" s="136"/>
      <c r="G110" s="136">
        <f t="shared" si="18"/>
        <v>0</v>
      </c>
      <c r="H110" s="136" t="str">
        <f t="shared" si="15"/>
        <v>0h0</v>
      </c>
      <c r="I110" s="145" t="s">
        <v>88</v>
      </c>
      <c r="J110" s="136"/>
      <c r="K110" s="136"/>
      <c r="L110" s="136">
        <f t="shared" si="19"/>
        <v>0</v>
      </c>
      <c r="M110" s="136" t="str">
        <f t="shared" si="12"/>
        <v>0h0</v>
      </c>
      <c r="N110" s="145" t="s">
        <v>88</v>
      </c>
      <c r="O110" s="136"/>
      <c r="P110" s="136"/>
      <c r="Q110" s="136">
        <f t="shared" si="20"/>
        <v>0</v>
      </c>
      <c r="R110" s="136" t="str">
        <f t="shared" si="13"/>
        <v>0h0</v>
      </c>
      <c r="S110" s="145">
        <f t="shared" si="16"/>
        <v>0</v>
      </c>
      <c r="T110" s="136" t="str">
        <f t="shared" si="14"/>
        <v>0h0</v>
      </c>
    </row>
    <row r="111" spans="2:20" x14ac:dyDescent="0.3">
      <c r="B111" s="135">
        <f t="shared" si="17"/>
        <v>46301</v>
      </c>
      <c r="C111" s="136" t="str">
        <f t="shared" si="11"/>
        <v>Tuesday</v>
      </c>
      <c r="D111" s="145" t="s">
        <v>88</v>
      </c>
      <c r="E111" s="136"/>
      <c r="F111" s="136"/>
      <c r="G111" s="136">
        <f t="shared" si="18"/>
        <v>0</v>
      </c>
      <c r="H111" s="136" t="str">
        <f t="shared" si="15"/>
        <v>0h0</v>
      </c>
      <c r="I111" s="145" t="s">
        <v>88</v>
      </c>
      <c r="J111" s="136"/>
      <c r="K111" s="136"/>
      <c r="L111" s="136">
        <f t="shared" si="19"/>
        <v>0</v>
      </c>
      <c r="M111" s="136" t="str">
        <f t="shared" si="12"/>
        <v>0h0</v>
      </c>
      <c r="N111" s="145" t="s">
        <v>88</v>
      </c>
      <c r="O111" s="136"/>
      <c r="P111" s="136"/>
      <c r="Q111" s="136">
        <f t="shared" si="20"/>
        <v>0</v>
      </c>
      <c r="R111" s="136" t="str">
        <f t="shared" si="13"/>
        <v>0h0</v>
      </c>
      <c r="S111" s="145">
        <f t="shared" si="16"/>
        <v>0</v>
      </c>
      <c r="T111" s="136" t="str">
        <f t="shared" si="14"/>
        <v>0h0</v>
      </c>
    </row>
    <row r="112" spans="2:20" x14ac:dyDescent="0.3">
      <c r="B112" s="135">
        <f t="shared" si="17"/>
        <v>46302</v>
      </c>
      <c r="C112" s="136" t="str">
        <f t="shared" si="11"/>
        <v>Wednesday</v>
      </c>
      <c r="D112" s="145" t="s">
        <v>88</v>
      </c>
      <c r="E112" s="136"/>
      <c r="F112" s="136"/>
      <c r="G112" s="136">
        <f t="shared" si="18"/>
        <v>0</v>
      </c>
      <c r="H112" s="136" t="str">
        <f t="shared" si="15"/>
        <v>0h0</v>
      </c>
      <c r="I112" s="145" t="s">
        <v>88</v>
      </c>
      <c r="J112" s="136"/>
      <c r="K112" s="136"/>
      <c r="L112" s="136">
        <f t="shared" si="19"/>
        <v>0</v>
      </c>
      <c r="M112" s="136" t="str">
        <f t="shared" si="12"/>
        <v>0h0</v>
      </c>
      <c r="N112" s="145" t="s">
        <v>88</v>
      </c>
      <c r="O112" s="136"/>
      <c r="P112" s="136"/>
      <c r="Q112" s="136">
        <f t="shared" si="20"/>
        <v>0</v>
      </c>
      <c r="R112" s="136" t="str">
        <f t="shared" si="13"/>
        <v>0h0</v>
      </c>
      <c r="S112" s="145">
        <f t="shared" si="16"/>
        <v>0</v>
      </c>
      <c r="T112" s="136" t="str">
        <f t="shared" si="14"/>
        <v>0h0</v>
      </c>
    </row>
    <row r="113" spans="2:20" x14ac:dyDescent="0.3">
      <c r="B113" s="135">
        <f t="shared" si="17"/>
        <v>46303</v>
      </c>
      <c r="C113" s="136" t="str">
        <f t="shared" si="11"/>
        <v>Thursday</v>
      </c>
      <c r="D113" s="145" t="s">
        <v>88</v>
      </c>
      <c r="E113" s="136"/>
      <c r="F113" s="136"/>
      <c r="G113" s="136">
        <f t="shared" si="18"/>
        <v>0</v>
      </c>
      <c r="H113" s="136" t="str">
        <f t="shared" si="15"/>
        <v>0h0</v>
      </c>
      <c r="I113" s="145" t="s">
        <v>88</v>
      </c>
      <c r="J113" s="136"/>
      <c r="K113" s="136"/>
      <c r="L113" s="136">
        <f t="shared" si="19"/>
        <v>0</v>
      </c>
      <c r="M113" s="136" t="str">
        <f t="shared" si="12"/>
        <v>0h0</v>
      </c>
      <c r="N113" s="145" t="s">
        <v>88</v>
      </c>
      <c r="O113" s="136"/>
      <c r="P113" s="136"/>
      <c r="Q113" s="136">
        <f t="shared" si="20"/>
        <v>0</v>
      </c>
      <c r="R113" s="136" t="str">
        <f t="shared" si="13"/>
        <v>0h0</v>
      </c>
      <c r="S113" s="145">
        <f t="shared" si="16"/>
        <v>0</v>
      </c>
      <c r="T113" s="136" t="str">
        <f t="shared" si="14"/>
        <v>0h0</v>
      </c>
    </row>
    <row r="114" spans="2:20" x14ac:dyDescent="0.3">
      <c r="B114" s="135">
        <f t="shared" si="17"/>
        <v>46304</v>
      </c>
      <c r="C114" s="136" t="str">
        <f t="shared" si="11"/>
        <v>Friday</v>
      </c>
      <c r="D114" s="145" t="s">
        <v>88</v>
      </c>
      <c r="E114" s="136"/>
      <c r="F114" s="136"/>
      <c r="G114" s="136">
        <f t="shared" si="18"/>
        <v>0</v>
      </c>
      <c r="H114" s="136" t="str">
        <f t="shared" si="15"/>
        <v>0h0</v>
      </c>
      <c r="I114" s="145" t="s">
        <v>88</v>
      </c>
      <c r="J114" s="136"/>
      <c r="K114" s="136"/>
      <c r="L114" s="136">
        <f t="shared" si="19"/>
        <v>0</v>
      </c>
      <c r="M114" s="136" t="str">
        <f t="shared" si="12"/>
        <v>0h0</v>
      </c>
      <c r="N114" s="145" t="s">
        <v>88</v>
      </c>
      <c r="O114" s="136"/>
      <c r="P114" s="136"/>
      <c r="Q114" s="136">
        <f t="shared" si="20"/>
        <v>0</v>
      </c>
      <c r="R114" s="136" t="str">
        <f t="shared" si="13"/>
        <v>0h0</v>
      </c>
      <c r="S114" s="145">
        <f t="shared" si="16"/>
        <v>0</v>
      </c>
      <c r="T114" s="136" t="str">
        <f t="shared" si="14"/>
        <v>0h0</v>
      </c>
    </row>
    <row r="115" spans="2:20" x14ac:dyDescent="0.3">
      <c r="B115" s="135">
        <f t="shared" si="17"/>
        <v>46305</v>
      </c>
      <c r="C115" s="136" t="str">
        <f t="shared" si="11"/>
        <v>Saturday</v>
      </c>
      <c r="D115" s="145" t="s">
        <v>88</v>
      </c>
      <c r="E115" s="136"/>
      <c r="F115" s="136"/>
      <c r="G115" s="136">
        <f t="shared" si="18"/>
        <v>0</v>
      </c>
      <c r="H115" s="136" t="str">
        <f t="shared" si="15"/>
        <v>0h0</v>
      </c>
      <c r="I115" s="145" t="s">
        <v>88</v>
      </c>
      <c r="J115" s="136"/>
      <c r="K115" s="136"/>
      <c r="L115" s="136">
        <f t="shared" si="19"/>
        <v>0</v>
      </c>
      <c r="M115" s="136" t="str">
        <f t="shared" si="12"/>
        <v>0h0</v>
      </c>
      <c r="N115" s="145" t="s">
        <v>88</v>
      </c>
      <c r="O115" s="136"/>
      <c r="P115" s="136"/>
      <c r="Q115" s="136">
        <f t="shared" si="20"/>
        <v>0</v>
      </c>
      <c r="R115" s="136" t="str">
        <f t="shared" si="13"/>
        <v>0h0</v>
      </c>
      <c r="S115" s="145">
        <f t="shared" si="16"/>
        <v>0</v>
      </c>
      <c r="T115" s="136" t="str">
        <f t="shared" si="14"/>
        <v>0h0</v>
      </c>
    </row>
    <row r="116" spans="2:20" x14ac:dyDescent="0.3">
      <c r="B116" s="135">
        <f t="shared" si="17"/>
        <v>46306</v>
      </c>
      <c r="C116" s="136" t="str">
        <f t="shared" si="11"/>
        <v>Sunday</v>
      </c>
      <c r="D116" s="145" t="s">
        <v>88</v>
      </c>
      <c r="E116" s="136"/>
      <c r="F116" s="136"/>
      <c r="G116" s="136">
        <f t="shared" si="18"/>
        <v>0</v>
      </c>
      <c r="H116" s="136" t="str">
        <f t="shared" si="15"/>
        <v>0h0</v>
      </c>
      <c r="I116" s="145" t="s">
        <v>88</v>
      </c>
      <c r="J116" s="136"/>
      <c r="K116" s="136"/>
      <c r="L116" s="136">
        <f t="shared" si="19"/>
        <v>0</v>
      </c>
      <c r="M116" s="136" t="str">
        <f t="shared" si="12"/>
        <v>0h0</v>
      </c>
      <c r="N116" s="145" t="s">
        <v>88</v>
      </c>
      <c r="O116" s="136"/>
      <c r="P116" s="136"/>
      <c r="Q116" s="136">
        <f t="shared" si="20"/>
        <v>0</v>
      </c>
      <c r="R116" s="136" t="str">
        <f t="shared" si="13"/>
        <v>0h0</v>
      </c>
      <c r="S116" s="145">
        <f t="shared" si="16"/>
        <v>0</v>
      </c>
      <c r="T116" s="136" t="str">
        <f t="shared" si="14"/>
        <v>0h0</v>
      </c>
    </row>
    <row r="117" spans="2:20" x14ac:dyDescent="0.3">
      <c r="B117" s="135">
        <f t="shared" si="17"/>
        <v>46307</v>
      </c>
      <c r="C117" s="136" t="str">
        <f t="shared" si="11"/>
        <v>Monday</v>
      </c>
      <c r="D117" s="145" t="s">
        <v>88</v>
      </c>
      <c r="E117" s="136"/>
      <c r="F117" s="136"/>
      <c r="G117" s="136">
        <f t="shared" si="18"/>
        <v>0</v>
      </c>
      <c r="H117" s="136" t="str">
        <f t="shared" si="15"/>
        <v>0h0</v>
      </c>
      <c r="I117" s="145" t="s">
        <v>88</v>
      </c>
      <c r="J117" s="136"/>
      <c r="K117" s="136"/>
      <c r="L117" s="136">
        <f t="shared" si="19"/>
        <v>0</v>
      </c>
      <c r="M117" s="136" t="str">
        <f t="shared" si="12"/>
        <v>0h0</v>
      </c>
      <c r="N117" s="145" t="s">
        <v>88</v>
      </c>
      <c r="O117" s="136"/>
      <c r="P117" s="136"/>
      <c r="Q117" s="136">
        <f t="shared" si="20"/>
        <v>0</v>
      </c>
      <c r="R117" s="136" t="str">
        <f t="shared" si="13"/>
        <v>0h0</v>
      </c>
      <c r="S117" s="145">
        <f t="shared" si="16"/>
        <v>0</v>
      </c>
      <c r="T117" s="136" t="str">
        <f t="shared" si="14"/>
        <v>0h0</v>
      </c>
    </row>
    <row r="118" spans="2:20" x14ac:dyDescent="0.3">
      <c r="B118" s="135">
        <f t="shared" si="17"/>
        <v>46308</v>
      </c>
      <c r="C118" s="136" t="str">
        <f t="shared" si="11"/>
        <v>Tuesday</v>
      </c>
      <c r="D118" s="145" t="s">
        <v>88</v>
      </c>
      <c r="E118" s="136"/>
      <c r="F118" s="136"/>
      <c r="G118" s="136">
        <f t="shared" si="18"/>
        <v>0</v>
      </c>
      <c r="H118" s="136" t="str">
        <f t="shared" si="15"/>
        <v>0h0</v>
      </c>
      <c r="I118" s="145" t="s">
        <v>88</v>
      </c>
      <c r="J118" s="136"/>
      <c r="K118" s="136"/>
      <c r="L118" s="136">
        <f t="shared" si="19"/>
        <v>0</v>
      </c>
      <c r="M118" s="136" t="str">
        <f t="shared" si="12"/>
        <v>0h0</v>
      </c>
      <c r="N118" s="145" t="s">
        <v>88</v>
      </c>
      <c r="O118" s="136"/>
      <c r="P118" s="136"/>
      <c r="Q118" s="136">
        <f t="shared" si="20"/>
        <v>0</v>
      </c>
      <c r="R118" s="136" t="str">
        <f t="shared" si="13"/>
        <v>0h0</v>
      </c>
      <c r="S118" s="145">
        <f t="shared" si="16"/>
        <v>0</v>
      </c>
      <c r="T118" s="136" t="str">
        <f t="shared" si="14"/>
        <v>0h0</v>
      </c>
    </row>
    <row r="119" spans="2:20" x14ac:dyDescent="0.3">
      <c r="B119" s="135">
        <f t="shared" si="17"/>
        <v>46309</v>
      </c>
      <c r="C119" s="136" t="str">
        <f t="shared" si="11"/>
        <v>Wednesday</v>
      </c>
      <c r="D119" s="145" t="s">
        <v>88</v>
      </c>
      <c r="E119" s="136"/>
      <c r="F119" s="136"/>
      <c r="G119" s="136">
        <f t="shared" si="18"/>
        <v>0</v>
      </c>
      <c r="H119" s="136" t="str">
        <f t="shared" si="15"/>
        <v>0h0</v>
      </c>
      <c r="I119" s="145" t="s">
        <v>88</v>
      </c>
      <c r="J119" s="136"/>
      <c r="K119" s="136"/>
      <c r="L119" s="136">
        <f t="shared" si="19"/>
        <v>0</v>
      </c>
      <c r="M119" s="136" t="str">
        <f t="shared" si="12"/>
        <v>0h0</v>
      </c>
      <c r="N119" s="145" t="s">
        <v>88</v>
      </c>
      <c r="O119" s="136"/>
      <c r="P119" s="136"/>
      <c r="Q119" s="136">
        <f t="shared" si="20"/>
        <v>0</v>
      </c>
      <c r="R119" s="136" t="str">
        <f t="shared" si="13"/>
        <v>0h0</v>
      </c>
      <c r="S119" s="145">
        <f t="shared" si="16"/>
        <v>0</v>
      </c>
      <c r="T119" s="136" t="str">
        <f t="shared" si="14"/>
        <v>0h0</v>
      </c>
    </row>
    <row r="120" spans="2:20" x14ac:dyDescent="0.3">
      <c r="B120" s="135">
        <f t="shared" si="17"/>
        <v>46310</v>
      </c>
      <c r="C120" s="136" t="str">
        <f t="shared" si="11"/>
        <v>Thursday</v>
      </c>
      <c r="D120" s="145" t="s">
        <v>88</v>
      </c>
      <c r="E120" s="136"/>
      <c r="F120" s="136"/>
      <c r="G120" s="136">
        <f t="shared" si="18"/>
        <v>0</v>
      </c>
      <c r="H120" s="136" t="str">
        <f t="shared" si="15"/>
        <v>0h0</v>
      </c>
      <c r="I120" s="145" t="s">
        <v>88</v>
      </c>
      <c r="J120" s="136"/>
      <c r="K120" s="136"/>
      <c r="L120" s="136">
        <f t="shared" si="19"/>
        <v>0</v>
      </c>
      <c r="M120" s="136" t="str">
        <f t="shared" si="12"/>
        <v>0h0</v>
      </c>
      <c r="N120" s="145" t="s">
        <v>88</v>
      </c>
      <c r="O120" s="136"/>
      <c r="P120" s="136"/>
      <c r="Q120" s="136">
        <f t="shared" si="20"/>
        <v>0</v>
      </c>
      <c r="R120" s="136" t="str">
        <f t="shared" si="13"/>
        <v>0h0</v>
      </c>
      <c r="S120" s="145">
        <f t="shared" si="16"/>
        <v>0</v>
      </c>
      <c r="T120" s="136" t="str">
        <f t="shared" si="14"/>
        <v>0h0</v>
      </c>
    </row>
    <row r="121" spans="2:20" x14ac:dyDescent="0.3">
      <c r="B121" s="135">
        <f t="shared" si="17"/>
        <v>46311</v>
      </c>
      <c r="C121" s="136" t="str">
        <f t="shared" si="11"/>
        <v>Friday</v>
      </c>
      <c r="D121" s="145" t="s">
        <v>88</v>
      </c>
      <c r="E121" s="136"/>
      <c r="F121" s="136"/>
      <c r="G121" s="136">
        <f t="shared" si="18"/>
        <v>0</v>
      </c>
      <c r="H121" s="136" t="str">
        <f t="shared" si="15"/>
        <v>0h0</v>
      </c>
      <c r="I121" s="145" t="s">
        <v>88</v>
      </c>
      <c r="J121" s="136"/>
      <c r="K121" s="136"/>
      <c r="L121" s="136">
        <f t="shared" si="19"/>
        <v>0</v>
      </c>
      <c r="M121" s="136" t="str">
        <f t="shared" si="12"/>
        <v>0h0</v>
      </c>
      <c r="N121" s="145" t="s">
        <v>88</v>
      </c>
      <c r="O121" s="136"/>
      <c r="P121" s="136"/>
      <c r="Q121" s="136">
        <f t="shared" si="20"/>
        <v>0</v>
      </c>
      <c r="R121" s="136" t="str">
        <f t="shared" si="13"/>
        <v>0h0</v>
      </c>
      <c r="S121" s="145">
        <f t="shared" si="16"/>
        <v>0</v>
      </c>
      <c r="T121" s="136" t="str">
        <f t="shared" si="14"/>
        <v>0h0</v>
      </c>
    </row>
    <row r="122" spans="2:20" x14ac:dyDescent="0.3">
      <c r="B122" s="135">
        <f t="shared" si="17"/>
        <v>46312</v>
      </c>
      <c r="C122" s="136" t="str">
        <f t="shared" si="11"/>
        <v>Saturday</v>
      </c>
      <c r="D122" s="145" t="s">
        <v>88</v>
      </c>
      <c r="E122" s="136"/>
      <c r="F122" s="136"/>
      <c r="G122" s="136">
        <f t="shared" si="18"/>
        <v>0</v>
      </c>
      <c r="H122" s="136" t="str">
        <f t="shared" si="15"/>
        <v>0h0</v>
      </c>
      <c r="I122" s="145" t="s">
        <v>88</v>
      </c>
      <c r="J122" s="136"/>
      <c r="K122" s="136"/>
      <c r="L122" s="136">
        <f t="shared" si="19"/>
        <v>0</v>
      </c>
      <c r="M122" s="136" t="str">
        <f t="shared" si="12"/>
        <v>0h0</v>
      </c>
      <c r="N122" s="145" t="s">
        <v>88</v>
      </c>
      <c r="O122" s="136"/>
      <c r="P122" s="136"/>
      <c r="Q122" s="136">
        <f t="shared" si="20"/>
        <v>0</v>
      </c>
      <c r="R122" s="136" t="str">
        <f t="shared" si="13"/>
        <v>0h0</v>
      </c>
      <c r="S122" s="145">
        <f t="shared" si="16"/>
        <v>0</v>
      </c>
      <c r="T122" s="136" t="str">
        <f t="shared" si="14"/>
        <v>0h0</v>
      </c>
    </row>
    <row r="123" spans="2:20" x14ac:dyDescent="0.3">
      <c r="B123" s="135">
        <f t="shared" si="17"/>
        <v>46313</v>
      </c>
      <c r="C123" s="136" t="str">
        <f t="shared" si="11"/>
        <v>Sunday</v>
      </c>
      <c r="D123" s="145" t="s">
        <v>88</v>
      </c>
      <c r="E123" s="136"/>
      <c r="F123" s="136"/>
      <c r="G123" s="136">
        <f t="shared" si="18"/>
        <v>0</v>
      </c>
      <c r="H123" s="136" t="str">
        <f t="shared" si="15"/>
        <v>0h0</v>
      </c>
      <c r="I123" s="145" t="s">
        <v>88</v>
      </c>
      <c r="J123" s="136"/>
      <c r="K123" s="136"/>
      <c r="L123" s="136">
        <f t="shared" si="19"/>
        <v>0</v>
      </c>
      <c r="M123" s="136" t="str">
        <f t="shared" si="12"/>
        <v>0h0</v>
      </c>
      <c r="N123" s="145" t="s">
        <v>88</v>
      </c>
      <c r="O123" s="136"/>
      <c r="P123" s="136"/>
      <c r="Q123" s="136">
        <f t="shared" si="20"/>
        <v>0</v>
      </c>
      <c r="R123" s="136" t="str">
        <f t="shared" si="13"/>
        <v>0h0</v>
      </c>
      <c r="S123" s="145">
        <f t="shared" si="16"/>
        <v>0</v>
      </c>
      <c r="T123" s="136" t="str">
        <f t="shared" si="14"/>
        <v>0h0</v>
      </c>
    </row>
    <row r="124" spans="2:20" x14ac:dyDescent="0.3">
      <c r="B124" s="135">
        <f t="shared" si="17"/>
        <v>46314</v>
      </c>
      <c r="C124" s="136" t="str">
        <f t="shared" si="11"/>
        <v>Monday</v>
      </c>
      <c r="D124" s="145" t="s">
        <v>88</v>
      </c>
      <c r="E124" s="136"/>
      <c r="F124" s="136"/>
      <c r="G124" s="136">
        <f t="shared" si="18"/>
        <v>0</v>
      </c>
      <c r="H124" s="136" t="str">
        <f t="shared" si="15"/>
        <v>0h0</v>
      </c>
      <c r="I124" s="145" t="s">
        <v>88</v>
      </c>
      <c r="J124" s="136"/>
      <c r="K124" s="136"/>
      <c r="L124" s="136">
        <f t="shared" si="19"/>
        <v>0</v>
      </c>
      <c r="M124" s="136" t="str">
        <f t="shared" si="12"/>
        <v>0h0</v>
      </c>
      <c r="N124" s="145" t="s">
        <v>88</v>
      </c>
      <c r="O124" s="136"/>
      <c r="P124" s="136"/>
      <c r="Q124" s="136">
        <f t="shared" si="20"/>
        <v>0</v>
      </c>
      <c r="R124" s="136" t="str">
        <f t="shared" si="13"/>
        <v>0h0</v>
      </c>
      <c r="S124" s="145">
        <f t="shared" si="16"/>
        <v>0</v>
      </c>
      <c r="T124" s="136" t="str">
        <f t="shared" si="14"/>
        <v>0h0</v>
      </c>
    </row>
    <row r="125" spans="2:20" x14ac:dyDescent="0.3">
      <c r="B125" s="135">
        <f t="shared" si="17"/>
        <v>46315</v>
      </c>
      <c r="C125" s="136" t="str">
        <f t="shared" si="11"/>
        <v>Tuesday</v>
      </c>
      <c r="D125" s="145" t="s">
        <v>88</v>
      </c>
      <c r="E125" s="136"/>
      <c r="F125" s="136"/>
      <c r="G125" s="136">
        <f t="shared" si="18"/>
        <v>0</v>
      </c>
      <c r="H125" s="136" t="str">
        <f t="shared" si="15"/>
        <v>0h0</v>
      </c>
      <c r="I125" s="145" t="s">
        <v>88</v>
      </c>
      <c r="J125" s="136"/>
      <c r="K125" s="136"/>
      <c r="L125" s="136">
        <f t="shared" si="19"/>
        <v>0</v>
      </c>
      <c r="M125" s="136" t="str">
        <f t="shared" si="12"/>
        <v>0h0</v>
      </c>
      <c r="N125" s="145" t="s">
        <v>88</v>
      </c>
      <c r="O125" s="136"/>
      <c r="P125" s="136"/>
      <c r="Q125" s="136">
        <f t="shared" si="20"/>
        <v>0</v>
      </c>
      <c r="R125" s="136" t="str">
        <f t="shared" si="13"/>
        <v>0h0</v>
      </c>
      <c r="S125" s="145">
        <f t="shared" si="16"/>
        <v>0</v>
      </c>
      <c r="T125" s="136" t="str">
        <f t="shared" si="14"/>
        <v>0h0</v>
      </c>
    </row>
    <row r="126" spans="2:20" x14ac:dyDescent="0.3">
      <c r="B126" s="135">
        <f t="shared" si="17"/>
        <v>46316</v>
      </c>
      <c r="C126" s="136" t="str">
        <f t="shared" si="11"/>
        <v>Wednesday</v>
      </c>
      <c r="D126" s="145" t="s">
        <v>88</v>
      </c>
      <c r="E126" s="136"/>
      <c r="F126" s="136"/>
      <c r="G126" s="136">
        <f t="shared" si="18"/>
        <v>0</v>
      </c>
      <c r="H126" s="136" t="str">
        <f t="shared" si="15"/>
        <v>0h0</v>
      </c>
      <c r="I126" s="145" t="s">
        <v>88</v>
      </c>
      <c r="J126" s="136"/>
      <c r="K126" s="136"/>
      <c r="L126" s="136">
        <f t="shared" si="19"/>
        <v>0</v>
      </c>
      <c r="M126" s="136" t="str">
        <f t="shared" si="12"/>
        <v>0h0</v>
      </c>
      <c r="N126" s="145" t="s">
        <v>88</v>
      </c>
      <c r="O126" s="136"/>
      <c r="P126" s="136"/>
      <c r="Q126" s="136">
        <f t="shared" si="20"/>
        <v>0</v>
      </c>
      <c r="R126" s="136" t="str">
        <f t="shared" si="13"/>
        <v>0h0</v>
      </c>
      <c r="S126" s="145">
        <f t="shared" si="16"/>
        <v>0</v>
      </c>
      <c r="T126" s="136" t="str">
        <f t="shared" si="14"/>
        <v>0h0</v>
      </c>
    </row>
    <row r="127" spans="2:20" x14ac:dyDescent="0.3">
      <c r="B127" s="135">
        <f t="shared" si="17"/>
        <v>46317</v>
      </c>
      <c r="C127" s="136" t="str">
        <f t="shared" si="11"/>
        <v>Thursday</v>
      </c>
      <c r="D127" s="145" t="s">
        <v>88</v>
      </c>
      <c r="E127" s="136"/>
      <c r="F127" s="136"/>
      <c r="G127" s="136">
        <f t="shared" si="18"/>
        <v>0</v>
      </c>
      <c r="H127" s="136" t="str">
        <f t="shared" si="15"/>
        <v>0h0</v>
      </c>
      <c r="I127" s="145" t="s">
        <v>88</v>
      </c>
      <c r="J127" s="136"/>
      <c r="K127" s="136"/>
      <c r="L127" s="136">
        <f t="shared" si="19"/>
        <v>0</v>
      </c>
      <c r="M127" s="136" t="str">
        <f t="shared" si="12"/>
        <v>0h0</v>
      </c>
      <c r="N127" s="145" t="s">
        <v>88</v>
      </c>
      <c r="O127" s="136"/>
      <c r="P127" s="136"/>
      <c r="Q127" s="136">
        <f t="shared" si="20"/>
        <v>0</v>
      </c>
      <c r="R127" s="136" t="str">
        <f t="shared" si="13"/>
        <v>0h0</v>
      </c>
      <c r="S127" s="145">
        <f t="shared" si="16"/>
        <v>0</v>
      </c>
      <c r="T127" s="136" t="str">
        <f t="shared" si="14"/>
        <v>0h0</v>
      </c>
    </row>
    <row r="128" spans="2:20" x14ac:dyDescent="0.3">
      <c r="B128" s="135">
        <f t="shared" si="17"/>
        <v>46318</v>
      </c>
      <c r="C128" s="136" t="str">
        <f t="shared" si="11"/>
        <v>Friday</v>
      </c>
      <c r="D128" s="145" t="s">
        <v>88</v>
      </c>
      <c r="E128" s="136"/>
      <c r="F128" s="136"/>
      <c r="G128" s="136">
        <f t="shared" si="18"/>
        <v>0</v>
      </c>
      <c r="H128" s="136" t="str">
        <f t="shared" si="15"/>
        <v>0h0</v>
      </c>
      <c r="I128" s="145" t="s">
        <v>88</v>
      </c>
      <c r="J128" s="136"/>
      <c r="K128" s="136"/>
      <c r="L128" s="136">
        <f t="shared" si="19"/>
        <v>0</v>
      </c>
      <c r="M128" s="136" t="str">
        <f t="shared" si="12"/>
        <v>0h0</v>
      </c>
      <c r="N128" s="145" t="s">
        <v>88</v>
      </c>
      <c r="O128" s="136"/>
      <c r="P128" s="136"/>
      <c r="Q128" s="136">
        <f t="shared" si="20"/>
        <v>0</v>
      </c>
      <c r="R128" s="136" t="str">
        <f t="shared" si="13"/>
        <v>0h0</v>
      </c>
      <c r="S128" s="145">
        <f t="shared" si="16"/>
        <v>0</v>
      </c>
      <c r="T128" s="136" t="str">
        <f t="shared" si="14"/>
        <v>0h0</v>
      </c>
    </row>
    <row r="129" spans="2:20" x14ac:dyDescent="0.3">
      <c r="B129" s="135">
        <f t="shared" si="17"/>
        <v>46319</v>
      </c>
      <c r="C129" s="136" t="str">
        <f t="shared" si="11"/>
        <v>Saturday</v>
      </c>
      <c r="D129" s="145" t="s">
        <v>88</v>
      </c>
      <c r="E129" s="136"/>
      <c r="F129" s="136"/>
      <c r="G129" s="136">
        <f t="shared" si="18"/>
        <v>0</v>
      </c>
      <c r="H129" s="136" t="str">
        <f t="shared" si="15"/>
        <v>0h0</v>
      </c>
      <c r="I129" s="145" t="s">
        <v>88</v>
      </c>
      <c r="J129" s="136"/>
      <c r="K129" s="136"/>
      <c r="L129" s="136">
        <f t="shared" si="19"/>
        <v>0</v>
      </c>
      <c r="M129" s="136" t="str">
        <f t="shared" si="12"/>
        <v>0h0</v>
      </c>
      <c r="N129" s="145" t="s">
        <v>88</v>
      </c>
      <c r="O129" s="136"/>
      <c r="P129" s="136"/>
      <c r="Q129" s="136">
        <f t="shared" si="20"/>
        <v>0</v>
      </c>
      <c r="R129" s="136" t="str">
        <f t="shared" si="13"/>
        <v>0h0</v>
      </c>
      <c r="S129" s="145">
        <f t="shared" si="16"/>
        <v>0</v>
      </c>
      <c r="T129" s="136" t="str">
        <f t="shared" si="14"/>
        <v>0h0</v>
      </c>
    </row>
    <row r="130" spans="2:20" x14ac:dyDescent="0.3">
      <c r="B130" s="135">
        <f t="shared" si="17"/>
        <v>46320</v>
      </c>
      <c r="C130" s="136" t="str">
        <f t="shared" si="11"/>
        <v>Sunday</v>
      </c>
      <c r="D130" s="145" t="s">
        <v>88</v>
      </c>
      <c r="E130" s="136"/>
      <c r="F130" s="136"/>
      <c r="G130" s="136">
        <f t="shared" si="18"/>
        <v>0</v>
      </c>
      <c r="H130" s="136" t="str">
        <f t="shared" si="15"/>
        <v>0h0</v>
      </c>
      <c r="I130" s="145" t="s">
        <v>88</v>
      </c>
      <c r="J130" s="136"/>
      <c r="K130" s="136"/>
      <c r="L130" s="136">
        <f t="shared" si="19"/>
        <v>0</v>
      </c>
      <c r="M130" s="136" t="str">
        <f t="shared" si="12"/>
        <v>0h0</v>
      </c>
      <c r="N130" s="145" t="s">
        <v>88</v>
      </c>
      <c r="O130" s="136"/>
      <c r="P130" s="136"/>
      <c r="Q130" s="136">
        <f t="shared" si="20"/>
        <v>0</v>
      </c>
      <c r="R130" s="136" t="str">
        <f t="shared" si="13"/>
        <v>0h0</v>
      </c>
      <c r="S130" s="145">
        <f t="shared" si="16"/>
        <v>0</v>
      </c>
      <c r="T130" s="136" t="str">
        <f t="shared" si="14"/>
        <v>0h0</v>
      </c>
    </row>
    <row r="131" spans="2:20" x14ac:dyDescent="0.3">
      <c r="B131" s="135">
        <f t="shared" si="17"/>
        <v>46321</v>
      </c>
      <c r="C131" s="136" t="str">
        <f t="shared" si="11"/>
        <v>Monday</v>
      </c>
      <c r="D131" s="145" t="s">
        <v>88</v>
      </c>
      <c r="E131" s="136"/>
      <c r="F131" s="136"/>
      <c r="G131" s="136">
        <f t="shared" si="18"/>
        <v>0</v>
      </c>
      <c r="H131" s="136" t="str">
        <f t="shared" si="15"/>
        <v>0h0</v>
      </c>
      <c r="I131" s="145" t="s">
        <v>88</v>
      </c>
      <c r="J131" s="136"/>
      <c r="K131" s="136"/>
      <c r="L131" s="136">
        <f t="shared" si="19"/>
        <v>0</v>
      </c>
      <c r="M131" s="136" t="str">
        <f t="shared" si="12"/>
        <v>0h0</v>
      </c>
      <c r="N131" s="145" t="s">
        <v>88</v>
      </c>
      <c r="O131" s="136"/>
      <c r="P131" s="136"/>
      <c r="Q131" s="136">
        <f t="shared" si="20"/>
        <v>0</v>
      </c>
      <c r="R131" s="136" t="str">
        <f t="shared" si="13"/>
        <v>0h0</v>
      </c>
      <c r="S131" s="145">
        <f t="shared" si="16"/>
        <v>0</v>
      </c>
      <c r="T131" s="136" t="str">
        <f t="shared" si="14"/>
        <v>0h0</v>
      </c>
    </row>
    <row r="132" spans="2:20" x14ac:dyDescent="0.3">
      <c r="B132" s="135">
        <f t="shared" si="17"/>
        <v>46322</v>
      </c>
      <c r="C132" s="136" t="str">
        <f t="shared" si="11"/>
        <v>Tuesday</v>
      </c>
      <c r="D132" s="145" t="s">
        <v>88</v>
      </c>
      <c r="E132" s="136"/>
      <c r="F132" s="136"/>
      <c r="G132" s="136">
        <f t="shared" si="18"/>
        <v>0</v>
      </c>
      <c r="H132" s="136" t="str">
        <f t="shared" si="15"/>
        <v>0h0</v>
      </c>
      <c r="I132" s="145" t="s">
        <v>88</v>
      </c>
      <c r="J132" s="136"/>
      <c r="K132" s="136"/>
      <c r="L132" s="136">
        <f t="shared" si="19"/>
        <v>0</v>
      </c>
      <c r="M132" s="136" t="str">
        <f t="shared" si="12"/>
        <v>0h0</v>
      </c>
      <c r="N132" s="145" t="s">
        <v>88</v>
      </c>
      <c r="O132" s="136"/>
      <c r="P132" s="136"/>
      <c r="Q132" s="136">
        <f t="shared" si="20"/>
        <v>0</v>
      </c>
      <c r="R132" s="136" t="str">
        <f t="shared" si="13"/>
        <v>0h0</v>
      </c>
      <c r="S132" s="145">
        <f t="shared" si="16"/>
        <v>0</v>
      </c>
      <c r="T132" s="136" t="str">
        <f t="shared" si="14"/>
        <v>0h0</v>
      </c>
    </row>
    <row r="133" spans="2:20" x14ac:dyDescent="0.3">
      <c r="B133" s="135">
        <f t="shared" si="17"/>
        <v>46323</v>
      </c>
      <c r="C133" s="136" t="str">
        <f t="shared" si="11"/>
        <v>Wednesday</v>
      </c>
      <c r="D133" s="145" t="s">
        <v>88</v>
      </c>
      <c r="E133" s="136"/>
      <c r="F133" s="136"/>
      <c r="G133" s="136">
        <f t="shared" si="18"/>
        <v>0</v>
      </c>
      <c r="H133" s="136" t="str">
        <f t="shared" si="15"/>
        <v>0h0</v>
      </c>
      <c r="I133" s="145" t="s">
        <v>88</v>
      </c>
      <c r="J133" s="136"/>
      <c r="K133" s="136"/>
      <c r="L133" s="136">
        <f t="shared" si="19"/>
        <v>0</v>
      </c>
      <c r="M133" s="136" t="str">
        <f t="shared" si="12"/>
        <v>0h0</v>
      </c>
      <c r="N133" s="145" t="s">
        <v>88</v>
      </c>
      <c r="O133" s="136"/>
      <c r="P133" s="136"/>
      <c r="Q133" s="136">
        <f t="shared" si="20"/>
        <v>0</v>
      </c>
      <c r="R133" s="136" t="str">
        <f t="shared" si="13"/>
        <v>0h0</v>
      </c>
      <c r="S133" s="145">
        <f t="shared" si="16"/>
        <v>0</v>
      </c>
      <c r="T133" s="136" t="str">
        <f t="shared" si="14"/>
        <v>0h0</v>
      </c>
    </row>
    <row r="134" spans="2:20" x14ac:dyDescent="0.3">
      <c r="B134" s="135">
        <f t="shared" si="17"/>
        <v>46324</v>
      </c>
      <c r="C134" s="136" t="str">
        <f t="shared" ref="C134:C197" si="21">CHOOSE(WEEKDAY(B134,2),"Monday","Tuesday","Wednesday","Thursday","Friday","Saturday","Sunday")</f>
        <v>Thursday</v>
      </c>
      <c r="D134" s="145" t="s">
        <v>88</v>
      </c>
      <c r="E134" s="136"/>
      <c r="F134" s="136"/>
      <c r="G134" s="136">
        <f t="shared" si="18"/>
        <v>0</v>
      </c>
      <c r="H134" s="136" t="str">
        <f t="shared" si="15"/>
        <v>0h0</v>
      </c>
      <c r="I134" s="145" t="s">
        <v>88</v>
      </c>
      <c r="J134" s="136"/>
      <c r="K134" s="136"/>
      <c r="L134" s="136">
        <f t="shared" si="19"/>
        <v>0</v>
      </c>
      <c r="M134" s="136" t="str">
        <f t="shared" ref="M134:M197" si="22">ROUNDDOWN(L134/60, 0)&amp;"h"&amp;ROUNDUP((L134/60-ROUNDDOWN(L134/60, 0))*60,0)</f>
        <v>0h0</v>
      </c>
      <c r="N134" s="145" t="s">
        <v>88</v>
      </c>
      <c r="O134" s="136"/>
      <c r="P134" s="136"/>
      <c r="Q134" s="136">
        <f t="shared" si="20"/>
        <v>0</v>
      </c>
      <c r="R134" s="136" t="str">
        <f t="shared" ref="R134:R197" si="23">ROUNDDOWN(Q134/60, 0)&amp;"h"&amp;ROUNDUP((Q134/60-ROUNDDOWN(Q134/60, 0))*60,0)</f>
        <v>0h0</v>
      </c>
      <c r="S134" s="145">
        <f t="shared" si="16"/>
        <v>0</v>
      </c>
      <c r="T134" s="136" t="str">
        <f t="shared" ref="T134:T197" si="24">ROUNDDOWN(S134/60, 0)&amp;"h"&amp;ROUNDUP((S134/60-ROUNDDOWN(S134/60, 0))*60,0)</f>
        <v>0h0</v>
      </c>
    </row>
    <row r="135" spans="2:20" x14ac:dyDescent="0.3">
      <c r="B135" s="135">
        <f t="shared" si="17"/>
        <v>46325</v>
      </c>
      <c r="C135" s="136" t="str">
        <f t="shared" si="21"/>
        <v>Friday</v>
      </c>
      <c r="D135" s="145" t="s">
        <v>88</v>
      </c>
      <c r="E135" s="136"/>
      <c r="F135" s="136"/>
      <c r="G135" s="136">
        <f t="shared" si="18"/>
        <v>0</v>
      </c>
      <c r="H135" s="136" t="str">
        <f t="shared" ref="H135:H198" si="25">ROUNDDOWN(G135/60, 0)&amp;"h"&amp;ROUNDUP((G135/60-ROUNDDOWN(G135/60, 0))*60,0)</f>
        <v>0h0</v>
      </c>
      <c r="I135" s="145" t="s">
        <v>88</v>
      </c>
      <c r="J135" s="136"/>
      <c r="K135" s="136"/>
      <c r="L135" s="136">
        <f t="shared" si="19"/>
        <v>0</v>
      </c>
      <c r="M135" s="136" t="str">
        <f t="shared" si="22"/>
        <v>0h0</v>
      </c>
      <c r="N135" s="145" t="s">
        <v>88</v>
      </c>
      <c r="O135" s="136"/>
      <c r="P135" s="136"/>
      <c r="Q135" s="136">
        <f t="shared" si="20"/>
        <v>0</v>
      </c>
      <c r="R135" s="136" t="str">
        <f t="shared" si="23"/>
        <v>0h0</v>
      </c>
      <c r="S135" s="145">
        <f t="shared" ref="S135:S198" si="26">G135+L135+Q135</f>
        <v>0</v>
      </c>
      <c r="T135" s="136" t="str">
        <f t="shared" si="24"/>
        <v>0h0</v>
      </c>
    </row>
    <row r="136" spans="2:20" x14ac:dyDescent="0.3">
      <c r="B136" s="135">
        <f t="shared" ref="B136:B199" si="27">B135+1</f>
        <v>46326</v>
      </c>
      <c r="C136" s="136" t="str">
        <f t="shared" si="21"/>
        <v>Saturday</v>
      </c>
      <c r="D136" s="145" t="s">
        <v>88</v>
      </c>
      <c r="E136" s="136"/>
      <c r="F136" s="136"/>
      <c r="G136" s="136">
        <f t="shared" ref="G136:G199" si="28">E136*25+F136</f>
        <v>0</v>
      </c>
      <c r="H136" s="136" t="str">
        <f t="shared" si="25"/>
        <v>0h0</v>
      </c>
      <c r="I136" s="145" t="s">
        <v>88</v>
      </c>
      <c r="J136" s="136"/>
      <c r="K136" s="136"/>
      <c r="L136" s="136">
        <f t="shared" ref="L136:L199" si="29">J136*25+K136</f>
        <v>0</v>
      </c>
      <c r="M136" s="136" t="str">
        <f t="shared" si="22"/>
        <v>0h0</v>
      </c>
      <c r="N136" s="145" t="s">
        <v>88</v>
      </c>
      <c r="O136" s="136"/>
      <c r="P136" s="136"/>
      <c r="Q136" s="136">
        <f t="shared" ref="Q136:Q199" si="30">O136*25+P136</f>
        <v>0</v>
      </c>
      <c r="R136" s="136" t="str">
        <f t="shared" si="23"/>
        <v>0h0</v>
      </c>
      <c r="S136" s="145">
        <f t="shared" si="26"/>
        <v>0</v>
      </c>
      <c r="T136" s="136" t="str">
        <f t="shared" si="24"/>
        <v>0h0</v>
      </c>
    </row>
    <row r="137" spans="2:20" x14ac:dyDescent="0.3">
      <c r="B137" s="135">
        <f t="shared" si="27"/>
        <v>46327</v>
      </c>
      <c r="C137" s="136" t="str">
        <f t="shared" si="21"/>
        <v>Sunday</v>
      </c>
      <c r="D137" s="145" t="s">
        <v>88</v>
      </c>
      <c r="E137" s="136"/>
      <c r="F137" s="136"/>
      <c r="G137" s="136">
        <f t="shared" si="28"/>
        <v>0</v>
      </c>
      <c r="H137" s="136" t="str">
        <f t="shared" si="25"/>
        <v>0h0</v>
      </c>
      <c r="I137" s="145" t="s">
        <v>88</v>
      </c>
      <c r="J137" s="136"/>
      <c r="K137" s="136"/>
      <c r="L137" s="136">
        <f t="shared" si="29"/>
        <v>0</v>
      </c>
      <c r="M137" s="136" t="str">
        <f t="shared" si="22"/>
        <v>0h0</v>
      </c>
      <c r="N137" s="145" t="s">
        <v>88</v>
      </c>
      <c r="O137" s="136"/>
      <c r="P137" s="136"/>
      <c r="Q137" s="136">
        <f t="shared" si="30"/>
        <v>0</v>
      </c>
      <c r="R137" s="136" t="str">
        <f t="shared" si="23"/>
        <v>0h0</v>
      </c>
      <c r="S137" s="145">
        <f t="shared" si="26"/>
        <v>0</v>
      </c>
      <c r="T137" s="136" t="str">
        <f t="shared" si="24"/>
        <v>0h0</v>
      </c>
    </row>
    <row r="138" spans="2:20" x14ac:dyDescent="0.3">
      <c r="B138" s="135">
        <f t="shared" si="27"/>
        <v>46328</v>
      </c>
      <c r="C138" s="136" t="str">
        <f t="shared" si="21"/>
        <v>Monday</v>
      </c>
      <c r="D138" s="145" t="s">
        <v>88</v>
      </c>
      <c r="E138" s="136"/>
      <c r="F138" s="136"/>
      <c r="G138" s="136">
        <f t="shared" si="28"/>
        <v>0</v>
      </c>
      <c r="H138" s="136" t="str">
        <f t="shared" si="25"/>
        <v>0h0</v>
      </c>
      <c r="I138" s="145" t="s">
        <v>88</v>
      </c>
      <c r="J138" s="136"/>
      <c r="K138" s="136"/>
      <c r="L138" s="136">
        <f t="shared" si="29"/>
        <v>0</v>
      </c>
      <c r="M138" s="136" t="str">
        <f t="shared" si="22"/>
        <v>0h0</v>
      </c>
      <c r="N138" s="145" t="s">
        <v>88</v>
      </c>
      <c r="O138" s="136"/>
      <c r="P138" s="136"/>
      <c r="Q138" s="136">
        <f t="shared" si="30"/>
        <v>0</v>
      </c>
      <c r="R138" s="136" t="str">
        <f t="shared" si="23"/>
        <v>0h0</v>
      </c>
      <c r="S138" s="145">
        <f t="shared" si="26"/>
        <v>0</v>
      </c>
      <c r="T138" s="136" t="str">
        <f t="shared" si="24"/>
        <v>0h0</v>
      </c>
    </row>
    <row r="139" spans="2:20" x14ac:dyDescent="0.3">
      <c r="B139" s="135">
        <f t="shared" si="27"/>
        <v>46329</v>
      </c>
      <c r="C139" s="136" t="str">
        <f t="shared" si="21"/>
        <v>Tuesday</v>
      </c>
      <c r="D139" s="145" t="s">
        <v>88</v>
      </c>
      <c r="E139" s="136"/>
      <c r="F139" s="136"/>
      <c r="G139" s="136">
        <f t="shared" si="28"/>
        <v>0</v>
      </c>
      <c r="H139" s="136" t="str">
        <f t="shared" si="25"/>
        <v>0h0</v>
      </c>
      <c r="I139" s="145" t="s">
        <v>88</v>
      </c>
      <c r="J139" s="136"/>
      <c r="K139" s="136"/>
      <c r="L139" s="136">
        <f t="shared" si="29"/>
        <v>0</v>
      </c>
      <c r="M139" s="136" t="str">
        <f t="shared" si="22"/>
        <v>0h0</v>
      </c>
      <c r="N139" s="145" t="s">
        <v>88</v>
      </c>
      <c r="O139" s="136"/>
      <c r="P139" s="136"/>
      <c r="Q139" s="136">
        <f t="shared" si="30"/>
        <v>0</v>
      </c>
      <c r="R139" s="136" t="str">
        <f t="shared" si="23"/>
        <v>0h0</v>
      </c>
      <c r="S139" s="145">
        <f t="shared" si="26"/>
        <v>0</v>
      </c>
      <c r="T139" s="136" t="str">
        <f t="shared" si="24"/>
        <v>0h0</v>
      </c>
    </row>
    <row r="140" spans="2:20" x14ac:dyDescent="0.3">
      <c r="B140" s="135">
        <f t="shared" si="27"/>
        <v>46330</v>
      </c>
      <c r="C140" s="136" t="str">
        <f t="shared" si="21"/>
        <v>Wednesday</v>
      </c>
      <c r="D140" s="145" t="s">
        <v>88</v>
      </c>
      <c r="E140" s="136"/>
      <c r="F140" s="136"/>
      <c r="G140" s="136">
        <f t="shared" si="28"/>
        <v>0</v>
      </c>
      <c r="H140" s="136" t="str">
        <f t="shared" si="25"/>
        <v>0h0</v>
      </c>
      <c r="I140" s="145" t="s">
        <v>88</v>
      </c>
      <c r="J140" s="136"/>
      <c r="K140" s="136"/>
      <c r="L140" s="136">
        <f t="shared" si="29"/>
        <v>0</v>
      </c>
      <c r="M140" s="136" t="str">
        <f t="shared" si="22"/>
        <v>0h0</v>
      </c>
      <c r="N140" s="145" t="s">
        <v>88</v>
      </c>
      <c r="O140" s="136"/>
      <c r="P140" s="136"/>
      <c r="Q140" s="136">
        <f t="shared" si="30"/>
        <v>0</v>
      </c>
      <c r="R140" s="136" t="str">
        <f t="shared" si="23"/>
        <v>0h0</v>
      </c>
      <c r="S140" s="145">
        <f t="shared" si="26"/>
        <v>0</v>
      </c>
      <c r="T140" s="136" t="str">
        <f t="shared" si="24"/>
        <v>0h0</v>
      </c>
    </row>
    <row r="141" spans="2:20" x14ac:dyDescent="0.3">
      <c r="B141" s="135">
        <f t="shared" si="27"/>
        <v>46331</v>
      </c>
      <c r="C141" s="136" t="str">
        <f t="shared" si="21"/>
        <v>Thursday</v>
      </c>
      <c r="D141" s="145" t="s">
        <v>88</v>
      </c>
      <c r="E141" s="136"/>
      <c r="F141" s="136"/>
      <c r="G141" s="136">
        <f t="shared" si="28"/>
        <v>0</v>
      </c>
      <c r="H141" s="136" t="str">
        <f t="shared" si="25"/>
        <v>0h0</v>
      </c>
      <c r="I141" s="145" t="s">
        <v>88</v>
      </c>
      <c r="J141" s="136"/>
      <c r="K141" s="136"/>
      <c r="L141" s="136">
        <f t="shared" si="29"/>
        <v>0</v>
      </c>
      <c r="M141" s="136" t="str">
        <f t="shared" si="22"/>
        <v>0h0</v>
      </c>
      <c r="N141" s="145" t="s">
        <v>88</v>
      </c>
      <c r="O141" s="136"/>
      <c r="P141" s="136"/>
      <c r="Q141" s="136">
        <f t="shared" si="30"/>
        <v>0</v>
      </c>
      <c r="R141" s="136" t="str">
        <f t="shared" si="23"/>
        <v>0h0</v>
      </c>
      <c r="S141" s="145">
        <f t="shared" si="26"/>
        <v>0</v>
      </c>
      <c r="T141" s="136" t="str">
        <f t="shared" si="24"/>
        <v>0h0</v>
      </c>
    </row>
    <row r="142" spans="2:20" x14ac:dyDescent="0.3">
      <c r="B142" s="135">
        <f t="shared" si="27"/>
        <v>46332</v>
      </c>
      <c r="C142" s="136" t="str">
        <f t="shared" si="21"/>
        <v>Friday</v>
      </c>
      <c r="D142" s="145" t="s">
        <v>88</v>
      </c>
      <c r="E142" s="136"/>
      <c r="F142" s="136"/>
      <c r="G142" s="136">
        <f t="shared" si="28"/>
        <v>0</v>
      </c>
      <c r="H142" s="136" t="str">
        <f t="shared" si="25"/>
        <v>0h0</v>
      </c>
      <c r="I142" s="145" t="s">
        <v>88</v>
      </c>
      <c r="J142" s="136"/>
      <c r="K142" s="136"/>
      <c r="L142" s="136">
        <f t="shared" si="29"/>
        <v>0</v>
      </c>
      <c r="M142" s="136" t="str">
        <f t="shared" si="22"/>
        <v>0h0</v>
      </c>
      <c r="N142" s="145" t="s">
        <v>88</v>
      </c>
      <c r="O142" s="136"/>
      <c r="P142" s="136"/>
      <c r="Q142" s="136">
        <f t="shared" si="30"/>
        <v>0</v>
      </c>
      <c r="R142" s="136" t="str">
        <f t="shared" si="23"/>
        <v>0h0</v>
      </c>
      <c r="S142" s="145">
        <f t="shared" si="26"/>
        <v>0</v>
      </c>
      <c r="T142" s="136" t="str">
        <f t="shared" si="24"/>
        <v>0h0</v>
      </c>
    </row>
    <row r="143" spans="2:20" x14ac:dyDescent="0.3">
      <c r="B143" s="135">
        <f t="shared" si="27"/>
        <v>46333</v>
      </c>
      <c r="C143" s="136" t="str">
        <f t="shared" si="21"/>
        <v>Saturday</v>
      </c>
      <c r="D143" s="145" t="s">
        <v>88</v>
      </c>
      <c r="E143" s="136"/>
      <c r="F143" s="136"/>
      <c r="G143" s="136">
        <f t="shared" si="28"/>
        <v>0</v>
      </c>
      <c r="H143" s="136" t="str">
        <f t="shared" si="25"/>
        <v>0h0</v>
      </c>
      <c r="I143" s="145" t="s">
        <v>88</v>
      </c>
      <c r="J143" s="136"/>
      <c r="K143" s="136"/>
      <c r="L143" s="136">
        <f t="shared" si="29"/>
        <v>0</v>
      </c>
      <c r="M143" s="136" t="str">
        <f t="shared" si="22"/>
        <v>0h0</v>
      </c>
      <c r="N143" s="145" t="s">
        <v>88</v>
      </c>
      <c r="O143" s="136"/>
      <c r="P143" s="136"/>
      <c r="Q143" s="136">
        <f t="shared" si="30"/>
        <v>0</v>
      </c>
      <c r="R143" s="136" t="str">
        <f t="shared" si="23"/>
        <v>0h0</v>
      </c>
      <c r="S143" s="145">
        <f t="shared" si="26"/>
        <v>0</v>
      </c>
      <c r="T143" s="136" t="str">
        <f t="shared" si="24"/>
        <v>0h0</v>
      </c>
    </row>
    <row r="144" spans="2:20" x14ac:dyDescent="0.3">
      <c r="B144" s="135">
        <f t="shared" si="27"/>
        <v>46334</v>
      </c>
      <c r="C144" s="136" t="str">
        <f t="shared" si="21"/>
        <v>Sunday</v>
      </c>
      <c r="D144" s="145" t="s">
        <v>88</v>
      </c>
      <c r="E144" s="136"/>
      <c r="F144" s="136"/>
      <c r="G144" s="136">
        <f t="shared" si="28"/>
        <v>0</v>
      </c>
      <c r="H144" s="136" t="str">
        <f t="shared" si="25"/>
        <v>0h0</v>
      </c>
      <c r="I144" s="145" t="s">
        <v>88</v>
      </c>
      <c r="J144" s="136"/>
      <c r="K144" s="136"/>
      <c r="L144" s="136">
        <f t="shared" si="29"/>
        <v>0</v>
      </c>
      <c r="M144" s="136" t="str">
        <f t="shared" si="22"/>
        <v>0h0</v>
      </c>
      <c r="N144" s="145" t="s">
        <v>88</v>
      </c>
      <c r="O144" s="136"/>
      <c r="P144" s="136"/>
      <c r="Q144" s="136">
        <f t="shared" si="30"/>
        <v>0</v>
      </c>
      <c r="R144" s="136" t="str">
        <f t="shared" si="23"/>
        <v>0h0</v>
      </c>
      <c r="S144" s="145">
        <f t="shared" si="26"/>
        <v>0</v>
      </c>
      <c r="T144" s="136" t="str">
        <f t="shared" si="24"/>
        <v>0h0</v>
      </c>
    </row>
    <row r="145" spans="2:20" x14ac:dyDescent="0.3">
      <c r="B145" s="135">
        <f t="shared" si="27"/>
        <v>46335</v>
      </c>
      <c r="C145" s="136" t="str">
        <f t="shared" si="21"/>
        <v>Monday</v>
      </c>
      <c r="D145" s="145" t="s">
        <v>88</v>
      </c>
      <c r="E145" s="136"/>
      <c r="F145" s="136"/>
      <c r="G145" s="136">
        <f t="shared" si="28"/>
        <v>0</v>
      </c>
      <c r="H145" s="136" t="str">
        <f t="shared" si="25"/>
        <v>0h0</v>
      </c>
      <c r="I145" s="145" t="s">
        <v>88</v>
      </c>
      <c r="J145" s="136"/>
      <c r="K145" s="136"/>
      <c r="L145" s="136">
        <f t="shared" si="29"/>
        <v>0</v>
      </c>
      <c r="M145" s="136" t="str">
        <f t="shared" si="22"/>
        <v>0h0</v>
      </c>
      <c r="N145" s="145" t="s">
        <v>88</v>
      </c>
      <c r="O145" s="136"/>
      <c r="P145" s="136"/>
      <c r="Q145" s="136">
        <f t="shared" si="30"/>
        <v>0</v>
      </c>
      <c r="R145" s="136" t="str">
        <f t="shared" si="23"/>
        <v>0h0</v>
      </c>
      <c r="S145" s="145">
        <f t="shared" si="26"/>
        <v>0</v>
      </c>
      <c r="T145" s="136" t="str">
        <f t="shared" si="24"/>
        <v>0h0</v>
      </c>
    </row>
    <row r="146" spans="2:20" x14ac:dyDescent="0.3">
      <c r="B146" s="135">
        <f t="shared" si="27"/>
        <v>46336</v>
      </c>
      <c r="C146" s="136" t="str">
        <f t="shared" si="21"/>
        <v>Tuesday</v>
      </c>
      <c r="D146" s="145" t="s">
        <v>88</v>
      </c>
      <c r="E146" s="136"/>
      <c r="F146" s="136"/>
      <c r="G146" s="136">
        <f t="shared" si="28"/>
        <v>0</v>
      </c>
      <c r="H146" s="136" t="str">
        <f t="shared" si="25"/>
        <v>0h0</v>
      </c>
      <c r="I146" s="145" t="s">
        <v>88</v>
      </c>
      <c r="J146" s="136"/>
      <c r="K146" s="136"/>
      <c r="L146" s="136">
        <f t="shared" si="29"/>
        <v>0</v>
      </c>
      <c r="M146" s="136" t="str">
        <f t="shared" si="22"/>
        <v>0h0</v>
      </c>
      <c r="N146" s="145" t="s">
        <v>88</v>
      </c>
      <c r="O146" s="136"/>
      <c r="P146" s="136"/>
      <c r="Q146" s="136">
        <f t="shared" si="30"/>
        <v>0</v>
      </c>
      <c r="R146" s="136" t="str">
        <f t="shared" si="23"/>
        <v>0h0</v>
      </c>
      <c r="S146" s="145">
        <f t="shared" si="26"/>
        <v>0</v>
      </c>
      <c r="T146" s="136" t="str">
        <f t="shared" si="24"/>
        <v>0h0</v>
      </c>
    </row>
    <row r="147" spans="2:20" x14ac:dyDescent="0.3">
      <c r="B147" s="135">
        <f t="shared" si="27"/>
        <v>46337</v>
      </c>
      <c r="C147" s="136" t="str">
        <f t="shared" si="21"/>
        <v>Wednesday</v>
      </c>
      <c r="D147" s="145" t="s">
        <v>88</v>
      </c>
      <c r="E147" s="136"/>
      <c r="F147" s="136"/>
      <c r="G147" s="136">
        <f t="shared" si="28"/>
        <v>0</v>
      </c>
      <c r="H147" s="136" t="str">
        <f t="shared" si="25"/>
        <v>0h0</v>
      </c>
      <c r="I147" s="145" t="s">
        <v>88</v>
      </c>
      <c r="J147" s="136"/>
      <c r="K147" s="136"/>
      <c r="L147" s="136">
        <f t="shared" si="29"/>
        <v>0</v>
      </c>
      <c r="M147" s="136" t="str">
        <f t="shared" si="22"/>
        <v>0h0</v>
      </c>
      <c r="N147" s="145" t="s">
        <v>88</v>
      </c>
      <c r="O147" s="136"/>
      <c r="P147" s="136"/>
      <c r="Q147" s="136">
        <f t="shared" si="30"/>
        <v>0</v>
      </c>
      <c r="R147" s="136" t="str">
        <f t="shared" si="23"/>
        <v>0h0</v>
      </c>
      <c r="S147" s="145">
        <f t="shared" si="26"/>
        <v>0</v>
      </c>
      <c r="T147" s="136" t="str">
        <f t="shared" si="24"/>
        <v>0h0</v>
      </c>
    </row>
    <row r="148" spans="2:20" x14ac:dyDescent="0.3">
      <c r="B148" s="135">
        <f t="shared" si="27"/>
        <v>46338</v>
      </c>
      <c r="C148" s="136" t="str">
        <f t="shared" si="21"/>
        <v>Thursday</v>
      </c>
      <c r="D148" s="145" t="s">
        <v>88</v>
      </c>
      <c r="E148" s="136"/>
      <c r="F148" s="136"/>
      <c r="G148" s="136">
        <f t="shared" si="28"/>
        <v>0</v>
      </c>
      <c r="H148" s="136" t="str">
        <f t="shared" si="25"/>
        <v>0h0</v>
      </c>
      <c r="I148" s="145" t="s">
        <v>88</v>
      </c>
      <c r="J148" s="136"/>
      <c r="K148" s="136"/>
      <c r="L148" s="136">
        <f t="shared" si="29"/>
        <v>0</v>
      </c>
      <c r="M148" s="136" t="str">
        <f t="shared" si="22"/>
        <v>0h0</v>
      </c>
      <c r="N148" s="145" t="s">
        <v>88</v>
      </c>
      <c r="O148" s="136"/>
      <c r="P148" s="136"/>
      <c r="Q148" s="136">
        <f t="shared" si="30"/>
        <v>0</v>
      </c>
      <c r="R148" s="136" t="str">
        <f t="shared" si="23"/>
        <v>0h0</v>
      </c>
      <c r="S148" s="145">
        <f t="shared" si="26"/>
        <v>0</v>
      </c>
      <c r="T148" s="136" t="str">
        <f t="shared" si="24"/>
        <v>0h0</v>
      </c>
    </row>
    <row r="149" spans="2:20" x14ac:dyDescent="0.3">
      <c r="B149" s="135">
        <f t="shared" si="27"/>
        <v>46339</v>
      </c>
      <c r="C149" s="136" t="str">
        <f t="shared" si="21"/>
        <v>Friday</v>
      </c>
      <c r="D149" s="145" t="s">
        <v>88</v>
      </c>
      <c r="E149" s="136"/>
      <c r="F149" s="136"/>
      <c r="G149" s="136">
        <f t="shared" si="28"/>
        <v>0</v>
      </c>
      <c r="H149" s="136" t="str">
        <f t="shared" si="25"/>
        <v>0h0</v>
      </c>
      <c r="I149" s="145" t="s">
        <v>88</v>
      </c>
      <c r="J149" s="136"/>
      <c r="K149" s="136"/>
      <c r="L149" s="136">
        <f t="shared" si="29"/>
        <v>0</v>
      </c>
      <c r="M149" s="136" t="str">
        <f t="shared" si="22"/>
        <v>0h0</v>
      </c>
      <c r="N149" s="145" t="s">
        <v>88</v>
      </c>
      <c r="O149" s="136"/>
      <c r="P149" s="136"/>
      <c r="Q149" s="136">
        <f t="shared" si="30"/>
        <v>0</v>
      </c>
      <c r="R149" s="136" t="str">
        <f t="shared" si="23"/>
        <v>0h0</v>
      </c>
      <c r="S149" s="145">
        <f t="shared" si="26"/>
        <v>0</v>
      </c>
      <c r="T149" s="136" t="str">
        <f t="shared" si="24"/>
        <v>0h0</v>
      </c>
    </row>
    <row r="150" spans="2:20" x14ac:dyDescent="0.3">
      <c r="B150" s="135">
        <f t="shared" si="27"/>
        <v>46340</v>
      </c>
      <c r="C150" s="136" t="str">
        <f t="shared" si="21"/>
        <v>Saturday</v>
      </c>
      <c r="D150" s="145" t="s">
        <v>88</v>
      </c>
      <c r="E150" s="136"/>
      <c r="F150" s="136"/>
      <c r="G150" s="136">
        <f t="shared" si="28"/>
        <v>0</v>
      </c>
      <c r="H150" s="136" t="str">
        <f t="shared" si="25"/>
        <v>0h0</v>
      </c>
      <c r="I150" s="145" t="s">
        <v>88</v>
      </c>
      <c r="J150" s="136"/>
      <c r="K150" s="136"/>
      <c r="L150" s="136">
        <f t="shared" si="29"/>
        <v>0</v>
      </c>
      <c r="M150" s="136" t="str">
        <f t="shared" si="22"/>
        <v>0h0</v>
      </c>
      <c r="N150" s="145" t="s">
        <v>88</v>
      </c>
      <c r="O150" s="136"/>
      <c r="P150" s="136"/>
      <c r="Q150" s="136">
        <f t="shared" si="30"/>
        <v>0</v>
      </c>
      <c r="R150" s="136" t="str">
        <f t="shared" si="23"/>
        <v>0h0</v>
      </c>
      <c r="S150" s="145">
        <f t="shared" si="26"/>
        <v>0</v>
      </c>
      <c r="T150" s="136" t="str">
        <f t="shared" si="24"/>
        <v>0h0</v>
      </c>
    </row>
    <row r="151" spans="2:20" x14ac:dyDescent="0.3">
      <c r="B151" s="135">
        <f t="shared" si="27"/>
        <v>46341</v>
      </c>
      <c r="C151" s="136" t="str">
        <f t="shared" si="21"/>
        <v>Sunday</v>
      </c>
      <c r="D151" s="145" t="s">
        <v>88</v>
      </c>
      <c r="E151" s="136"/>
      <c r="F151" s="136"/>
      <c r="G151" s="136">
        <f t="shared" si="28"/>
        <v>0</v>
      </c>
      <c r="H151" s="136" t="str">
        <f t="shared" si="25"/>
        <v>0h0</v>
      </c>
      <c r="I151" s="145" t="s">
        <v>88</v>
      </c>
      <c r="J151" s="136"/>
      <c r="K151" s="136"/>
      <c r="L151" s="136">
        <f t="shared" si="29"/>
        <v>0</v>
      </c>
      <c r="M151" s="136" t="str">
        <f t="shared" si="22"/>
        <v>0h0</v>
      </c>
      <c r="N151" s="145" t="s">
        <v>88</v>
      </c>
      <c r="O151" s="136"/>
      <c r="P151" s="136"/>
      <c r="Q151" s="136">
        <f t="shared" si="30"/>
        <v>0</v>
      </c>
      <c r="R151" s="136" t="str">
        <f t="shared" si="23"/>
        <v>0h0</v>
      </c>
      <c r="S151" s="145">
        <f t="shared" si="26"/>
        <v>0</v>
      </c>
      <c r="T151" s="136" t="str">
        <f t="shared" si="24"/>
        <v>0h0</v>
      </c>
    </row>
    <row r="152" spans="2:20" x14ac:dyDescent="0.3">
      <c r="B152" s="135">
        <f t="shared" si="27"/>
        <v>46342</v>
      </c>
      <c r="C152" s="136" t="str">
        <f t="shared" si="21"/>
        <v>Monday</v>
      </c>
      <c r="D152" s="145" t="s">
        <v>88</v>
      </c>
      <c r="E152" s="136"/>
      <c r="F152" s="136"/>
      <c r="G152" s="136">
        <f t="shared" si="28"/>
        <v>0</v>
      </c>
      <c r="H152" s="136" t="str">
        <f t="shared" si="25"/>
        <v>0h0</v>
      </c>
      <c r="I152" s="145" t="s">
        <v>88</v>
      </c>
      <c r="J152" s="136"/>
      <c r="K152" s="136"/>
      <c r="L152" s="136">
        <f t="shared" si="29"/>
        <v>0</v>
      </c>
      <c r="M152" s="136" t="str">
        <f t="shared" si="22"/>
        <v>0h0</v>
      </c>
      <c r="N152" s="145" t="s">
        <v>88</v>
      </c>
      <c r="O152" s="136"/>
      <c r="P152" s="136"/>
      <c r="Q152" s="136">
        <f t="shared" si="30"/>
        <v>0</v>
      </c>
      <c r="R152" s="136" t="str">
        <f t="shared" si="23"/>
        <v>0h0</v>
      </c>
      <c r="S152" s="145">
        <f t="shared" si="26"/>
        <v>0</v>
      </c>
      <c r="T152" s="136" t="str">
        <f t="shared" si="24"/>
        <v>0h0</v>
      </c>
    </row>
    <row r="153" spans="2:20" x14ac:dyDescent="0.3">
      <c r="B153" s="135">
        <f t="shared" si="27"/>
        <v>46343</v>
      </c>
      <c r="C153" s="136" t="str">
        <f t="shared" si="21"/>
        <v>Tuesday</v>
      </c>
      <c r="D153" s="145" t="s">
        <v>88</v>
      </c>
      <c r="E153" s="136"/>
      <c r="F153" s="136"/>
      <c r="G153" s="136">
        <f t="shared" si="28"/>
        <v>0</v>
      </c>
      <c r="H153" s="136" t="str">
        <f t="shared" si="25"/>
        <v>0h0</v>
      </c>
      <c r="I153" s="145" t="s">
        <v>88</v>
      </c>
      <c r="J153" s="136"/>
      <c r="K153" s="136"/>
      <c r="L153" s="136">
        <f t="shared" si="29"/>
        <v>0</v>
      </c>
      <c r="M153" s="136" t="str">
        <f t="shared" si="22"/>
        <v>0h0</v>
      </c>
      <c r="N153" s="145" t="s">
        <v>88</v>
      </c>
      <c r="O153" s="136"/>
      <c r="P153" s="136"/>
      <c r="Q153" s="136">
        <f t="shared" si="30"/>
        <v>0</v>
      </c>
      <c r="R153" s="136" t="str">
        <f t="shared" si="23"/>
        <v>0h0</v>
      </c>
      <c r="S153" s="145">
        <f t="shared" si="26"/>
        <v>0</v>
      </c>
      <c r="T153" s="136" t="str">
        <f t="shared" si="24"/>
        <v>0h0</v>
      </c>
    </row>
    <row r="154" spans="2:20" x14ac:dyDescent="0.3">
      <c r="B154" s="135">
        <f t="shared" si="27"/>
        <v>46344</v>
      </c>
      <c r="C154" s="136" t="str">
        <f t="shared" si="21"/>
        <v>Wednesday</v>
      </c>
      <c r="D154" s="145" t="s">
        <v>88</v>
      </c>
      <c r="E154" s="136"/>
      <c r="F154" s="136"/>
      <c r="G154" s="136">
        <f t="shared" si="28"/>
        <v>0</v>
      </c>
      <c r="H154" s="136" t="str">
        <f t="shared" si="25"/>
        <v>0h0</v>
      </c>
      <c r="I154" s="145" t="s">
        <v>88</v>
      </c>
      <c r="J154" s="136"/>
      <c r="K154" s="136"/>
      <c r="L154" s="136">
        <f t="shared" si="29"/>
        <v>0</v>
      </c>
      <c r="M154" s="136" t="str">
        <f t="shared" si="22"/>
        <v>0h0</v>
      </c>
      <c r="N154" s="145" t="s">
        <v>88</v>
      </c>
      <c r="O154" s="136"/>
      <c r="P154" s="136"/>
      <c r="Q154" s="136">
        <f t="shared" si="30"/>
        <v>0</v>
      </c>
      <c r="R154" s="136" t="str">
        <f t="shared" si="23"/>
        <v>0h0</v>
      </c>
      <c r="S154" s="145">
        <f t="shared" si="26"/>
        <v>0</v>
      </c>
      <c r="T154" s="136" t="str">
        <f t="shared" si="24"/>
        <v>0h0</v>
      </c>
    </row>
    <row r="155" spans="2:20" x14ac:dyDescent="0.3">
      <c r="B155" s="135">
        <f t="shared" si="27"/>
        <v>46345</v>
      </c>
      <c r="C155" s="136" t="str">
        <f t="shared" si="21"/>
        <v>Thursday</v>
      </c>
      <c r="D155" s="145" t="s">
        <v>88</v>
      </c>
      <c r="E155" s="136"/>
      <c r="F155" s="136"/>
      <c r="G155" s="136">
        <f t="shared" si="28"/>
        <v>0</v>
      </c>
      <c r="H155" s="136" t="str">
        <f t="shared" si="25"/>
        <v>0h0</v>
      </c>
      <c r="I155" s="145" t="s">
        <v>88</v>
      </c>
      <c r="J155" s="136"/>
      <c r="K155" s="136"/>
      <c r="L155" s="136">
        <f t="shared" si="29"/>
        <v>0</v>
      </c>
      <c r="M155" s="136" t="str">
        <f t="shared" si="22"/>
        <v>0h0</v>
      </c>
      <c r="N155" s="145" t="s">
        <v>88</v>
      </c>
      <c r="O155" s="136"/>
      <c r="P155" s="136"/>
      <c r="Q155" s="136">
        <f t="shared" si="30"/>
        <v>0</v>
      </c>
      <c r="R155" s="136" t="str">
        <f t="shared" si="23"/>
        <v>0h0</v>
      </c>
      <c r="S155" s="145">
        <f t="shared" si="26"/>
        <v>0</v>
      </c>
      <c r="T155" s="136" t="str">
        <f t="shared" si="24"/>
        <v>0h0</v>
      </c>
    </row>
    <row r="156" spans="2:20" x14ac:dyDescent="0.3">
      <c r="B156" s="135">
        <f t="shared" si="27"/>
        <v>46346</v>
      </c>
      <c r="C156" s="136" t="str">
        <f t="shared" si="21"/>
        <v>Friday</v>
      </c>
      <c r="D156" s="145" t="s">
        <v>88</v>
      </c>
      <c r="E156" s="136"/>
      <c r="F156" s="136"/>
      <c r="G156" s="136">
        <f t="shared" si="28"/>
        <v>0</v>
      </c>
      <c r="H156" s="136" t="str">
        <f t="shared" si="25"/>
        <v>0h0</v>
      </c>
      <c r="I156" s="145" t="s">
        <v>88</v>
      </c>
      <c r="J156" s="136"/>
      <c r="K156" s="136"/>
      <c r="L156" s="136">
        <f t="shared" si="29"/>
        <v>0</v>
      </c>
      <c r="M156" s="136" t="str">
        <f t="shared" si="22"/>
        <v>0h0</v>
      </c>
      <c r="N156" s="145" t="s">
        <v>88</v>
      </c>
      <c r="O156" s="136"/>
      <c r="P156" s="136"/>
      <c r="Q156" s="136">
        <f t="shared" si="30"/>
        <v>0</v>
      </c>
      <c r="R156" s="136" t="str">
        <f t="shared" si="23"/>
        <v>0h0</v>
      </c>
      <c r="S156" s="145">
        <f t="shared" si="26"/>
        <v>0</v>
      </c>
      <c r="T156" s="136" t="str">
        <f t="shared" si="24"/>
        <v>0h0</v>
      </c>
    </row>
    <row r="157" spans="2:20" x14ac:dyDescent="0.3">
      <c r="B157" s="135">
        <f t="shared" si="27"/>
        <v>46347</v>
      </c>
      <c r="C157" s="136" t="str">
        <f t="shared" si="21"/>
        <v>Saturday</v>
      </c>
      <c r="D157" s="145" t="s">
        <v>88</v>
      </c>
      <c r="E157" s="136"/>
      <c r="F157" s="136"/>
      <c r="G157" s="136">
        <f t="shared" si="28"/>
        <v>0</v>
      </c>
      <c r="H157" s="136" t="str">
        <f t="shared" si="25"/>
        <v>0h0</v>
      </c>
      <c r="I157" s="145" t="s">
        <v>88</v>
      </c>
      <c r="J157" s="136"/>
      <c r="K157" s="136"/>
      <c r="L157" s="136">
        <f t="shared" si="29"/>
        <v>0</v>
      </c>
      <c r="M157" s="136" t="str">
        <f t="shared" si="22"/>
        <v>0h0</v>
      </c>
      <c r="N157" s="145" t="s">
        <v>88</v>
      </c>
      <c r="O157" s="136"/>
      <c r="P157" s="136"/>
      <c r="Q157" s="136">
        <f t="shared" si="30"/>
        <v>0</v>
      </c>
      <c r="R157" s="136" t="str">
        <f t="shared" si="23"/>
        <v>0h0</v>
      </c>
      <c r="S157" s="145">
        <f t="shared" si="26"/>
        <v>0</v>
      </c>
      <c r="T157" s="136" t="str">
        <f t="shared" si="24"/>
        <v>0h0</v>
      </c>
    </row>
    <row r="158" spans="2:20" x14ac:dyDescent="0.3">
      <c r="B158" s="135">
        <f t="shared" si="27"/>
        <v>46348</v>
      </c>
      <c r="C158" s="136" t="str">
        <f t="shared" si="21"/>
        <v>Sunday</v>
      </c>
      <c r="D158" s="145" t="s">
        <v>88</v>
      </c>
      <c r="E158" s="136"/>
      <c r="F158" s="136"/>
      <c r="G158" s="136">
        <f t="shared" si="28"/>
        <v>0</v>
      </c>
      <c r="H158" s="136" t="str">
        <f t="shared" si="25"/>
        <v>0h0</v>
      </c>
      <c r="I158" s="145" t="s">
        <v>88</v>
      </c>
      <c r="J158" s="136"/>
      <c r="K158" s="136"/>
      <c r="L158" s="136">
        <f t="shared" si="29"/>
        <v>0</v>
      </c>
      <c r="M158" s="136" t="str">
        <f t="shared" si="22"/>
        <v>0h0</v>
      </c>
      <c r="N158" s="145" t="s">
        <v>88</v>
      </c>
      <c r="O158" s="136"/>
      <c r="P158" s="136"/>
      <c r="Q158" s="136">
        <f t="shared" si="30"/>
        <v>0</v>
      </c>
      <c r="R158" s="136" t="str">
        <f t="shared" si="23"/>
        <v>0h0</v>
      </c>
      <c r="S158" s="145">
        <f t="shared" si="26"/>
        <v>0</v>
      </c>
      <c r="T158" s="136" t="str">
        <f t="shared" si="24"/>
        <v>0h0</v>
      </c>
    </row>
    <row r="159" spans="2:20" x14ac:dyDescent="0.3">
      <c r="B159" s="135">
        <f t="shared" si="27"/>
        <v>46349</v>
      </c>
      <c r="C159" s="136" t="str">
        <f t="shared" si="21"/>
        <v>Monday</v>
      </c>
      <c r="D159" s="145" t="s">
        <v>88</v>
      </c>
      <c r="E159" s="136"/>
      <c r="F159" s="136"/>
      <c r="G159" s="136">
        <f t="shared" si="28"/>
        <v>0</v>
      </c>
      <c r="H159" s="136" t="str">
        <f t="shared" si="25"/>
        <v>0h0</v>
      </c>
      <c r="I159" s="145" t="s">
        <v>88</v>
      </c>
      <c r="J159" s="136"/>
      <c r="K159" s="136"/>
      <c r="L159" s="136">
        <f t="shared" si="29"/>
        <v>0</v>
      </c>
      <c r="M159" s="136" t="str">
        <f t="shared" si="22"/>
        <v>0h0</v>
      </c>
      <c r="N159" s="145" t="s">
        <v>88</v>
      </c>
      <c r="O159" s="136"/>
      <c r="P159" s="136"/>
      <c r="Q159" s="136">
        <f t="shared" si="30"/>
        <v>0</v>
      </c>
      <c r="R159" s="136" t="str">
        <f t="shared" si="23"/>
        <v>0h0</v>
      </c>
      <c r="S159" s="145">
        <f t="shared" si="26"/>
        <v>0</v>
      </c>
      <c r="T159" s="136" t="str">
        <f t="shared" si="24"/>
        <v>0h0</v>
      </c>
    </row>
    <row r="160" spans="2:20" x14ac:dyDescent="0.3">
      <c r="B160" s="135">
        <f t="shared" si="27"/>
        <v>46350</v>
      </c>
      <c r="C160" s="136" t="str">
        <f t="shared" si="21"/>
        <v>Tuesday</v>
      </c>
      <c r="D160" s="145" t="s">
        <v>88</v>
      </c>
      <c r="E160" s="136"/>
      <c r="F160" s="136"/>
      <c r="G160" s="136">
        <f t="shared" si="28"/>
        <v>0</v>
      </c>
      <c r="H160" s="136" t="str">
        <f t="shared" si="25"/>
        <v>0h0</v>
      </c>
      <c r="I160" s="145" t="s">
        <v>88</v>
      </c>
      <c r="J160" s="136"/>
      <c r="K160" s="136"/>
      <c r="L160" s="136">
        <f t="shared" si="29"/>
        <v>0</v>
      </c>
      <c r="M160" s="136" t="str">
        <f t="shared" si="22"/>
        <v>0h0</v>
      </c>
      <c r="N160" s="145" t="s">
        <v>88</v>
      </c>
      <c r="O160" s="136"/>
      <c r="P160" s="136"/>
      <c r="Q160" s="136">
        <f t="shared" si="30"/>
        <v>0</v>
      </c>
      <c r="R160" s="136" t="str">
        <f t="shared" si="23"/>
        <v>0h0</v>
      </c>
      <c r="S160" s="145">
        <f t="shared" si="26"/>
        <v>0</v>
      </c>
      <c r="T160" s="136" t="str">
        <f t="shared" si="24"/>
        <v>0h0</v>
      </c>
    </row>
    <row r="161" spans="2:20" x14ac:dyDescent="0.3">
      <c r="B161" s="135">
        <f t="shared" si="27"/>
        <v>46351</v>
      </c>
      <c r="C161" s="136" t="str">
        <f t="shared" si="21"/>
        <v>Wednesday</v>
      </c>
      <c r="D161" s="145" t="s">
        <v>88</v>
      </c>
      <c r="E161" s="136"/>
      <c r="F161" s="136"/>
      <c r="G161" s="136">
        <f t="shared" si="28"/>
        <v>0</v>
      </c>
      <c r="H161" s="136" t="str">
        <f t="shared" si="25"/>
        <v>0h0</v>
      </c>
      <c r="I161" s="145" t="s">
        <v>88</v>
      </c>
      <c r="J161" s="136"/>
      <c r="K161" s="136"/>
      <c r="L161" s="136">
        <f t="shared" si="29"/>
        <v>0</v>
      </c>
      <c r="M161" s="136" t="str">
        <f t="shared" si="22"/>
        <v>0h0</v>
      </c>
      <c r="N161" s="145" t="s">
        <v>88</v>
      </c>
      <c r="O161" s="136"/>
      <c r="P161" s="136"/>
      <c r="Q161" s="136">
        <f t="shared" si="30"/>
        <v>0</v>
      </c>
      <c r="R161" s="136" t="str">
        <f t="shared" si="23"/>
        <v>0h0</v>
      </c>
      <c r="S161" s="145">
        <f t="shared" si="26"/>
        <v>0</v>
      </c>
      <c r="T161" s="136" t="str">
        <f t="shared" si="24"/>
        <v>0h0</v>
      </c>
    </row>
    <row r="162" spans="2:20" x14ac:dyDescent="0.3">
      <c r="B162" s="135">
        <f t="shared" si="27"/>
        <v>46352</v>
      </c>
      <c r="C162" s="136" t="str">
        <f t="shared" si="21"/>
        <v>Thursday</v>
      </c>
      <c r="D162" s="145" t="s">
        <v>88</v>
      </c>
      <c r="E162" s="136"/>
      <c r="F162" s="136"/>
      <c r="G162" s="136">
        <f t="shared" si="28"/>
        <v>0</v>
      </c>
      <c r="H162" s="136" t="str">
        <f t="shared" si="25"/>
        <v>0h0</v>
      </c>
      <c r="I162" s="145" t="s">
        <v>88</v>
      </c>
      <c r="J162" s="136"/>
      <c r="K162" s="136"/>
      <c r="L162" s="136">
        <f t="shared" si="29"/>
        <v>0</v>
      </c>
      <c r="M162" s="136" t="str">
        <f t="shared" si="22"/>
        <v>0h0</v>
      </c>
      <c r="N162" s="145" t="s">
        <v>88</v>
      </c>
      <c r="O162" s="136"/>
      <c r="P162" s="136"/>
      <c r="Q162" s="136">
        <f t="shared" si="30"/>
        <v>0</v>
      </c>
      <c r="R162" s="136" t="str">
        <f t="shared" si="23"/>
        <v>0h0</v>
      </c>
      <c r="S162" s="145">
        <f t="shared" si="26"/>
        <v>0</v>
      </c>
      <c r="T162" s="136" t="str">
        <f t="shared" si="24"/>
        <v>0h0</v>
      </c>
    </row>
    <row r="163" spans="2:20" x14ac:dyDescent="0.3">
      <c r="B163" s="135">
        <f t="shared" si="27"/>
        <v>46353</v>
      </c>
      <c r="C163" s="136" t="str">
        <f t="shared" si="21"/>
        <v>Friday</v>
      </c>
      <c r="D163" s="145" t="s">
        <v>88</v>
      </c>
      <c r="E163" s="136"/>
      <c r="F163" s="136"/>
      <c r="G163" s="136">
        <f t="shared" si="28"/>
        <v>0</v>
      </c>
      <c r="H163" s="136" t="str">
        <f t="shared" si="25"/>
        <v>0h0</v>
      </c>
      <c r="I163" s="145" t="s">
        <v>88</v>
      </c>
      <c r="J163" s="136"/>
      <c r="K163" s="136"/>
      <c r="L163" s="136">
        <f t="shared" si="29"/>
        <v>0</v>
      </c>
      <c r="M163" s="136" t="str">
        <f t="shared" si="22"/>
        <v>0h0</v>
      </c>
      <c r="N163" s="145" t="s">
        <v>88</v>
      </c>
      <c r="O163" s="136"/>
      <c r="P163" s="136"/>
      <c r="Q163" s="136">
        <f t="shared" si="30"/>
        <v>0</v>
      </c>
      <c r="R163" s="136" t="str">
        <f t="shared" si="23"/>
        <v>0h0</v>
      </c>
      <c r="S163" s="145">
        <f t="shared" si="26"/>
        <v>0</v>
      </c>
      <c r="T163" s="136" t="str">
        <f t="shared" si="24"/>
        <v>0h0</v>
      </c>
    </row>
    <row r="164" spans="2:20" x14ac:dyDescent="0.3">
      <c r="B164" s="135">
        <f t="shared" si="27"/>
        <v>46354</v>
      </c>
      <c r="C164" s="136" t="str">
        <f t="shared" si="21"/>
        <v>Saturday</v>
      </c>
      <c r="D164" s="145" t="s">
        <v>88</v>
      </c>
      <c r="E164" s="136"/>
      <c r="F164" s="136"/>
      <c r="G164" s="136">
        <f t="shared" si="28"/>
        <v>0</v>
      </c>
      <c r="H164" s="136" t="str">
        <f t="shared" si="25"/>
        <v>0h0</v>
      </c>
      <c r="I164" s="145" t="s">
        <v>88</v>
      </c>
      <c r="J164" s="136"/>
      <c r="K164" s="136"/>
      <c r="L164" s="136">
        <f t="shared" si="29"/>
        <v>0</v>
      </c>
      <c r="M164" s="136" t="str">
        <f t="shared" si="22"/>
        <v>0h0</v>
      </c>
      <c r="N164" s="145" t="s">
        <v>88</v>
      </c>
      <c r="O164" s="136"/>
      <c r="P164" s="136"/>
      <c r="Q164" s="136">
        <f t="shared" si="30"/>
        <v>0</v>
      </c>
      <c r="R164" s="136" t="str">
        <f t="shared" si="23"/>
        <v>0h0</v>
      </c>
      <c r="S164" s="145">
        <f t="shared" si="26"/>
        <v>0</v>
      </c>
      <c r="T164" s="136" t="str">
        <f t="shared" si="24"/>
        <v>0h0</v>
      </c>
    </row>
    <row r="165" spans="2:20" x14ac:dyDescent="0.3">
      <c r="B165" s="135">
        <f t="shared" si="27"/>
        <v>46355</v>
      </c>
      <c r="C165" s="136" t="str">
        <f t="shared" si="21"/>
        <v>Sunday</v>
      </c>
      <c r="D165" s="145" t="s">
        <v>88</v>
      </c>
      <c r="E165" s="136"/>
      <c r="F165" s="136"/>
      <c r="G165" s="136">
        <f t="shared" si="28"/>
        <v>0</v>
      </c>
      <c r="H165" s="136" t="str">
        <f t="shared" si="25"/>
        <v>0h0</v>
      </c>
      <c r="I165" s="145" t="s">
        <v>88</v>
      </c>
      <c r="J165" s="136"/>
      <c r="K165" s="136"/>
      <c r="L165" s="136">
        <f t="shared" si="29"/>
        <v>0</v>
      </c>
      <c r="M165" s="136" t="str">
        <f t="shared" si="22"/>
        <v>0h0</v>
      </c>
      <c r="N165" s="145" t="s">
        <v>88</v>
      </c>
      <c r="O165" s="136"/>
      <c r="P165" s="136"/>
      <c r="Q165" s="136">
        <f t="shared" si="30"/>
        <v>0</v>
      </c>
      <c r="R165" s="136" t="str">
        <f t="shared" si="23"/>
        <v>0h0</v>
      </c>
      <c r="S165" s="145">
        <f t="shared" si="26"/>
        <v>0</v>
      </c>
      <c r="T165" s="136" t="str">
        <f t="shared" si="24"/>
        <v>0h0</v>
      </c>
    </row>
    <row r="166" spans="2:20" x14ac:dyDescent="0.3">
      <c r="B166" s="135">
        <f t="shared" si="27"/>
        <v>46356</v>
      </c>
      <c r="C166" s="136" t="str">
        <f t="shared" si="21"/>
        <v>Monday</v>
      </c>
      <c r="D166" s="145" t="s">
        <v>88</v>
      </c>
      <c r="E166" s="136"/>
      <c r="F166" s="136"/>
      <c r="G166" s="136">
        <f t="shared" si="28"/>
        <v>0</v>
      </c>
      <c r="H166" s="136" t="str">
        <f t="shared" si="25"/>
        <v>0h0</v>
      </c>
      <c r="I166" s="145" t="s">
        <v>88</v>
      </c>
      <c r="J166" s="136"/>
      <c r="K166" s="136"/>
      <c r="L166" s="136">
        <f t="shared" si="29"/>
        <v>0</v>
      </c>
      <c r="M166" s="136" t="str">
        <f t="shared" si="22"/>
        <v>0h0</v>
      </c>
      <c r="N166" s="145" t="s">
        <v>88</v>
      </c>
      <c r="O166" s="136"/>
      <c r="P166" s="136"/>
      <c r="Q166" s="136">
        <f t="shared" si="30"/>
        <v>0</v>
      </c>
      <c r="R166" s="136" t="str">
        <f t="shared" si="23"/>
        <v>0h0</v>
      </c>
      <c r="S166" s="145">
        <f t="shared" si="26"/>
        <v>0</v>
      </c>
      <c r="T166" s="136" t="str">
        <f t="shared" si="24"/>
        <v>0h0</v>
      </c>
    </row>
    <row r="167" spans="2:20" x14ac:dyDescent="0.3">
      <c r="B167" s="135">
        <f t="shared" si="27"/>
        <v>46357</v>
      </c>
      <c r="C167" s="136" t="str">
        <f t="shared" si="21"/>
        <v>Tuesday</v>
      </c>
      <c r="D167" s="145" t="s">
        <v>88</v>
      </c>
      <c r="E167" s="136"/>
      <c r="F167" s="136"/>
      <c r="G167" s="136">
        <f t="shared" si="28"/>
        <v>0</v>
      </c>
      <c r="H167" s="136" t="str">
        <f t="shared" si="25"/>
        <v>0h0</v>
      </c>
      <c r="I167" s="145" t="s">
        <v>88</v>
      </c>
      <c r="J167" s="136"/>
      <c r="K167" s="136"/>
      <c r="L167" s="136">
        <f t="shared" si="29"/>
        <v>0</v>
      </c>
      <c r="M167" s="136" t="str">
        <f t="shared" si="22"/>
        <v>0h0</v>
      </c>
      <c r="N167" s="145" t="s">
        <v>88</v>
      </c>
      <c r="O167" s="136"/>
      <c r="P167" s="136"/>
      <c r="Q167" s="136">
        <f t="shared" si="30"/>
        <v>0</v>
      </c>
      <c r="R167" s="136" t="str">
        <f t="shared" si="23"/>
        <v>0h0</v>
      </c>
      <c r="S167" s="145">
        <f t="shared" si="26"/>
        <v>0</v>
      </c>
      <c r="T167" s="136" t="str">
        <f t="shared" si="24"/>
        <v>0h0</v>
      </c>
    </row>
    <row r="168" spans="2:20" x14ac:dyDescent="0.3">
      <c r="B168" s="135">
        <f t="shared" si="27"/>
        <v>46358</v>
      </c>
      <c r="C168" s="136" t="str">
        <f t="shared" si="21"/>
        <v>Wednesday</v>
      </c>
      <c r="D168" s="145" t="s">
        <v>88</v>
      </c>
      <c r="E168" s="136"/>
      <c r="F168" s="136"/>
      <c r="G168" s="136">
        <f t="shared" si="28"/>
        <v>0</v>
      </c>
      <c r="H168" s="136" t="str">
        <f t="shared" si="25"/>
        <v>0h0</v>
      </c>
      <c r="I168" s="145" t="s">
        <v>88</v>
      </c>
      <c r="J168" s="136"/>
      <c r="K168" s="136"/>
      <c r="L168" s="136">
        <f t="shared" si="29"/>
        <v>0</v>
      </c>
      <c r="M168" s="136" t="str">
        <f t="shared" si="22"/>
        <v>0h0</v>
      </c>
      <c r="N168" s="145" t="s">
        <v>88</v>
      </c>
      <c r="O168" s="136"/>
      <c r="P168" s="136"/>
      <c r="Q168" s="136">
        <f t="shared" si="30"/>
        <v>0</v>
      </c>
      <c r="R168" s="136" t="str">
        <f t="shared" si="23"/>
        <v>0h0</v>
      </c>
      <c r="S168" s="145">
        <f t="shared" si="26"/>
        <v>0</v>
      </c>
      <c r="T168" s="136" t="str">
        <f t="shared" si="24"/>
        <v>0h0</v>
      </c>
    </row>
    <row r="169" spans="2:20" x14ac:dyDescent="0.3">
      <c r="B169" s="135">
        <f t="shared" si="27"/>
        <v>46359</v>
      </c>
      <c r="C169" s="136" t="str">
        <f t="shared" si="21"/>
        <v>Thursday</v>
      </c>
      <c r="D169" s="145" t="s">
        <v>88</v>
      </c>
      <c r="E169" s="136"/>
      <c r="F169" s="136"/>
      <c r="G169" s="136">
        <f t="shared" si="28"/>
        <v>0</v>
      </c>
      <c r="H169" s="136" t="str">
        <f t="shared" si="25"/>
        <v>0h0</v>
      </c>
      <c r="I169" s="145" t="s">
        <v>88</v>
      </c>
      <c r="J169" s="136"/>
      <c r="K169" s="136"/>
      <c r="L169" s="136">
        <f t="shared" si="29"/>
        <v>0</v>
      </c>
      <c r="M169" s="136" t="str">
        <f t="shared" si="22"/>
        <v>0h0</v>
      </c>
      <c r="N169" s="145" t="s">
        <v>88</v>
      </c>
      <c r="O169" s="136"/>
      <c r="P169" s="136"/>
      <c r="Q169" s="136">
        <f t="shared" si="30"/>
        <v>0</v>
      </c>
      <c r="R169" s="136" t="str">
        <f t="shared" si="23"/>
        <v>0h0</v>
      </c>
      <c r="S169" s="145">
        <f t="shared" si="26"/>
        <v>0</v>
      </c>
      <c r="T169" s="136" t="str">
        <f t="shared" si="24"/>
        <v>0h0</v>
      </c>
    </row>
    <row r="170" spans="2:20" x14ac:dyDescent="0.3">
      <c r="B170" s="135">
        <f t="shared" si="27"/>
        <v>46360</v>
      </c>
      <c r="C170" s="136" t="str">
        <f t="shared" si="21"/>
        <v>Friday</v>
      </c>
      <c r="D170" s="145" t="s">
        <v>88</v>
      </c>
      <c r="E170" s="136"/>
      <c r="F170" s="136"/>
      <c r="G170" s="136">
        <f t="shared" si="28"/>
        <v>0</v>
      </c>
      <c r="H170" s="136" t="str">
        <f t="shared" si="25"/>
        <v>0h0</v>
      </c>
      <c r="I170" s="145" t="s">
        <v>88</v>
      </c>
      <c r="J170" s="136"/>
      <c r="K170" s="136"/>
      <c r="L170" s="136">
        <f t="shared" si="29"/>
        <v>0</v>
      </c>
      <c r="M170" s="136" t="str">
        <f t="shared" si="22"/>
        <v>0h0</v>
      </c>
      <c r="N170" s="145" t="s">
        <v>88</v>
      </c>
      <c r="O170" s="136"/>
      <c r="P170" s="136"/>
      <c r="Q170" s="136">
        <f t="shared" si="30"/>
        <v>0</v>
      </c>
      <c r="R170" s="136" t="str">
        <f t="shared" si="23"/>
        <v>0h0</v>
      </c>
      <c r="S170" s="145">
        <f t="shared" si="26"/>
        <v>0</v>
      </c>
      <c r="T170" s="136" t="str">
        <f t="shared" si="24"/>
        <v>0h0</v>
      </c>
    </row>
    <row r="171" spans="2:20" x14ac:dyDescent="0.3">
      <c r="B171" s="135">
        <f t="shared" si="27"/>
        <v>46361</v>
      </c>
      <c r="C171" s="136" t="str">
        <f t="shared" si="21"/>
        <v>Saturday</v>
      </c>
      <c r="D171" s="145" t="s">
        <v>88</v>
      </c>
      <c r="E171" s="136"/>
      <c r="F171" s="136"/>
      <c r="G171" s="136">
        <f t="shared" si="28"/>
        <v>0</v>
      </c>
      <c r="H171" s="136" t="str">
        <f t="shared" si="25"/>
        <v>0h0</v>
      </c>
      <c r="I171" s="145" t="s">
        <v>88</v>
      </c>
      <c r="J171" s="136"/>
      <c r="K171" s="136"/>
      <c r="L171" s="136">
        <f t="shared" si="29"/>
        <v>0</v>
      </c>
      <c r="M171" s="136" t="str">
        <f t="shared" si="22"/>
        <v>0h0</v>
      </c>
      <c r="N171" s="145" t="s">
        <v>88</v>
      </c>
      <c r="O171" s="136"/>
      <c r="P171" s="136"/>
      <c r="Q171" s="136">
        <f t="shared" si="30"/>
        <v>0</v>
      </c>
      <c r="R171" s="136" t="str">
        <f t="shared" si="23"/>
        <v>0h0</v>
      </c>
      <c r="S171" s="145">
        <f t="shared" si="26"/>
        <v>0</v>
      </c>
      <c r="T171" s="136" t="str">
        <f t="shared" si="24"/>
        <v>0h0</v>
      </c>
    </row>
    <row r="172" spans="2:20" x14ac:dyDescent="0.3">
      <c r="B172" s="135">
        <f t="shared" si="27"/>
        <v>46362</v>
      </c>
      <c r="C172" s="136" t="str">
        <f t="shared" si="21"/>
        <v>Sunday</v>
      </c>
      <c r="D172" s="145" t="s">
        <v>88</v>
      </c>
      <c r="E172" s="136"/>
      <c r="F172" s="136"/>
      <c r="G172" s="136">
        <f t="shared" si="28"/>
        <v>0</v>
      </c>
      <c r="H172" s="136" t="str">
        <f t="shared" si="25"/>
        <v>0h0</v>
      </c>
      <c r="I172" s="145" t="s">
        <v>88</v>
      </c>
      <c r="J172" s="136"/>
      <c r="K172" s="136"/>
      <c r="L172" s="136">
        <f t="shared" si="29"/>
        <v>0</v>
      </c>
      <c r="M172" s="136" t="str">
        <f t="shared" si="22"/>
        <v>0h0</v>
      </c>
      <c r="N172" s="145" t="s">
        <v>88</v>
      </c>
      <c r="O172" s="136"/>
      <c r="P172" s="136"/>
      <c r="Q172" s="136">
        <f t="shared" si="30"/>
        <v>0</v>
      </c>
      <c r="R172" s="136" t="str">
        <f t="shared" si="23"/>
        <v>0h0</v>
      </c>
      <c r="S172" s="145">
        <f t="shared" si="26"/>
        <v>0</v>
      </c>
      <c r="T172" s="136" t="str">
        <f t="shared" si="24"/>
        <v>0h0</v>
      </c>
    </row>
    <row r="173" spans="2:20" x14ac:dyDescent="0.3">
      <c r="B173" s="135">
        <f t="shared" si="27"/>
        <v>46363</v>
      </c>
      <c r="C173" s="136" t="str">
        <f t="shared" si="21"/>
        <v>Monday</v>
      </c>
      <c r="D173" s="145" t="s">
        <v>88</v>
      </c>
      <c r="E173" s="136"/>
      <c r="F173" s="136"/>
      <c r="G173" s="136">
        <f t="shared" si="28"/>
        <v>0</v>
      </c>
      <c r="H173" s="136" t="str">
        <f t="shared" si="25"/>
        <v>0h0</v>
      </c>
      <c r="I173" s="145" t="s">
        <v>88</v>
      </c>
      <c r="J173" s="136"/>
      <c r="K173" s="136"/>
      <c r="L173" s="136">
        <f t="shared" si="29"/>
        <v>0</v>
      </c>
      <c r="M173" s="136" t="str">
        <f t="shared" si="22"/>
        <v>0h0</v>
      </c>
      <c r="N173" s="145" t="s">
        <v>88</v>
      </c>
      <c r="O173" s="136"/>
      <c r="P173" s="136"/>
      <c r="Q173" s="136">
        <f t="shared" si="30"/>
        <v>0</v>
      </c>
      <c r="R173" s="136" t="str">
        <f t="shared" si="23"/>
        <v>0h0</v>
      </c>
      <c r="S173" s="145">
        <f t="shared" si="26"/>
        <v>0</v>
      </c>
      <c r="T173" s="136" t="str">
        <f t="shared" si="24"/>
        <v>0h0</v>
      </c>
    </row>
    <row r="174" spans="2:20" x14ac:dyDescent="0.3">
      <c r="B174" s="135">
        <f t="shared" si="27"/>
        <v>46364</v>
      </c>
      <c r="C174" s="136" t="str">
        <f t="shared" si="21"/>
        <v>Tuesday</v>
      </c>
      <c r="D174" s="145" t="s">
        <v>88</v>
      </c>
      <c r="E174" s="136"/>
      <c r="F174" s="136"/>
      <c r="G174" s="136">
        <f t="shared" si="28"/>
        <v>0</v>
      </c>
      <c r="H174" s="136" t="str">
        <f t="shared" si="25"/>
        <v>0h0</v>
      </c>
      <c r="I174" s="145" t="s">
        <v>88</v>
      </c>
      <c r="J174" s="136"/>
      <c r="K174" s="136"/>
      <c r="L174" s="136">
        <f t="shared" si="29"/>
        <v>0</v>
      </c>
      <c r="M174" s="136" t="str">
        <f t="shared" si="22"/>
        <v>0h0</v>
      </c>
      <c r="N174" s="145" t="s">
        <v>88</v>
      </c>
      <c r="O174" s="136"/>
      <c r="P174" s="136"/>
      <c r="Q174" s="136">
        <f t="shared" si="30"/>
        <v>0</v>
      </c>
      <c r="R174" s="136" t="str">
        <f t="shared" si="23"/>
        <v>0h0</v>
      </c>
      <c r="S174" s="145">
        <f t="shared" si="26"/>
        <v>0</v>
      </c>
      <c r="T174" s="136" t="str">
        <f t="shared" si="24"/>
        <v>0h0</v>
      </c>
    </row>
    <row r="175" spans="2:20" x14ac:dyDescent="0.3">
      <c r="B175" s="135">
        <f t="shared" si="27"/>
        <v>46365</v>
      </c>
      <c r="C175" s="136" t="str">
        <f t="shared" si="21"/>
        <v>Wednesday</v>
      </c>
      <c r="D175" s="145" t="s">
        <v>88</v>
      </c>
      <c r="E175" s="136"/>
      <c r="F175" s="136"/>
      <c r="G175" s="136">
        <f t="shared" si="28"/>
        <v>0</v>
      </c>
      <c r="H175" s="136" t="str">
        <f t="shared" si="25"/>
        <v>0h0</v>
      </c>
      <c r="I175" s="145" t="s">
        <v>88</v>
      </c>
      <c r="J175" s="136"/>
      <c r="K175" s="136"/>
      <c r="L175" s="136">
        <f t="shared" si="29"/>
        <v>0</v>
      </c>
      <c r="M175" s="136" t="str">
        <f t="shared" si="22"/>
        <v>0h0</v>
      </c>
      <c r="N175" s="145" t="s">
        <v>88</v>
      </c>
      <c r="O175" s="136"/>
      <c r="P175" s="136"/>
      <c r="Q175" s="136">
        <f t="shared" si="30"/>
        <v>0</v>
      </c>
      <c r="R175" s="136" t="str">
        <f t="shared" si="23"/>
        <v>0h0</v>
      </c>
      <c r="S175" s="145">
        <f t="shared" si="26"/>
        <v>0</v>
      </c>
      <c r="T175" s="136" t="str">
        <f t="shared" si="24"/>
        <v>0h0</v>
      </c>
    </row>
    <row r="176" spans="2:20" x14ac:dyDescent="0.3">
      <c r="B176" s="135">
        <f t="shared" si="27"/>
        <v>46366</v>
      </c>
      <c r="C176" s="136" t="str">
        <f t="shared" si="21"/>
        <v>Thursday</v>
      </c>
      <c r="D176" s="145" t="s">
        <v>88</v>
      </c>
      <c r="E176" s="136"/>
      <c r="F176" s="136"/>
      <c r="G176" s="136">
        <f t="shared" si="28"/>
        <v>0</v>
      </c>
      <c r="H176" s="136" t="str">
        <f t="shared" si="25"/>
        <v>0h0</v>
      </c>
      <c r="I176" s="145" t="s">
        <v>88</v>
      </c>
      <c r="J176" s="136"/>
      <c r="K176" s="136"/>
      <c r="L176" s="136">
        <f t="shared" si="29"/>
        <v>0</v>
      </c>
      <c r="M176" s="136" t="str">
        <f t="shared" si="22"/>
        <v>0h0</v>
      </c>
      <c r="N176" s="145" t="s">
        <v>88</v>
      </c>
      <c r="O176" s="136"/>
      <c r="P176" s="136"/>
      <c r="Q176" s="136">
        <f t="shared" si="30"/>
        <v>0</v>
      </c>
      <c r="R176" s="136" t="str">
        <f t="shared" si="23"/>
        <v>0h0</v>
      </c>
      <c r="S176" s="145">
        <f t="shared" si="26"/>
        <v>0</v>
      </c>
      <c r="T176" s="136" t="str">
        <f t="shared" si="24"/>
        <v>0h0</v>
      </c>
    </row>
    <row r="177" spans="2:20" x14ac:dyDescent="0.3">
      <c r="B177" s="135">
        <f t="shared" si="27"/>
        <v>46367</v>
      </c>
      <c r="C177" s="136" t="str">
        <f t="shared" si="21"/>
        <v>Friday</v>
      </c>
      <c r="D177" s="145" t="s">
        <v>88</v>
      </c>
      <c r="E177" s="136"/>
      <c r="F177" s="136"/>
      <c r="G177" s="136">
        <f t="shared" si="28"/>
        <v>0</v>
      </c>
      <c r="H177" s="136" t="str">
        <f t="shared" si="25"/>
        <v>0h0</v>
      </c>
      <c r="I177" s="145" t="s">
        <v>88</v>
      </c>
      <c r="J177" s="136"/>
      <c r="K177" s="136"/>
      <c r="L177" s="136">
        <f t="shared" si="29"/>
        <v>0</v>
      </c>
      <c r="M177" s="136" t="str">
        <f t="shared" si="22"/>
        <v>0h0</v>
      </c>
      <c r="N177" s="145" t="s">
        <v>88</v>
      </c>
      <c r="O177" s="136"/>
      <c r="P177" s="136"/>
      <c r="Q177" s="136">
        <f t="shared" si="30"/>
        <v>0</v>
      </c>
      <c r="R177" s="136" t="str">
        <f t="shared" si="23"/>
        <v>0h0</v>
      </c>
      <c r="S177" s="145">
        <f t="shared" si="26"/>
        <v>0</v>
      </c>
      <c r="T177" s="136" t="str">
        <f t="shared" si="24"/>
        <v>0h0</v>
      </c>
    </row>
    <row r="178" spans="2:20" x14ac:dyDescent="0.3">
      <c r="B178" s="135">
        <f t="shared" si="27"/>
        <v>46368</v>
      </c>
      <c r="C178" s="136" t="str">
        <f t="shared" si="21"/>
        <v>Saturday</v>
      </c>
      <c r="D178" s="145" t="s">
        <v>88</v>
      </c>
      <c r="E178" s="136"/>
      <c r="F178" s="136"/>
      <c r="G178" s="136">
        <f t="shared" si="28"/>
        <v>0</v>
      </c>
      <c r="H178" s="136" t="str">
        <f t="shared" si="25"/>
        <v>0h0</v>
      </c>
      <c r="I178" s="145" t="s">
        <v>88</v>
      </c>
      <c r="J178" s="136"/>
      <c r="K178" s="136"/>
      <c r="L178" s="136">
        <f t="shared" si="29"/>
        <v>0</v>
      </c>
      <c r="M178" s="136" t="str">
        <f t="shared" si="22"/>
        <v>0h0</v>
      </c>
      <c r="N178" s="145" t="s">
        <v>88</v>
      </c>
      <c r="O178" s="136"/>
      <c r="P178" s="136"/>
      <c r="Q178" s="136">
        <f t="shared" si="30"/>
        <v>0</v>
      </c>
      <c r="R178" s="136" t="str">
        <f t="shared" si="23"/>
        <v>0h0</v>
      </c>
      <c r="S178" s="145">
        <f t="shared" si="26"/>
        <v>0</v>
      </c>
      <c r="T178" s="136" t="str">
        <f t="shared" si="24"/>
        <v>0h0</v>
      </c>
    </row>
    <row r="179" spans="2:20" x14ac:dyDescent="0.3">
      <c r="B179" s="135">
        <f t="shared" si="27"/>
        <v>46369</v>
      </c>
      <c r="C179" s="136" t="str">
        <f t="shared" si="21"/>
        <v>Sunday</v>
      </c>
      <c r="D179" s="145" t="s">
        <v>88</v>
      </c>
      <c r="E179" s="136"/>
      <c r="F179" s="136"/>
      <c r="G179" s="136">
        <f t="shared" si="28"/>
        <v>0</v>
      </c>
      <c r="H179" s="136" t="str">
        <f t="shared" si="25"/>
        <v>0h0</v>
      </c>
      <c r="I179" s="145" t="s">
        <v>88</v>
      </c>
      <c r="J179" s="136"/>
      <c r="K179" s="136"/>
      <c r="L179" s="136">
        <f t="shared" si="29"/>
        <v>0</v>
      </c>
      <c r="M179" s="136" t="str">
        <f t="shared" si="22"/>
        <v>0h0</v>
      </c>
      <c r="N179" s="145" t="s">
        <v>88</v>
      </c>
      <c r="O179" s="136"/>
      <c r="P179" s="136"/>
      <c r="Q179" s="136">
        <f t="shared" si="30"/>
        <v>0</v>
      </c>
      <c r="R179" s="136" t="str">
        <f t="shared" si="23"/>
        <v>0h0</v>
      </c>
      <c r="S179" s="145">
        <f t="shared" si="26"/>
        <v>0</v>
      </c>
      <c r="T179" s="136" t="str">
        <f t="shared" si="24"/>
        <v>0h0</v>
      </c>
    </row>
    <row r="180" spans="2:20" x14ac:dyDescent="0.3">
      <c r="B180" s="135">
        <f t="shared" si="27"/>
        <v>46370</v>
      </c>
      <c r="C180" s="136" t="str">
        <f t="shared" si="21"/>
        <v>Monday</v>
      </c>
      <c r="D180" s="145" t="s">
        <v>88</v>
      </c>
      <c r="E180" s="136"/>
      <c r="F180" s="136"/>
      <c r="G180" s="136">
        <f t="shared" si="28"/>
        <v>0</v>
      </c>
      <c r="H180" s="136" t="str">
        <f t="shared" si="25"/>
        <v>0h0</v>
      </c>
      <c r="I180" s="145" t="s">
        <v>88</v>
      </c>
      <c r="J180" s="136"/>
      <c r="K180" s="136"/>
      <c r="L180" s="136">
        <f t="shared" si="29"/>
        <v>0</v>
      </c>
      <c r="M180" s="136" t="str">
        <f t="shared" si="22"/>
        <v>0h0</v>
      </c>
      <c r="N180" s="145" t="s">
        <v>88</v>
      </c>
      <c r="O180" s="136"/>
      <c r="P180" s="136"/>
      <c r="Q180" s="136">
        <f t="shared" si="30"/>
        <v>0</v>
      </c>
      <c r="R180" s="136" t="str">
        <f t="shared" si="23"/>
        <v>0h0</v>
      </c>
      <c r="S180" s="145">
        <f t="shared" si="26"/>
        <v>0</v>
      </c>
      <c r="T180" s="136" t="str">
        <f t="shared" si="24"/>
        <v>0h0</v>
      </c>
    </row>
    <row r="181" spans="2:20" x14ac:dyDescent="0.3">
      <c r="B181" s="135">
        <f t="shared" si="27"/>
        <v>46371</v>
      </c>
      <c r="C181" s="136" t="str">
        <f t="shared" si="21"/>
        <v>Tuesday</v>
      </c>
      <c r="D181" s="145" t="s">
        <v>88</v>
      </c>
      <c r="E181" s="136"/>
      <c r="F181" s="136"/>
      <c r="G181" s="136">
        <f t="shared" si="28"/>
        <v>0</v>
      </c>
      <c r="H181" s="136" t="str">
        <f t="shared" si="25"/>
        <v>0h0</v>
      </c>
      <c r="I181" s="145" t="s">
        <v>88</v>
      </c>
      <c r="J181" s="136"/>
      <c r="K181" s="136"/>
      <c r="L181" s="136">
        <f t="shared" si="29"/>
        <v>0</v>
      </c>
      <c r="M181" s="136" t="str">
        <f t="shared" si="22"/>
        <v>0h0</v>
      </c>
      <c r="N181" s="145" t="s">
        <v>88</v>
      </c>
      <c r="O181" s="136"/>
      <c r="P181" s="136"/>
      <c r="Q181" s="136">
        <f t="shared" si="30"/>
        <v>0</v>
      </c>
      <c r="R181" s="136" t="str">
        <f t="shared" si="23"/>
        <v>0h0</v>
      </c>
      <c r="S181" s="145">
        <f t="shared" si="26"/>
        <v>0</v>
      </c>
      <c r="T181" s="136" t="str">
        <f t="shared" si="24"/>
        <v>0h0</v>
      </c>
    </row>
    <row r="182" spans="2:20" x14ac:dyDescent="0.3">
      <c r="B182" s="135">
        <f t="shared" si="27"/>
        <v>46372</v>
      </c>
      <c r="C182" s="136" t="str">
        <f t="shared" si="21"/>
        <v>Wednesday</v>
      </c>
      <c r="D182" s="145" t="s">
        <v>88</v>
      </c>
      <c r="E182" s="136"/>
      <c r="F182" s="136"/>
      <c r="G182" s="136">
        <f t="shared" si="28"/>
        <v>0</v>
      </c>
      <c r="H182" s="136" t="str">
        <f t="shared" si="25"/>
        <v>0h0</v>
      </c>
      <c r="I182" s="145" t="s">
        <v>88</v>
      </c>
      <c r="J182" s="136"/>
      <c r="K182" s="136"/>
      <c r="L182" s="136">
        <f t="shared" si="29"/>
        <v>0</v>
      </c>
      <c r="M182" s="136" t="str">
        <f t="shared" si="22"/>
        <v>0h0</v>
      </c>
      <c r="N182" s="145" t="s">
        <v>88</v>
      </c>
      <c r="O182" s="136"/>
      <c r="P182" s="136"/>
      <c r="Q182" s="136">
        <f t="shared" si="30"/>
        <v>0</v>
      </c>
      <c r="R182" s="136" t="str">
        <f t="shared" si="23"/>
        <v>0h0</v>
      </c>
      <c r="S182" s="145">
        <f t="shared" si="26"/>
        <v>0</v>
      </c>
      <c r="T182" s="136" t="str">
        <f t="shared" si="24"/>
        <v>0h0</v>
      </c>
    </row>
    <row r="183" spans="2:20" x14ac:dyDescent="0.3">
      <c r="B183" s="135">
        <f t="shared" si="27"/>
        <v>46373</v>
      </c>
      <c r="C183" s="136" t="str">
        <f t="shared" si="21"/>
        <v>Thursday</v>
      </c>
      <c r="D183" s="145" t="s">
        <v>88</v>
      </c>
      <c r="E183" s="136"/>
      <c r="F183" s="136"/>
      <c r="G183" s="136">
        <f t="shared" si="28"/>
        <v>0</v>
      </c>
      <c r="H183" s="136" t="str">
        <f t="shared" si="25"/>
        <v>0h0</v>
      </c>
      <c r="I183" s="145" t="s">
        <v>88</v>
      </c>
      <c r="J183" s="136"/>
      <c r="K183" s="136"/>
      <c r="L183" s="136">
        <f t="shared" si="29"/>
        <v>0</v>
      </c>
      <c r="M183" s="136" t="str">
        <f t="shared" si="22"/>
        <v>0h0</v>
      </c>
      <c r="N183" s="145" t="s">
        <v>88</v>
      </c>
      <c r="O183" s="136"/>
      <c r="P183" s="136"/>
      <c r="Q183" s="136">
        <f t="shared" si="30"/>
        <v>0</v>
      </c>
      <c r="R183" s="136" t="str">
        <f t="shared" si="23"/>
        <v>0h0</v>
      </c>
      <c r="S183" s="145">
        <f t="shared" si="26"/>
        <v>0</v>
      </c>
      <c r="T183" s="136" t="str">
        <f t="shared" si="24"/>
        <v>0h0</v>
      </c>
    </row>
    <row r="184" spans="2:20" x14ac:dyDescent="0.3">
      <c r="B184" s="135">
        <f t="shared" si="27"/>
        <v>46374</v>
      </c>
      <c r="C184" s="136" t="str">
        <f t="shared" si="21"/>
        <v>Friday</v>
      </c>
      <c r="D184" s="145" t="s">
        <v>88</v>
      </c>
      <c r="E184" s="136"/>
      <c r="F184" s="136"/>
      <c r="G184" s="136">
        <f t="shared" si="28"/>
        <v>0</v>
      </c>
      <c r="H184" s="136" t="str">
        <f t="shared" si="25"/>
        <v>0h0</v>
      </c>
      <c r="I184" s="145" t="s">
        <v>88</v>
      </c>
      <c r="J184" s="136"/>
      <c r="K184" s="136"/>
      <c r="L184" s="136">
        <f t="shared" si="29"/>
        <v>0</v>
      </c>
      <c r="M184" s="136" t="str">
        <f t="shared" si="22"/>
        <v>0h0</v>
      </c>
      <c r="N184" s="145" t="s">
        <v>88</v>
      </c>
      <c r="O184" s="136"/>
      <c r="P184" s="136"/>
      <c r="Q184" s="136">
        <f t="shared" si="30"/>
        <v>0</v>
      </c>
      <c r="R184" s="136" t="str">
        <f t="shared" si="23"/>
        <v>0h0</v>
      </c>
      <c r="S184" s="145">
        <f t="shared" si="26"/>
        <v>0</v>
      </c>
      <c r="T184" s="136" t="str">
        <f t="shared" si="24"/>
        <v>0h0</v>
      </c>
    </row>
    <row r="185" spans="2:20" x14ac:dyDescent="0.3">
      <c r="B185" s="135">
        <f t="shared" si="27"/>
        <v>46375</v>
      </c>
      <c r="C185" s="136" t="str">
        <f t="shared" si="21"/>
        <v>Saturday</v>
      </c>
      <c r="D185" s="145" t="s">
        <v>88</v>
      </c>
      <c r="E185" s="136"/>
      <c r="F185" s="136"/>
      <c r="G185" s="136">
        <f t="shared" si="28"/>
        <v>0</v>
      </c>
      <c r="H185" s="136" t="str">
        <f t="shared" si="25"/>
        <v>0h0</v>
      </c>
      <c r="I185" s="145" t="s">
        <v>88</v>
      </c>
      <c r="J185" s="136"/>
      <c r="K185" s="136"/>
      <c r="L185" s="136">
        <f t="shared" si="29"/>
        <v>0</v>
      </c>
      <c r="M185" s="136" t="str">
        <f t="shared" si="22"/>
        <v>0h0</v>
      </c>
      <c r="N185" s="145" t="s">
        <v>88</v>
      </c>
      <c r="O185" s="136"/>
      <c r="P185" s="136"/>
      <c r="Q185" s="136">
        <f t="shared" si="30"/>
        <v>0</v>
      </c>
      <c r="R185" s="136" t="str">
        <f t="shared" si="23"/>
        <v>0h0</v>
      </c>
      <c r="S185" s="145">
        <f t="shared" si="26"/>
        <v>0</v>
      </c>
      <c r="T185" s="136" t="str">
        <f t="shared" si="24"/>
        <v>0h0</v>
      </c>
    </row>
    <row r="186" spans="2:20" x14ac:dyDescent="0.3">
      <c r="B186" s="135">
        <f t="shared" si="27"/>
        <v>46376</v>
      </c>
      <c r="C186" s="136" t="str">
        <f t="shared" si="21"/>
        <v>Sunday</v>
      </c>
      <c r="D186" s="145" t="s">
        <v>88</v>
      </c>
      <c r="E186" s="136"/>
      <c r="F186" s="136"/>
      <c r="G186" s="136">
        <f t="shared" si="28"/>
        <v>0</v>
      </c>
      <c r="H186" s="136" t="str">
        <f t="shared" si="25"/>
        <v>0h0</v>
      </c>
      <c r="I186" s="145" t="s">
        <v>88</v>
      </c>
      <c r="J186" s="136"/>
      <c r="K186" s="136"/>
      <c r="L186" s="136">
        <f t="shared" si="29"/>
        <v>0</v>
      </c>
      <c r="M186" s="136" t="str">
        <f t="shared" si="22"/>
        <v>0h0</v>
      </c>
      <c r="N186" s="145" t="s">
        <v>88</v>
      </c>
      <c r="O186" s="136"/>
      <c r="P186" s="136"/>
      <c r="Q186" s="136">
        <f t="shared" si="30"/>
        <v>0</v>
      </c>
      <c r="R186" s="136" t="str">
        <f t="shared" si="23"/>
        <v>0h0</v>
      </c>
      <c r="S186" s="145">
        <f t="shared" si="26"/>
        <v>0</v>
      </c>
      <c r="T186" s="136" t="str">
        <f t="shared" si="24"/>
        <v>0h0</v>
      </c>
    </row>
    <row r="187" spans="2:20" x14ac:dyDescent="0.3">
      <c r="B187" s="135">
        <f t="shared" si="27"/>
        <v>46377</v>
      </c>
      <c r="C187" s="136" t="str">
        <f t="shared" si="21"/>
        <v>Monday</v>
      </c>
      <c r="D187" s="145" t="s">
        <v>88</v>
      </c>
      <c r="E187" s="136"/>
      <c r="F187" s="136"/>
      <c r="G187" s="136">
        <f t="shared" si="28"/>
        <v>0</v>
      </c>
      <c r="H187" s="136" t="str">
        <f t="shared" si="25"/>
        <v>0h0</v>
      </c>
      <c r="I187" s="145" t="s">
        <v>88</v>
      </c>
      <c r="J187" s="136"/>
      <c r="K187" s="136"/>
      <c r="L187" s="136">
        <f t="shared" si="29"/>
        <v>0</v>
      </c>
      <c r="M187" s="136" t="str">
        <f t="shared" si="22"/>
        <v>0h0</v>
      </c>
      <c r="N187" s="145" t="s">
        <v>88</v>
      </c>
      <c r="O187" s="136"/>
      <c r="P187" s="136"/>
      <c r="Q187" s="136">
        <f t="shared" si="30"/>
        <v>0</v>
      </c>
      <c r="R187" s="136" t="str">
        <f t="shared" si="23"/>
        <v>0h0</v>
      </c>
      <c r="S187" s="145">
        <f t="shared" si="26"/>
        <v>0</v>
      </c>
      <c r="T187" s="136" t="str">
        <f t="shared" si="24"/>
        <v>0h0</v>
      </c>
    </row>
    <row r="188" spans="2:20" x14ac:dyDescent="0.3">
      <c r="B188" s="135">
        <f t="shared" si="27"/>
        <v>46378</v>
      </c>
      <c r="C188" s="136" t="str">
        <f t="shared" si="21"/>
        <v>Tuesday</v>
      </c>
      <c r="D188" s="145" t="s">
        <v>88</v>
      </c>
      <c r="E188" s="136"/>
      <c r="F188" s="136"/>
      <c r="G188" s="136">
        <f t="shared" si="28"/>
        <v>0</v>
      </c>
      <c r="H188" s="136" t="str">
        <f t="shared" si="25"/>
        <v>0h0</v>
      </c>
      <c r="I188" s="145" t="s">
        <v>88</v>
      </c>
      <c r="J188" s="136"/>
      <c r="K188" s="136"/>
      <c r="L188" s="136">
        <f t="shared" si="29"/>
        <v>0</v>
      </c>
      <c r="M188" s="136" t="str">
        <f t="shared" si="22"/>
        <v>0h0</v>
      </c>
      <c r="N188" s="145" t="s">
        <v>88</v>
      </c>
      <c r="O188" s="136"/>
      <c r="P188" s="136"/>
      <c r="Q188" s="136">
        <f t="shared" si="30"/>
        <v>0</v>
      </c>
      <c r="R188" s="136" t="str">
        <f t="shared" si="23"/>
        <v>0h0</v>
      </c>
      <c r="S188" s="145">
        <f t="shared" si="26"/>
        <v>0</v>
      </c>
      <c r="T188" s="136" t="str">
        <f t="shared" si="24"/>
        <v>0h0</v>
      </c>
    </row>
    <row r="189" spans="2:20" x14ac:dyDescent="0.3">
      <c r="B189" s="135">
        <f t="shared" si="27"/>
        <v>46379</v>
      </c>
      <c r="C189" s="136" t="str">
        <f t="shared" si="21"/>
        <v>Wednesday</v>
      </c>
      <c r="D189" s="145" t="s">
        <v>88</v>
      </c>
      <c r="E189" s="136"/>
      <c r="F189" s="136"/>
      <c r="G189" s="136">
        <f t="shared" si="28"/>
        <v>0</v>
      </c>
      <c r="H189" s="136" t="str">
        <f t="shared" si="25"/>
        <v>0h0</v>
      </c>
      <c r="I189" s="145" t="s">
        <v>88</v>
      </c>
      <c r="J189" s="136"/>
      <c r="K189" s="136"/>
      <c r="L189" s="136">
        <f t="shared" si="29"/>
        <v>0</v>
      </c>
      <c r="M189" s="136" t="str">
        <f t="shared" si="22"/>
        <v>0h0</v>
      </c>
      <c r="N189" s="145" t="s">
        <v>88</v>
      </c>
      <c r="O189" s="136"/>
      <c r="P189" s="136"/>
      <c r="Q189" s="136">
        <f t="shared" si="30"/>
        <v>0</v>
      </c>
      <c r="R189" s="136" t="str">
        <f t="shared" si="23"/>
        <v>0h0</v>
      </c>
      <c r="S189" s="145">
        <f t="shared" si="26"/>
        <v>0</v>
      </c>
      <c r="T189" s="136" t="str">
        <f t="shared" si="24"/>
        <v>0h0</v>
      </c>
    </row>
    <row r="190" spans="2:20" x14ac:dyDescent="0.3">
      <c r="B190" s="135">
        <f t="shared" si="27"/>
        <v>46380</v>
      </c>
      <c r="C190" s="136" t="str">
        <f t="shared" si="21"/>
        <v>Thursday</v>
      </c>
      <c r="D190" s="145" t="s">
        <v>88</v>
      </c>
      <c r="E190" s="136"/>
      <c r="F190" s="136"/>
      <c r="G190" s="136">
        <f t="shared" si="28"/>
        <v>0</v>
      </c>
      <c r="H190" s="136" t="str">
        <f t="shared" si="25"/>
        <v>0h0</v>
      </c>
      <c r="I190" s="145" t="s">
        <v>88</v>
      </c>
      <c r="J190" s="136"/>
      <c r="K190" s="136"/>
      <c r="L190" s="136">
        <f t="shared" si="29"/>
        <v>0</v>
      </c>
      <c r="M190" s="136" t="str">
        <f t="shared" si="22"/>
        <v>0h0</v>
      </c>
      <c r="N190" s="145" t="s">
        <v>88</v>
      </c>
      <c r="O190" s="136"/>
      <c r="P190" s="136"/>
      <c r="Q190" s="136">
        <f t="shared" si="30"/>
        <v>0</v>
      </c>
      <c r="R190" s="136" t="str">
        <f t="shared" si="23"/>
        <v>0h0</v>
      </c>
      <c r="S190" s="145">
        <f t="shared" si="26"/>
        <v>0</v>
      </c>
      <c r="T190" s="136" t="str">
        <f t="shared" si="24"/>
        <v>0h0</v>
      </c>
    </row>
    <row r="191" spans="2:20" x14ac:dyDescent="0.3">
      <c r="B191" s="135">
        <f t="shared" si="27"/>
        <v>46381</v>
      </c>
      <c r="C191" s="136" t="str">
        <f t="shared" si="21"/>
        <v>Friday</v>
      </c>
      <c r="D191" s="145" t="s">
        <v>88</v>
      </c>
      <c r="E191" s="136"/>
      <c r="F191" s="136"/>
      <c r="G191" s="136">
        <f t="shared" si="28"/>
        <v>0</v>
      </c>
      <c r="H191" s="136" t="str">
        <f t="shared" si="25"/>
        <v>0h0</v>
      </c>
      <c r="I191" s="145" t="s">
        <v>88</v>
      </c>
      <c r="J191" s="136"/>
      <c r="K191" s="136"/>
      <c r="L191" s="136">
        <f t="shared" si="29"/>
        <v>0</v>
      </c>
      <c r="M191" s="136" t="str">
        <f t="shared" si="22"/>
        <v>0h0</v>
      </c>
      <c r="N191" s="145" t="s">
        <v>88</v>
      </c>
      <c r="O191" s="136"/>
      <c r="P191" s="136"/>
      <c r="Q191" s="136">
        <f t="shared" si="30"/>
        <v>0</v>
      </c>
      <c r="R191" s="136" t="str">
        <f t="shared" si="23"/>
        <v>0h0</v>
      </c>
      <c r="S191" s="145">
        <f t="shared" si="26"/>
        <v>0</v>
      </c>
      <c r="T191" s="136" t="str">
        <f t="shared" si="24"/>
        <v>0h0</v>
      </c>
    </row>
    <row r="192" spans="2:20" x14ac:dyDescent="0.3">
      <c r="B192" s="135">
        <f t="shared" si="27"/>
        <v>46382</v>
      </c>
      <c r="C192" s="136" t="str">
        <f t="shared" si="21"/>
        <v>Saturday</v>
      </c>
      <c r="D192" s="145" t="s">
        <v>88</v>
      </c>
      <c r="E192" s="136"/>
      <c r="F192" s="136"/>
      <c r="G192" s="136">
        <f t="shared" si="28"/>
        <v>0</v>
      </c>
      <c r="H192" s="136" t="str">
        <f t="shared" si="25"/>
        <v>0h0</v>
      </c>
      <c r="I192" s="145" t="s">
        <v>88</v>
      </c>
      <c r="J192" s="136"/>
      <c r="K192" s="136"/>
      <c r="L192" s="136">
        <f t="shared" si="29"/>
        <v>0</v>
      </c>
      <c r="M192" s="136" t="str">
        <f t="shared" si="22"/>
        <v>0h0</v>
      </c>
      <c r="N192" s="145" t="s">
        <v>88</v>
      </c>
      <c r="O192" s="136"/>
      <c r="P192" s="136"/>
      <c r="Q192" s="136">
        <f t="shared" si="30"/>
        <v>0</v>
      </c>
      <c r="R192" s="136" t="str">
        <f t="shared" si="23"/>
        <v>0h0</v>
      </c>
      <c r="S192" s="145">
        <f t="shared" si="26"/>
        <v>0</v>
      </c>
      <c r="T192" s="136" t="str">
        <f t="shared" si="24"/>
        <v>0h0</v>
      </c>
    </row>
    <row r="193" spans="2:20" x14ac:dyDescent="0.3">
      <c r="B193" s="135">
        <f t="shared" si="27"/>
        <v>46383</v>
      </c>
      <c r="C193" s="136" t="str">
        <f t="shared" si="21"/>
        <v>Sunday</v>
      </c>
      <c r="D193" s="145" t="s">
        <v>88</v>
      </c>
      <c r="E193" s="136"/>
      <c r="F193" s="136"/>
      <c r="G193" s="136">
        <f t="shared" si="28"/>
        <v>0</v>
      </c>
      <c r="H193" s="136" t="str">
        <f t="shared" si="25"/>
        <v>0h0</v>
      </c>
      <c r="I193" s="145" t="s">
        <v>88</v>
      </c>
      <c r="J193" s="136"/>
      <c r="K193" s="136"/>
      <c r="L193" s="136">
        <f t="shared" si="29"/>
        <v>0</v>
      </c>
      <c r="M193" s="136" t="str">
        <f t="shared" si="22"/>
        <v>0h0</v>
      </c>
      <c r="N193" s="145" t="s">
        <v>88</v>
      </c>
      <c r="O193" s="136"/>
      <c r="P193" s="136"/>
      <c r="Q193" s="136">
        <f t="shared" si="30"/>
        <v>0</v>
      </c>
      <c r="R193" s="136" t="str">
        <f t="shared" si="23"/>
        <v>0h0</v>
      </c>
      <c r="S193" s="145">
        <f t="shared" si="26"/>
        <v>0</v>
      </c>
      <c r="T193" s="136" t="str">
        <f t="shared" si="24"/>
        <v>0h0</v>
      </c>
    </row>
    <row r="194" spans="2:20" x14ac:dyDescent="0.3">
      <c r="B194" s="135">
        <f t="shared" si="27"/>
        <v>46384</v>
      </c>
      <c r="C194" s="136" t="str">
        <f t="shared" si="21"/>
        <v>Monday</v>
      </c>
      <c r="D194" s="145" t="s">
        <v>88</v>
      </c>
      <c r="E194" s="136"/>
      <c r="F194" s="136"/>
      <c r="G194" s="136">
        <f t="shared" si="28"/>
        <v>0</v>
      </c>
      <c r="H194" s="136" t="str">
        <f t="shared" si="25"/>
        <v>0h0</v>
      </c>
      <c r="I194" s="145" t="s">
        <v>88</v>
      </c>
      <c r="J194" s="136"/>
      <c r="K194" s="136"/>
      <c r="L194" s="136">
        <f t="shared" si="29"/>
        <v>0</v>
      </c>
      <c r="M194" s="136" t="str">
        <f t="shared" si="22"/>
        <v>0h0</v>
      </c>
      <c r="N194" s="145" t="s">
        <v>88</v>
      </c>
      <c r="O194" s="136"/>
      <c r="P194" s="136"/>
      <c r="Q194" s="136">
        <f t="shared" si="30"/>
        <v>0</v>
      </c>
      <c r="R194" s="136" t="str">
        <f t="shared" si="23"/>
        <v>0h0</v>
      </c>
      <c r="S194" s="145">
        <f t="shared" si="26"/>
        <v>0</v>
      </c>
      <c r="T194" s="136" t="str">
        <f t="shared" si="24"/>
        <v>0h0</v>
      </c>
    </row>
    <row r="195" spans="2:20" x14ac:dyDescent="0.3">
      <c r="B195" s="135">
        <f t="shared" si="27"/>
        <v>46385</v>
      </c>
      <c r="C195" s="136" t="str">
        <f t="shared" si="21"/>
        <v>Tuesday</v>
      </c>
      <c r="D195" s="145" t="s">
        <v>88</v>
      </c>
      <c r="E195" s="136"/>
      <c r="F195" s="136"/>
      <c r="G195" s="136">
        <f t="shared" si="28"/>
        <v>0</v>
      </c>
      <c r="H195" s="136" t="str">
        <f t="shared" si="25"/>
        <v>0h0</v>
      </c>
      <c r="I195" s="145" t="s">
        <v>88</v>
      </c>
      <c r="J195" s="136"/>
      <c r="K195" s="136"/>
      <c r="L195" s="136">
        <f t="shared" si="29"/>
        <v>0</v>
      </c>
      <c r="M195" s="136" t="str">
        <f t="shared" si="22"/>
        <v>0h0</v>
      </c>
      <c r="N195" s="145" t="s">
        <v>88</v>
      </c>
      <c r="O195" s="136"/>
      <c r="P195" s="136"/>
      <c r="Q195" s="136">
        <f t="shared" si="30"/>
        <v>0</v>
      </c>
      <c r="R195" s="136" t="str">
        <f t="shared" si="23"/>
        <v>0h0</v>
      </c>
      <c r="S195" s="145">
        <f t="shared" si="26"/>
        <v>0</v>
      </c>
      <c r="T195" s="136" t="str">
        <f t="shared" si="24"/>
        <v>0h0</v>
      </c>
    </row>
    <row r="196" spans="2:20" x14ac:dyDescent="0.3">
      <c r="B196" s="135">
        <f t="shared" si="27"/>
        <v>46386</v>
      </c>
      <c r="C196" s="136" t="str">
        <f t="shared" si="21"/>
        <v>Wednesday</v>
      </c>
      <c r="D196" s="145" t="s">
        <v>88</v>
      </c>
      <c r="E196" s="136"/>
      <c r="F196" s="136"/>
      <c r="G196" s="136">
        <f t="shared" si="28"/>
        <v>0</v>
      </c>
      <c r="H196" s="136" t="str">
        <f t="shared" si="25"/>
        <v>0h0</v>
      </c>
      <c r="I196" s="145" t="s">
        <v>88</v>
      </c>
      <c r="J196" s="136"/>
      <c r="K196" s="136"/>
      <c r="L196" s="136">
        <f t="shared" si="29"/>
        <v>0</v>
      </c>
      <c r="M196" s="136" t="str">
        <f t="shared" si="22"/>
        <v>0h0</v>
      </c>
      <c r="N196" s="145" t="s">
        <v>88</v>
      </c>
      <c r="O196" s="136"/>
      <c r="P196" s="136"/>
      <c r="Q196" s="136">
        <f t="shared" si="30"/>
        <v>0</v>
      </c>
      <c r="R196" s="136" t="str">
        <f t="shared" si="23"/>
        <v>0h0</v>
      </c>
      <c r="S196" s="145">
        <f t="shared" si="26"/>
        <v>0</v>
      </c>
      <c r="T196" s="136" t="str">
        <f t="shared" si="24"/>
        <v>0h0</v>
      </c>
    </row>
    <row r="197" spans="2:20" x14ac:dyDescent="0.3">
      <c r="B197" s="135">
        <f t="shared" si="27"/>
        <v>46387</v>
      </c>
      <c r="C197" s="136" t="str">
        <f t="shared" si="21"/>
        <v>Thursday</v>
      </c>
      <c r="D197" s="145" t="s">
        <v>88</v>
      </c>
      <c r="E197" s="136"/>
      <c r="F197" s="136"/>
      <c r="G197" s="136">
        <f t="shared" si="28"/>
        <v>0</v>
      </c>
      <c r="H197" s="136" t="str">
        <f t="shared" si="25"/>
        <v>0h0</v>
      </c>
      <c r="I197" s="145" t="s">
        <v>88</v>
      </c>
      <c r="J197" s="136"/>
      <c r="K197" s="136"/>
      <c r="L197" s="136">
        <f t="shared" si="29"/>
        <v>0</v>
      </c>
      <c r="M197" s="136" t="str">
        <f t="shared" si="22"/>
        <v>0h0</v>
      </c>
      <c r="N197" s="145" t="s">
        <v>88</v>
      </c>
      <c r="O197" s="136"/>
      <c r="P197" s="136"/>
      <c r="Q197" s="136">
        <f t="shared" si="30"/>
        <v>0</v>
      </c>
      <c r="R197" s="136" t="str">
        <f t="shared" si="23"/>
        <v>0h0</v>
      </c>
      <c r="S197" s="145">
        <f t="shared" si="26"/>
        <v>0</v>
      </c>
      <c r="T197" s="136" t="str">
        <f t="shared" si="24"/>
        <v>0h0</v>
      </c>
    </row>
    <row r="198" spans="2:20" x14ac:dyDescent="0.3">
      <c r="B198" s="135">
        <f t="shared" si="27"/>
        <v>46388</v>
      </c>
      <c r="C198" s="136" t="str">
        <f t="shared" ref="C198:C261" si="31">CHOOSE(WEEKDAY(B198,2),"Monday","Tuesday","Wednesday","Thursday","Friday","Saturday","Sunday")</f>
        <v>Friday</v>
      </c>
      <c r="D198" s="145" t="s">
        <v>88</v>
      </c>
      <c r="E198" s="136"/>
      <c r="F198" s="136"/>
      <c r="G198" s="136">
        <f t="shared" si="28"/>
        <v>0</v>
      </c>
      <c r="H198" s="136" t="str">
        <f t="shared" si="25"/>
        <v>0h0</v>
      </c>
      <c r="I198" s="145" t="s">
        <v>88</v>
      </c>
      <c r="J198" s="136"/>
      <c r="K198" s="136"/>
      <c r="L198" s="136">
        <f t="shared" si="29"/>
        <v>0</v>
      </c>
      <c r="M198" s="136" t="str">
        <f t="shared" ref="M198:M261" si="32">ROUNDDOWN(L198/60, 0)&amp;"h"&amp;ROUNDUP((L198/60-ROUNDDOWN(L198/60, 0))*60,0)</f>
        <v>0h0</v>
      </c>
      <c r="N198" s="145" t="s">
        <v>88</v>
      </c>
      <c r="O198" s="136"/>
      <c r="P198" s="136"/>
      <c r="Q198" s="136">
        <f t="shared" si="30"/>
        <v>0</v>
      </c>
      <c r="R198" s="136" t="str">
        <f t="shared" ref="R198:R261" si="33">ROUNDDOWN(Q198/60, 0)&amp;"h"&amp;ROUNDUP((Q198/60-ROUNDDOWN(Q198/60, 0))*60,0)</f>
        <v>0h0</v>
      </c>
      <c r="S198" s="145">
        <f t="shared" si="26"/>
        <v>0</v>
      </c>
      <c r="T198" s="136" t="str">
        <f t="shared" ref="T198:T261" si="34">ROUNDDOWN(S198/60, 0)&amp;"h"&amp;ROUNDUP((S198/60-ROUNDDOWN(S198/60, 0))*60,0)</f>
        <v>0h0</v>
      </c>
    </row>
    <row r="199" spans="2:20" x14ac:dyDescent="0.3">
      <c r="B199" s="135">
        <f t="shared" si="27"/>
        <v>46389</v>
      </c>
      <c r="C199" s="136" t="str">
        <f t="shared" si="31"/>
        <v>Saturday</v>
      </c>
      <c r="D199" s="145" t="s">
        <v>88</v>
      </c>
      <c r="E199" s="136"/>
      <c r="F199" s="136"/>
      <c r="G199" s="136">
        <f t="shared" si="28"/>
        <v>0</v>
      </c>
      <c r="H199" s="136" t="str">
        <f t="shared" ref="H199:H262" si="35">ROUNDDOWN(G199/60, 0)&amp;"h"&amp;ROUNDUP((G199/60-ROUNDDOWN(G199/60, 0))*60,0)</f>
        <v>0h0</v>
      </c>
      <c r="I199" s="145" t="s">
        <v>88</v>
      </c>
      <c r="J199" s="136"/>
      <c r="K199" s="136"/>
      <c r="L199" s="136">
        <f t="shared" si="29"/>
        <v>0</v>
      </c>
      <c r="M199" s="136" t="str">
        <f t="shared" si="32"/>
        <v>0h0</v>
      </c>
      <c r="N199" s="145" t="s">
        <v>88</v>
      </c>
      <c r="O199" s="136"/>
      <c r="P199" s="136"/>
      <c r="Q199" s="136">
        <f t="shared" si="30"/>
        <v>0</v>
      </c>
      <c r="R199" s="136" t="str">
        <f t="shared" si="33"/>
        <v>0h0</v>
      </c>
      <c r="S199" s="145">
        <f t="shared" ref="S199:S262" si="36">G199+L199+Q199</f>
        <v>0</v>
      </c>
      <c r="T199" s="136" t="str">
        <f t="shared" si="34"/>
        <v>0h0</v>
      </c>
    </row>
    <row r="200" spans="2:20" x14ac:dyDescent="0.3">
      <c r="B200" s="135">
        <f t="shared" ref="B200:B263" si="37">B199+1</f>
        <v>46390</v>
      </c>
      <c r="C200" s="136" t="str">
        <f t="shared" si="31"/>
        <v>Sunday</v>
      </c>
      <c r="D200" s="145" t="s">
        <v>88</v>
      </c>
      <c r="E200" s="136"/>
      <c r="F200" s="136"/>
      <c r="G200" s="136">
        <f t="shared" ref="G200:G263" si="38">E200*25+F200</f>
        <v>0</v>
      </c>
      <c r="H200" s="136" t="str">
        <f t="shared" si="35"/>
        <v>0h0</v>
      </c>
      <c r="I200" s="145" t="s">
        <v>88</v>
      </c>
      <c r="J200" s="136"/>
      <c r="K200" s="136"/>
      <c r="L200" s="136">
        <f t="shared" ref="L200:L263" si="39">J200*25+K200</f>
        <v>0</v>
      </c>
      <c r="M200" s="136" t="str">
        <f t="shared" si="32"/>
        <v>0h0</v>
      </c>
      <c r="N200" s="145" t="s">
        <v>88</v>
      </c>
      <c r="O200" s="136"/>
      <c r="P200" s="136"/>
      <c r="Q200" s="136">
        <f t="shared" ref="Q200:Q263" si="40">O200*25+P200</f>
        <v>0</v>
      </c>
      <c r="R200" s="136" t="str">
        <f t="shared" si="33"/>
        <v>0h0</v>
      </c>
      <c r="S200" s="145">
        <f t="shared" si="36"/>
        <v>0</v>
      </c>
      <c r="T200" s="136" t="str">
        <f t="shared" si="34"/>
        <v>0h0</v>
      </c>
    </row>
    <row r="201" spans="2:20" x14ac:dyDescent="0.3">
      <c r="B201" s="135">
        <f t="shared" si="37"/>
        <v>46391</v>
      </c>
      <c r="C201" s="136" t="str">
        <f t="shared" si="31"/>
        <v>Monday</v>
      </c>
      <c r="D201" s="145" t="s">
        <v>88</v>
      </c>
      <c r="E201" s="136"/>
      <c r="F201" s="136"/>
      <c r="G201" s="136">
        <f t="shared" si="38"/>
        <v>0</v>
      </c>
      <c r="H201" s="136" t="str">
        <f t="shared" si="35"/>
        <v>0h0</v>
      </c>
      <c r="I201" s="145" t="s">
        <v>88</v>
      </c>
      <c r="J201" s="136"/>
      <c r="K201" s="136"/>
      <c r="L201" s="136">
        <f t="shared" si="39"/>
        <v>0</v>
      </c>
      <c r="M201" s="136" t="str">
        <f t="shared" si="32"/>
        <v>0h0</v>
      </c>
      <c r="N201" s="145" t="s">
        <v>88</v>
      </c>
      <c r="O201" s="136"/>
      <c r="P201" s="136"/>
      <c r="Q201" s="136">
        <f t="shared" si="40"/>
        <v>0</v>
      </c>
      <c r="R201" s="136" t="str">
        <f t="shared" si="33"/>
        <v>0h0</v>
      </c>
      <c r="S201" s="145">
        <f t="shared" si="36"/>
        <v>0</v>
      </c>
      <c r="T201" s="136" t="str">
        <f t="shared" si="34"/>
        <v>0h0</v>
      </c>
    </row>
    <row r="202" spans="2:20" x14ac:dyDescent="0.3">
      <c r="B202" s="135">
        <f t="shared" si="37"/>
        <v>46392</v>
      </c>
      <c r="C202" s="136" t="str">
        <f t="shared" si="31"/>
        <v>Tuesday</v>
      </c>
      <c r="D202" s="145" t="s">
        <v>88</v>
      </c>
      <c r="E202" s="136"/>
      <c r="F202" s="136"/>
      <c r="G202" s="136">
        <f t="shared" si="38"/>
        <v>0</v>
      </c>
      <c r="H202" s="136" t="str">
        <f t="shared" si="35"/>
        <v>0h0</v>
      </c>
      <c r="I202" s="145" t="s">
        <v>88</v>
      </c>
      <c r="J202" s="136"/>
      <c r="K202" s="136"/>
      <c r="L202" s="136">
        <f t="shared" si="39"/>
        <v>0</v>
      </c>
      <c r="M202" s="136" t="str">
        <f t="shared" si="32"/>
        <v>0h0</v>
      </c>
      <c r="N202" s="145" t="s">
        <v>88</v>
      </c>
      <c r="O202" s="136"/>
      <c r="P202" s="136"/>
      <c r="Q202" s="136">
        <f t="shared" si="40"/>
        <v>0</v>
      </c>
      <c r="R202" s="136" t="str">
        <f t="shared" si="33"/>
        <v>0h0</v>
      </c>
      <c r="S202" s="145">
        <f t="shared" si="36"/>
        <v>0</v>
      </c>
      <c r="T202" s="136" t="str">
        <f t="shared" si="34"/>
        <v>0h0</v>
      </c>
    </row>
    <row r="203" spans="2:20" x14ac:dyDescent="0.3">
      <c r="B203" s="135">
        <f t="shared" si="37"/>
        <v>46393</v>
      </c>
      <c r="C203" s="136" t="str">
        <f t="shared" si="31"/>
        <v>Wednesday</v>
      </c>
      <c r="D203" s="145" t="s">
        <v>88</v>
      </c>
      <c r="E203" s="136"/>
      <c r="F203" s="136"/>
      <c r="G203" s="136">
        <f t="shared" si="38"/>
        <v>0</v>
      </c>
      <c r="H203" s="136" t="str">
        <f t="shared" si="35"/>
        <v>0h0</v>
      </c>
      <c r="I203" s="145" t="s">
        <v>88</v>
      </c>
      <c r="J203" s="136"/>
      <c r="K203" s="136"/>
      <c r="L203" s="136">
        <f t="shared" si="39"/>
        <v>0</v>
      </c>
      <c r="M203" s="136" t="str">
        <f t="shared" si="32"/>
        <v>0h0</v>
      </c>
      <c r="N203" s="145" t="s">
        <v>88</v>
      </c>
      <c r="O203" s="136"/>
      <c r="P203" s="136"/>
      <c r="Q203" s="136">
        <f t="shared" si="40"/>
        <v>0</v>
      </c>
      <c r="R203" s="136" t="str">
        <f t="shared" si="33"/>
        <v>0h0</v>
      </c>
      <c r="S203" s="145">
        <f t="shared" si="36"/>
        <v>0</v>
      </c>
      <c r="T203" s="136" t="str">
        <f t="shared" si="34"/>
        <v>0h0</v>
      </c>
    </row>
    <row r="204" spans="2:20" x14ac:dyDescent="0.3">
      <c r="B204" s="135">
        <f t="shared" si="37"/>
        <v>46394</v>
      </c>
      <c r="C204" s="136" t="str">
        <f t="shared" si="31"/>
        <v>Thursday</v>
      </c>
      <c r="D204" s="145" t="s">
        <v>88</v>
      </c>
      <c r="E204" s="136"/>
      <c r="F204" s="136"/>
      <c r="G204" s="136">
        <f t="shared" si="38"/>
        <v>0</v>
      </c>
      <c r="H204" s="136" t="str">
        <f t="shared" si="35"/>
        <v>0h0</v>
      </c>
      <c r="I204" s="145" t="s">
        <v>88</v>
      </c>
      <c r="J204" s="136"/>
      <c r="K204" s="136"/>
      <c r="L204" s="136">
        <f t="shared" si="39"/>
        <v>0</v>
      </c>
      <c r="M204" s="136" t="str">
        <f t="shared" si="32"/>
        <v>0h0</v>
      </c>
      <c r="N204" s="145" t="s">
        <v>88</v>
      </c>
      <c r="O204" s="136"/>
      <c r="P204" s="136"/>
      <c r="Q204" s="136">
        <f t="shared" si="40"/>
        <v>0</v>
      </c>
      <c r="R204" s="136" t="str">
        <f t="shared" si="33"/>
        <v>0h0</v>
      </c>
      <c r="S204" s="145">
        <f t="shared" si="36"/>
        <v>0</v>
      </c>
      <c r="T204" s="136" t="str">
        <f t="shared" si="34"/>
        <v>0h0</v>
      </c>
    </row>
    <row r="205" spans="2:20" x14ac:dyDescent="0.3">
      <c r="B205" s="135">
        <f t="shared" si="37"/>
        <v>46395</v>
      </c>
      <c r="C205" s="136" t="str">
        <f t="shared" si="31"/>
        <v>Friday</v>
      </c>
      <c r="D205" s="145" t="s">
        <v>88</v>
      </c>
      <c r="E205" s="136"/>
      <c r="F205" s="136"/>
      <c r="G205" s="136">
        <f t="shared" si="38"/>
        <v>0</v>
      </c>
      <c r="H205" s="136" t="str">
        <f t="shared" si="35"/>
        <v>0h0</v>
      </c>
      <c r="I205" s="145" t="s">
        <v>88</v>
      </c>
      <c r="J205" s="136"/>
      <c r="K205" s="136"/>
      <c r="L205" s="136">
        <f t="shared" si="39"/>
        <v>0</v>
      </c>
      <c r="M205" s="136" t="str">
        <f t="shared" si="32"/>
        <v>0h0</v>
      </c>
      <c r="N205" s="145" t="s">
        <v>88</v>
      </c>
      <c r="O205" s="136"/>
      <c r="P205" s="136"/>
      <c r="Q205" s="136">
        <f t="shared" si="40"/>
        <v>0</v>
      </c>
      <c r="R205" s="136" t="str">
        <f t="shared" si="33"/>
        <v>0h0</v>
      </c>
      <c r="S205" s="145">
        <f t="shared" si="36"/>
        <v>0</v>
      </c>
      <c r="T205" s="136" t="str">
        <f t="shared" si="34"/>
        <v>0h0</v>
      </c>
    </row>
    <row r="206" spans="2:20" x14ac:dyDescent="0.3">
      <c r="B206" s="135">
        <f t="shared" si="37"/>
        <v>46396</v>
      </c>
      <c r="C206" s="136" t="str">
        <f t="shared" si="31"/>
        <v>Saturday</v>
      </c>
      <c r="D206" s="145" t="s">
        <v>88</v>
      </c>
      <c r="E206" s="136"/>
      <c r="F206" s="136"/>
      <c r="G206" s="136">
        <f t="shared" si="38"/>
        <v>0</v>
      </c>
      <c r="H206" s="136" t="str">
        <f t="shared" si="35"/>
        <v>0h0</v>
      </c>
      <c r="I206" s="145" t="s">
        <v>88</v>
      </c>
      <c r="J206" s="136"/>
      <c r="K206" s="136"/>
      <c r="L206" s="136">
        <f t="shared" si="39"/>
        <v>0</v>
      </c>
      <c r="M206" s="136" t="str">
        <f t="shared" si="32"/>
        <v>0h0</v>
      </c>
      <c r="N206" s="145" t="s">
        <v>88</v>
      </c>
      <c r="O206" s="136"/>
      <c r="P206" s="136"/>
      <c r="Q206" s="136">
        <f t="shared" si="40"/>
        <v>0</v>
      </c>
      <c r="R206" s="136" t="str">
        <f t="shared" si="33"/>
        <v>0h0</v>
      </c>
      <c r="S206" s="145">
        <f t="shared" si="36"/>
        <v>0</v>
      </c>
      <c r="T206" s="136" t="str">
        <f t="shared" si="34"/>
        <v>0h0</v>
      </c>
    </row>
    <row r="207" spans="2:20" x14ac:dyDescent="0.3">
      <c r="B207" s="135">
        <f t="shared" si="37"/>
        <v>46397</v>
      </c>
      <c r="C207" s="136" t="str">
        <f t="shared" si="31"/>
        <v>Sunday</v>
      </c>
      <c r="D207" s="145" t="s">
        <v>88</v>
      </c>
      <c r="E207" s="136"/>
      <c r="F207" s="136"/>
      <c r="G207" s="136">
        <f t="shared" si="38"/>
        <v>0</v>
      </c>
      <c r="H207" s="136" t="str">
        <f t="shared" si="35"/>
        <v>0h0</v>
      </c>
      <c r="I207" s="145" t="s">
        <v>88</v>
      </c>
      <c r="J207" s="136"/>
      <c r="K207" s="136"/>
      <c r="L207" s="136">
        <f t="shared" si="39"/>
        <v>0</v>
      </c>
      <c r="M207" s="136" t="str">
        <f t="shared" si="32"/>
        <v>0h0</v>
      </c>
      <c r="N207" s="145" t="s">
        <v>88</v>
      </c>
      <c r="O207" s="136"/>
      <c r="P207" s="136"/>
      <c r="Q207" s="136">
        <f t="shared" si="40"/>
        <v>0</v>
      </c>
      <c r="R207" s="136" t="str">
        <f t="shared" si="33"/>
        <v>0h0</v>
      </c>
      <c r="S207" s="145">
        <f t="shared" si="36"/>
        <v>0</v>
      </c>
      <c r="T207" s="136" t="str">
        <f t="shared" si="34"/>
        <v>0h0</v>
      </c>
    </row>
    <row r="208" spans="2:20" x14ac:dyDescent="0.3">
      <c r="B208" s="135">
        <f t="shared" si="37"/>
        <v>46398</v>
      </c>
      <c r="C208" s="136" t="str">
        <f t="shared" si="31"/>
        <v>Monday</v>
      </c>
      <c r="D208" s="145" t="s">
        <v>88</v>
      </c>
      <c r="E208" s="136"/>
      <c r="F208" s="136"/>
      <c r="G208" s="136">
        <f t="shared" si="38"/>
        <v>0</v>
      </c>
      <c r="H208" s="136" t="str">
        <f t="shared" si="35"/>
        <v>0h0</v>
      </c>
      <c r="I208" s="145" t="s">
        <v>88</v>
      </c>
      <c r="J208" s="136"/>
      <c r="K208" s="136"/>
      <c r="L208" s="136">
        <f t="shared" si="39"/>
        <v>0</v>
      </c>
      <c r="M208" s="136" t="str">
        <f t="shared" si="32"/>
        <v>0h0</v>
      </c>
      <c r="N208" s="145" t="s">
        <v>88</v>
      </c>
      <c r="O208" s="136"/>
      <c r="P208" s="136"/>
      <c r="Q208" s="136">
        <f t="shared" si="40"/>
        <v>0</v>
      </c>
      <c r="R208" s="136" t="str">
        <f t="shared" si="33"/>
        <v>0h0</v>
      </c>
      <c r="S208" s="145">
        <f t="shared" si="36"/>
        <v>0</v>
      </c>
      <c r="T208" s="136" t="str">
        <f t="shared" si="34"/>
        <v>0h0</v>
      </c>
    </row>
    <row r="209" spans="2:20" x14ac:dyDescent="0.3">
      <c r="B209" s="135">
        <f t="shared" si="37"/>
        <v>46399</v>
      </c>
      <c r="C209" s="136" t="str">
        <f t="shared" si="31"/>
        <v>Tuesday</v>
      </c>
      <c r="D209" s="145" t="s">
        <v>88</v>
      </c>
      <c r="E209" s="136"/>
      <c r="F209" s="136"/>
      <c r="G209" s="136">
        <f t="shared" si="38"/>
        <v>0</v>
      </c>
      <c r="H209" s="136" t="str">
        <f t="shared" si="35"/>
        <v>0h0</v>
      </c>
      <c r="I209" s="145" t="s">
        <v>88</v>
      </c>
      <c r="J209" s="136"/>
      <c r="K209" s="136"/>
      <c r="L209" s="136">
        <f t="shared" si="39"/>
        <v>0</v>
      </c>
      <c r="M209" s="136" t="str">
        <f t="shared" si="32"/>
        <v>0h0</v>
      </c>
      <c r="N209" s="145" t="s">
        <v>88</v>
      </c>
      <c r="O209" s="136"/>
      <c r="P209" s="136"/>
      <c r="Q209" s="136">
        <f t="shared" si="40"/>
        <v>0</v>
      </c>
      <c r="R209" s="136" t="str">
        <f t="shared" si="33"/>
        <v>0h0</v>
      </c>
      <c r="S209" s="145">
        <f t="shared" si="36"/>
        <v>0</v>
      </c>
      <c r="T209" s="136" t="str">
        <f t="shared" si="34"/>
        <v>0h0</v>
      </c>
    </row>
    <row r="210" spans="2:20" x14ac:dyDescent="0.3">
      <c r="B210" s="135">
        <f t="shared" si="37"/>
        <v>46400</v>
      </c>
      <c r="C210" s="136" t="str">
        <f t="shared" si="31"/>
        <v>Wednesday</v>
      </c>
      <c r="D210" s="145" t="s">
        <v>88</v>
      </c>
      <c r="E210" s="136"/>
      <c r="F210" s="136"/>
      <c r="G210" s="136">
        <f t="shared" si="38"/>
        <v>0</v>
      </c>
      <c r="H210" s="136" t="str">
        <f t="shared" si="35"/>
        <v>0h0</v>
      </c>
      <c r="I210" s="145" t="s">
        <v>88</v>
      </c>
      <c r="J210" s="136"/>
      <c r="K210" s="136"/>
      <c r="L210" s="136">
        <f t="shared" si="39"/>
        <v>0</v>
      </c>
      <c r="M210" s="136" t="str">
        <f t="shared" si="32"/>
        <v>0h0</v>
      </c>
      <c r="N210" s="145" t="s">
        <v>88</v>
      </c>
      <c r="O210" s="136"/>
      <c r="P210" s="136"/>
      <c r="Q210" s="136">
        <f t="shared" si="40"/>
        <v>0</v>
      </c>
      <c r="R210" s="136" t="str">
        <f t="shared" si="33"/>
        <v>0h0</v>
      </c>
      <c r="S210" s="145">
        <f t="shared" si="36"/>
        <v>0</v>
      </c>
      <c r="T210" s="136" t="str">
        <f t="shared" si="34"/>
        <v>0h0</v>
      </c>
    </row>
    <row r="211" spans="2:20" x14ac:dyDescent="0.3">
      <c r="B211" s="135">
        <f t="shared" si="37"/>
        <v>46401</v>
      </c>
      <c r="C211" s="136" t="str">
        <f t="shared" si="31"/>
        <v>Thursday</v>
      </c>
      <c r="D211" s="145" t="s">
        <v>88</v>
      </c>
      <c r="E211" s="136"/>
      <c r="F211" s="136"/>
      <c r="G211" s="136">
        <f t="shared" si="38"/>
        <v>0</v>
      </c>
      <c r="H211" s="136" t="str">
        <f t="shared" si="35"/>
        <v>0h0</v>
      </c>
      <c r="I211" s="145" t="s">
        <v>88</v>
      </c>
      <c r="J211" s="136"/>
      <c r="K211" s="136"/>
      <c r="L211" s="136">
        <f t="shared" si="39"/>
        <v>0</v>
      </c>
      <c r="M211" s="136" t="str">
        <f t="shared" si="32"/>
        <v>0h0</v>
      </c>
      <c r="N211" s="145" t="s">
        <v>88</v>
      </c>
      <c r="O211" s="136"/>
      <c r="P211" s="136"/>
      <c r="Q211" s="136">
        <f t="shared" si="40"/>
        <v>0</v>
      </c>
      <c r="R211" s="136" t="str">
        <f t="shared" si="33"/>
        <v>0h0</v>
      </c>
      <c r="S211" s="145">
        <f t="shared" si="36"/>
        <v>0</v>
      </c>
      <c r="T211" s="136" t="str">
        <f t="shared" si="34"/>
        <v>0h0</v>
      </c>
    </row>
    <row r="212" spans="2:20" x14ac:dyDescent="0.3">
      <c r="B212" s="135">
        <f t="shared" si="37"/>
        <v>46402</v>
      </c>
      <c r="C212" s="136" t="str">
        <f t="shared" si="31"/>
        <v>Friday</v>
      </c>
      <c r="D212" s="145" t="s">
        <v>88</v>
      </c>
      <c r="E212" s="136"/>
      <c r="F212" s="136"/>
      <c r="G212" s="136">
        <f t="shared" si="38"/>
        <v>0</v>
      </c>
      <c r="H212" s="136" t="str">
        <f t="shared" si="35"/>
        <v>0h0</v>
      </c>
      <c r="I212" s="145" t="s">
        <v>88</v>
      </c>
      <c r="J212" s="136"/>
      <c r="K212" s="136"/>
      <c r="L212" s="136">
        <f t="shared" si="39"/>
        <v>0</v>
      </c>
      <c r="M212" s="136" t="str">
        <f t="shared" si="32"/>
        <v>0h0</v>
      </c>
      <c r="N212" s="145" t="s">
        <v>88</v>
      </c>
      <c r="O212" s="136"/>
      <c r="P212" s="136"/>
      <c r="Q212" s="136">
        <f t="shared" si="40"/>
        <v>0</v>
      </c>
      <c r="R212" s="136" t="str">
        <f t="shared" si="33"/>
        <v>0h0</v>
      </c>
      <c r="S212" s="145">
        <f t="shared" si="36"/>
        <v>0</v>
      </c>
      <c r="T212" s="136" t="str">
        <f t="shared" si="34"/>
        <v>0h0</v>
      </c>
    </row>
    <row r="213" spans="2:20" x14ac:dyDescent="0.3">
      <c r="B213" s="135">
        <f t="shared" si="37"/>
        <v>46403</v>
      </c>
      <c r="C213" s="136" t="str">
        <f t="shared" si="31"/>
        <v>Saturday</v>
      </c>
      <c r="D213" s="145" t="s">
        <v>88</v>
      </c>
      <c r="E213" s="136"/>
      <c r="F213" s="136"/>
      <c r="G213" s="136">
        <f t="shared" si="38"/>
        <v>0</v>
      </c>
      <c r="H213" s="136" t="str">
        <f t="shared" si="35"/>
        <v>0h0</v>
      </c>
      <c r="I213" s="145" t="s">
        <v>88</v>
      </c>
      <c r="J213" s="136"/>
      <c r="K213" s="136"/>
      <c r="L213" s="136">
        <f t="shared" si="39"/>
        <v>0</v>
      </c>
      <c r="M213" s="136" t="str">
        <f t="shared" si="32"/>
        <v>0h0</v>
      </c>
      <c r="N213" s="145" t="s">
        <v>88</v>
      </c>
      <c r="O213" s="136"/>
      <c r="P213" s="136"/>
      <c r="Q213" s="136">
        <f t="shared" si="40"/>
        <v>0</v>
      </c>
      <c r="R213" s="136" t="str">
        <f t="shared" si="33"/>
        <v>0h0</v>
      </c>
      <c r="S213" s="145">
        <f t="shared" si="36"/>
        <v>0</v>
      </c>
      <c r="T213" s="136" t="str">
        <f t="shared" si="34"/>
        <v>0h0</v>
      </c>
    </row>
    <row r="214" spans="2:20" x14ac:dyDescent="0.3">
      <c r="B214" s="135">
        <f t="shared" si="37"/>
        <v>46404</v>
      </c>
      <c r="C214" s="136" t="str">
        <f t="shared" si="31"/>
        <v>Sunday</v>
      </c>
      <c r="D214" s="145" t="s">
        <v>88</v>
      </c>
      <c r="E214" s="136"/>
      <c r="F214" s="136"/>
      <c r="G214" s="136">
        <f t="shared" si="38"/>
        <v>0</v>
      </c>
      <c r="H214" s="136" t="str">
        <f t="shared" si="35"/>
        <v>0h0</v>
      </c>
      <c r="I214" s="145" t="s">
        <v>88</v>
      </c>
      <c r="J214" s="136"/>
      <c r="K214" s="136"/>
      <c r="L214" s="136">
        <f t="shared" si="39"/>
        <v>0</v>
      </c>
      <c r="M214" s="136" t="str">
        <f t="shared" si="32"/>
        <v>0h0</v>
      </c>
      <c r="N214" s="145" t="s">
        <v>88</v>
      </c>
      <c r="O214" s="136"/>
      <c r="P214" s="136"/>
      <c r="Q214" s="136">
        <f t="shared" si="40"/>
        <v>0</v>
      </c>
      <c r="R214" s="136" t="str">
        <f t="shared" si="33"/>
        <v>0h0</v>
      </c>
      <c r="S214" s="145">
        <f t="shared" si="36"/>
        <v>0</v>
      </c>
      <c r="T214" s="136" t="str">
        <f t="shared" si="34"/>
        <v>0h0</v>
      </c>
    </row>
    <row r="215" spans="2:20" x14ac:dyDescent="0.3">
      <c r="B215" s="135">
        <f t="shared" si="37"/>
        <v>46405</v>
      </c>
      <c r="C215" s="136" t="str">
        <f t="shared" si="31"/>
        <v>Monday</v>
      </c>
      <c r="D215" s="145" t="s">
        <v>88</v>
      </c>
      <c r="E215" s="136"/>
      <c r="F215" s="136"/>
      <c r="G215" s="136">
        <f t="shared" si="38"/>
        <v>0</v>
      </c>
      <c r="H215" s="136" t="str">
        <f t="shared" si="35"/>
        <v>0h0</v>
      </c>
      <c r="I215" s="145" t="s">
        <v>88</v>
      </c>
      <c r="J215" s="136"/>
      <c r="K215" s="136"/>
      <c r="L215" s="136">
        <f t="shared" si="39"/>
        <v>0</v>
      </c>
      <c r="M215" s="136" t="str">
        <f t="shared" si="32"/>
        <v>0h0</v>
      </c>
      <c r="N215" s="145" t="s">
        <v>88</v>
      </c>
      <c r="O215" s="136"/>
      <c r="P215" s="136"/>
      <c r="Q215" s="136">
        <f t="shared" si="40"/>
        <v>0</v>
      </c>
      <c r="R215" s="136" t="str">
        <f t="shared" si="33"/>
        <v>0h0</v>
      </c>
      <c r="S215" s="145">
        <f t="shared" si="36"/>
        <v>0</v>
      </c>
      <c r="T215" s="136" t="str">
        <f t="shared" si="34"/>
        <v>0h0</v>
      </c>
    </row>
    <row r="216" spans="2:20" x14ac:dyDescent="0.3">
      <c r="B216" s="135">
        <f t="shared" si="37"/>
        <v>46406</v>
      </c>
      <c r="C216" s="136" t="str">
        <f t="shared" si="31"/>
        <v>Tuesday</v>
      </c>
      <c r="D216" s="145" t="s">
        <v>88</v>
      </c>
      <c r="E216" s="136"/>
      <c r="F216" s="136"/>
      <c r="G216" s="136">
        <f t="shared" si="38"/>
        <v>0</v>
      </c>
      <c r="H216" s="136" t="str">
        <f t="shared" si="35"/>
        <v>0h0</v>
      </c>
      <c r="I216" s="145" t="s">
        <v>88</v>
      </c>
      <c r="J216" s="136"/>
      <c r="K216" s="136"/>
      <c r="L216" s="136">
        <f t="shared" si="39"/>
        <v>0</v>
      </c>
      <c r="M216" s="136" t="str">
        <f t="shared" si="32"/>
        <v>0h0</v>
      </c>
      <c r="N216" s="145" t="s">
        <v>88</v>
      </c>
      <c r="O216" s="136"/>
      <c r="P216" s="136"/>
      <c r="Q216" s="136">
        <f t="shared" si="40"/>
        <v>0</v>
      </c>
      <c r="R216" s="136" t="str">
        <f t="shared" si="33"/>
        <v>0h0</v>
      </c>
      <c r="S216" s="145">
        <f t="shared" si="36"/>
        <v>0</v>
      </c>
      <c r="T216" s="136" t="str">
        <f t="shared" si="34"/>
        <v>0h0</v>
      </c>
    </row>
    <row r="217" spans="2:20" x14ac:dyDescent="0.3">
      <c r="B217" s="135">
        <f t="shared" si="37"/>
        <v>46407</v>
      </c>
      <c r="C217" s="136" t="str">
        <f t="shared" si="31"/>
        <v>Wednesday</v>
      </c>
      <c r="D217" s="145" t="s">
        <v>88</v>
      </c>
      <c r="E217" s="136"/>
      <c r="F217" s="136"/>
      <c r="G217" s="136">
        <f t="shared" si="38"/>
        <v>0</v>
      </c>
      <c r="H217" s="136" t="str">
        <f t="shared" si="35"/>
        <v>0h0</v>
      </c>
      <c r="I217" s="145" t="s">
        <v>88</v>
      </c>
      <c r="J217" s="136"/>
      <c r="K217" s="136"/>
      <c r="L217" s="136">
        <f t="shared" si="39"/>
        <v>0</v>
      </c>
      <c r="M217" s="136" t="str">
        <f t="shared" si="32"/>
        <v>0h0</v>
      </c>
      <c r="N217" s="145" t="s">
        <v>88</v>
      </c>
      <c r="O217" s="136"/>
      <c r="P217" s="136"/>
      <c r="Q217" s="136">
        <f t="shared" si="40"/>
        <v>0</v>
      </c>
      <c r="R217" s="136" t="str">
        <f t="shared" si="33"/>
        <v>0h0</v>
      </c>
      <c r="S217" s="145">
        <f t="shared" si="36"/>
        <v>0</v>
      </c>
      <c r="T217" s="136" t="str">
        <f t="shared" si="34"/>
        <v>0h0</v>
      </c>
    </row>
    <row r="218" spans="2:20" x14ac:dyDescent="0.3">
      <c r="B218" s="135">
        <f t="shared" si="37"/>
        <v>46408</v>
      </c>
      <c r="C218" s="136" t="str">
        <f t="shared" si="31"/>
        <v>Thursday</v>
      </c>
      <c r="D218" s="145" t="s">
        <v>88</v>
      </c>
      <c r="E218" s="136"/>
      <c r="F218" s="136"/>
      <c r="G218" s="136">
        <f t="shared" si="38"/>
        <v>0</v>
      </c>
      <c r="H218" s="136" t="str">
        <f t="shared" si="35"/>
        <v>0h0</v>
      </c>
      <c r="I218" s="145" t="s">
        <v>88</v>
      </c>
      <c r="J218" s="136"/>
      <c r="K218" s="136"/>
      <c r="L218" s="136">
        <f t="shared" si="39"/>
        <v>0</v>
      </c>
      <c r="M218" s="136" t="str">
        <f t="shared" si="32"/>
        <v>0h0</v>
      </c>
      <c r="N218" s="145" t="s">
        <v>88</v>
      </c>
      <c r="O218" s="136"/>
      <c r="P218" s="136"/>
      <c r="Q218" s="136">
        <f t="shared" si="40"/>
        <v>0</v>
      </c>
      <c r="R218" s="136" t="str">
        <f t="shared" si="33"/>
        <v>0h0</v>
      </c>
      <c r="S218" s="145">
        <f t="shared" si="36"/>
        <v>0</v>
      </c>
      <c r="T218" s="136" t="str">
        <f t="shared" si="34"/>
        <v>0h0</v>
      </c>
    </row>
    <row r="219" spans="2:20" x14ac:dyDescent="0.3">
      <c r="B219" s="135">
        <f t="shared" si="37"/>
        <v>46409</v>
      </c>
      <c r="C219" s="136" t="str">
        <f t="shared" si="31"/>
        <v>Friday</v>
      </c>
      <c r="D219" s="145" t="s">
        <v>88</v>
      </c>
      <c r="E219" s="136"/>
      <c r="F219" s="136"/>
      <c r="G219" s="136">
        <f t="shared" si="38"/>
        <v>0</v>
      </c>
      <c r="H219" s="136" t="str">
        <f t="shared" si="35"/>
        <v>0h0</v>
      </c>
      <c r="I219" s="145" t="s">
        <v>88</v>
      </c>
      <c r="J219" s="136"/>
      <c r="K219" s="136"/>
      <c r="L219" s="136">
        <f t="shared" si="39"/>
        <v>0</v>
      </c>
      <c r="M219" s="136" t="str">
        <f t="shared" si="32"/>
        <v>0h0</v>
      </c>
      <c r="N219" s="145" t="s">
        <v>88</v>
      </c>
      <c r="O219" s="136"/>
      <c r="P219" s="136"/>
      <c r="Q219" s="136">
        <f t="shared" si="40"/>
        <v>0</v>
      </c>
      <c r="R219" s="136" t="str">
        <f t="shared" si="33"/>
        <v>0h0</v>
      </c>
      <c r="S219" s="145">
        <f t="shared" si="36"/>
        <v>0</v>
      </c>
      <c r="T219" s="136" t="str">
        <f t="shared" si="34"/>
        <v>0h0</v>
      </c>
    </row>
    <row r="220" spans="2:20" x14ac:dyDescent="0.3">
      <c r="B220" s="135">
        <f t="shared" si="37"/>
        <v>46410</v>
      </c>
      <c r="C220" s="136" t="str">
        <f t="shared" si="31"/>
        <v>Saturday</v>
      </c>
      <c r="D220" s="145" t="s">
        <v>88</v>
      </c>
      <c r="E220" s="136"/>
      <c r="F220" s="136"/>
      <c r="G220" s="136">
        <f t="shared" si="38"/>
        <v>0</v>
      </c>
      <c r="H220" s="136" t="str">
        <f t="shared" si="35"/>
        <v>0h0</v>
      </c>
      <c r="I220" s="145" t="s">
        <v>88</v>
      </c>
      <c r="J220" s="136"/>
      <c r="K220" s="136"/>
      <c r="L220" s="136">
        <f t="shared" si="39"/>
        <v>0</v>
      </c>
      <c r="M220" s="136" t="str">
        <f t="shared" si="32"/>
        <v>0h0</v>
      </c>
      <c r="N220" s="145" t="s">
        <v>88</v>
      </c>
      <c r="O220" s="136"/>
      <c r="P220" s="136"/>
      <c r="Q220" s="136">
        <f t="shared" si="40"/>
        <v>0</v>
      </c>
      <c r="R220" s="136" t="str">
        <f t="shared" si="33"/>
        <v>0h0</v>
      </c>
      <c r="S220" s="145">
        <f t="shared" si="36"/>
        <v>0</v>
      </c>
      <c r="T220" s="136" t="str">
        <f t="shared" si="34"/>
        <v>0h0</v>
      </c>
    </row>
    <row r="221" spans="2:20" x14ac:dyDescent="0.3">
      <c r="B221" s="135">
        <f t="shared" si="37"/>
        <v>46411</v>
      </c>
      <c r="C221" s="136" t="str">
        <f t="shared" si="31"/>
        <v>Sunday</v>
      </c>
      <c r="D221" s="145" t="s">
        <v>88</v>
      </c>
      <c r="E221" s="136"/>
      <c r="F221" s="136"/>
      <c r="G221" s="136">
        <f t="shared" si="38"/>
        <v>0</v>
      </c>
      <c r="H221" s="136" t="str">
        <f t="shared" si="35"/>
        <v>0h0</v>
      </c>
      <c r="I221" s="145" t="s">
        <v>88</v>
      </c>
      <c r="J221" s="136"/>
      <c r="K221" s="136"/>
      <c r="L221" s="136">
        <f t="shared" si="39"/>
        <v>0</v>
      </c>
      <c r="M221" s="136" t="str">
        <f t="shared" si="32"/>
        <v>0h0</v>
      </c>
      <c r="N221" s="145" t="s">
        <v>88</v>
      </c>
      <c r="O221" s="136"/>
      <c r="P221" s="136"/>
      <c r="Q221" s="136">
        <f t="shared" si="40"/>
        <v>0</v>
      </c>
      <c r="R221" s="136" t="str">
        <f t="shared" si="33"/>
        <v>0h0</v>
      </c>
      <c r="S221" s="145">
        <f t="shared" si="36"/>
        <v>0</v>
      </c>
      <c r="T221" s="136" t="str">
        <f t="shared" si="34"/>
        <v>0h0</v>
      </c>
    </row>
    <row r="222" spans="2:20" x14ac:dyDescent="0.3">
      <c r="B222" s="135">
        <f t="shared" si="37"/>
        <v>46412</v>
      </c>
      <c r="C222" s="136" t="str">
        <f t="shared" si="31"/>
        <v>Monday</v>
      </c>
      <c r="D222" s="145" t="s">
        <v>88</v>
      </c>
      <c r="E222" s="136"/>
      <c r="F222" s="136"/>
      <c r="G222" s="136">
        <f t="shared" si="38"/>
        <v>0</v>
      </c>
      <c r="H222" s="136" t="str">
        <f t="shared" si="35"/>
        <v>0h0</v>
      </c>
      <c r="I222" s="145" t="s">
        <v>88</v>
      </c>
      <c r="J222" s="136"/>
      <c r="K222" s="136"/>
      <c r="L222" s="136">
        <f t="shared" si="39"/>
        <v>0</v>
      </c>
      <c r="M222" s="136" t="str">
        <f t="shared" si="32"/>
        <v>0h0</v>
      </c>
      <c r="N222" s="145" t="s">
        <v>88</v>
      </c>
      <c r="O222" s="136"/>
      <c r="P222" s="136"/>
      <c r="Q222" s="136">
        <f t="shared" si="40"/>
        <v>0</v>
      </c>
      <c r="R222" s="136" t="str">
        <f t="shared" si="33"/>
        <v>0h0</v>
      </c>
      <c r="S222" s="145">
        <f t="shared" si="36"/>
        <v>0</v>
      </c>
      <c r="T222" s="136" t="str">
        <f t="shared" si="34"/>
        <v>0h0</v>
      </c>
    </row>
    <row r="223" spans="2:20" x14ac:dyDescent="0.3">
      <c r="B223" s="135">
        <f t="shared" si="37"/>
        <v>46413</v>
      </c>
      <c r="C223" s="136" t="str">
        <f t="shared" si="31"/>
        <v>Tuesday</v>
      </c>
      <c r="D223" s="145" t="s">
        <v>88</v>
      </c>
      <c r="E223" s="136"/>
      <c r="F223" s="136"/>
      <c r="G223" s="136">
        <f t="shared" si="38"/>
        <v>0</v>
      </c>
      <c r="H223" s="136" t="str">
        <f t="shared" si="35"/>
        <v>0h0</v>
      </c>
      <c r="I223" s="145" t="s">
        <v>88</v>
      </c>
      <c r="J223" s="136"/>
      <c r="K223" s="136"/>
      <c r="L223" s="136">
        <f t="shared" si="39"/>
        <v>0</v>
      </c>
      <c r="M223" s="136" t="str">
        <f t="shared" si="32"/>
        <v>0h0</v>
      </c>
      <c r="N223" s="145" t="s">
        <v>88</v>
      </c>
      <c r="O223" s="136"/>
      <c r="P223" s="136"/>
      <c r="Q223" s="136">
        <f t="shared" si="40"/>
        <v>0</v>
      </c>
      <c r="R223" s="136" t="str">
        <f t="shared" si="33"/>
        <v>0h0</v>
      </c>
      <c r="S223" s="145">
        <f t="shared" si="36"/>
        <v>0</v>
      </c>
      <c r="T223" s="136" t="str">
        <f t="shared" si="34"/>
        <v>0h0</v>
      </c>
    </row>
    <row r="224" spans="2:20" x14ac:dyDescent="0.3">
      <c r="B224" s="135">
        <f t="shared" si="37"/>
        <v>46414</v>
      </c>
      <c r="C224" s="136" t="str">
        <f t="shared" si="31"/>
        <v>Wednesday</v>
      </c>
      <c r="D224" s="145" t="s">
        <v>88</v>
      </c>
      <c r="E224" s="136"/>
      <c r="F224" s="136"/>
      <c r="G224" s="136">
        <f t="shared" si="38"/>
        <v>0</v>
      </c>
      <c r="H224" s="136" t="str">
        <f t="shared" si="35"/>
        <v>0h0</v>
      </c>
      <c r="I224" s="145" t="s">
        <v>88</v>
      </c>
      <c r="J224" s="136"/>
      <c r="K224" s="136"/>
      <c r="L224" s="136">
        <f t="shared" si="39"/>
        <v>0</v>
      </c>
      <c r="M224" s="136" t="str">
        <f t="shared" si="32"/>
        <v>0h0</v>
      </c>
      <c r="N224" s="145" t="s">
        <v>88</v>
      </c>
      <c r="O224" s="136"/>
      <c r="P224" s="136"/>
      <c r="Q224" s="136">
        <f t="shared" si="40"/>
        <v>0</v>
      </c>
      <c r="R224" s="136" t="str">
        <f t="shared" si="33"/>
        <v>0h0</v>
      </c>
      <c r="S224" s="145">
        <f t="shared" si="36"/>
        <v>0</v>
      </c>
      <c r="T224" s="136" t="str">
        <f t="shared" si="34"/>
        <v>0h0</v>
      </c>
    </row>
    <row r="225" spans="2:20" x14ac:dyDescent="0.3">
      <c r="B225" s="135">
        <f t="shared" si="37"/>
        <v>46415</v>
      </c>
      <c r="C225" s="136" t="str">
        <f t="shared" si="31"/>
        <v>Thursday</v>
      </c>
      <c r="D225" s="145" t="s">
        <v>88</v>
      </c>
      <c r="E225" s="136"/>
      <c r="F225" s="136"/>
      <c r="G225" s="136">
        <f t="shared" si="38"/>
        <v>0</v>
      </c>
      <c r="H225" s="136" t="str">
        <f t="shared" si="35"/>
        <v>0h0</v>
      </c>
      <c r="I225" s="145" t="s">
        <v>88</v>
      </c>
      <c r="J225" s="136"/>
      <c r="K225" s="136"/>
      <c r="L225" s="136">
        <f t="shared" si="39"/>
        <v>0</v>
      </c>
      <c r="M225" s="136" t="str">
        <f t="shared" si="32"/>
        <v>0h0</v>
      </c>
      <c r="N225" s="145" t="s">
        <v>88</v>
      </c>
      <c r="O225" s="136"/>
      <c r="P225" s="136"/>
      <c r="Q225" s="136">
        <f t="shared" si="40"/>
        <v>0</v>
      </c>
      <c r="R225" s="136" t="str">
        <f t="shared" si="33"/>
        <v>0h0</v>
      </c>
      <c r="S225" s="145">
        <f t="shared" si="36"/>
        <v>0</v>
      </c>
      <c r="T225" s="136" t="str">
        <f t="shared" si="34"/>
        <v>0h0</v>
      </c>
    </row>
    <row r="226" spans="2:20" x14ac:dyDescent="0.3">
      <c r="B226" s="135">
        <f t="shared" si="37"/>
        <v>46416</v>
      </c>
      <c r="C226" s="136" t="str">
        <f t="shared" si="31"/>
        <v>Friday</v>
      </c>
      <c r="D226" s="145" t="s">
        <v>88</v>
      </c>
      <c r="E226" s="136"/>
      <c r="F226" s="136"/>
      <c r="G226" s="136">
        <f t="shared" si="38"/>
        <v>0</v>
      </c>
      <c r="H226" s="136" t="str">
        <f t="shared" si="35"/>
        <v>0h0</v>
      </c>
      <c r="I226" s="145" t="s">
        <v>88</v>
      </c>
      <c r="J226" s="136"/>
      <c r="K226" s="136"/>
      <c r="L226" s="136">
        <f t="shared" si="39"/>
        <v>0</v>
      </c>
      <c r="M226" s="136" t="str">
        <f t="shared" si="32"/>
        <v>0h0</v>
      </c>
      <c r="N226" s="145" t="s">
        <v>88</v>
      </c>
      <c r="O226" s="136"/>
      <c r="P226" s="136"/>
      <c r="Q226" s="136">
        <f t="shared" si="40"/>
        <v>0</v>
      </c>
      <c r="R226" s="136" t="str">
        <f t="shared" si="33"/>
        <v>0h0</v>
      </c>
      <c r="S226" s="145">
        <f t="shared" si="36"/>
        <v>0</v>
      </c>
      <c r="T226" s="136" t="str">
        <f t="shared" si="34"/>
        <v>0h0</v>
      </c>
    </row>
    <row r="227" spans="2:20" x14ac:dyDescent="0.3">
      <c r="B227" s="135">
        <f t="shared" si="37"/>
        <v>46417</v>
      </c>
      <c r="C227" s="136" t="str">
        <f t="shared" si="31"/>
        <v>Saturday</v>
      </c>
      <c r="D227" s="145" t="s">
        <v>88</v>
      </c>
      <c r="E227" s="136"/>
      <c r="F227" s="136"/>
      <c r="G227" s="136">
        <f t="shared" si="38"/>
        <v>0</v>
      </c>
      <c r="H227" s="136" t="str">
        <f t="shared" si="35"/>
        <v>0h0</v>
      </c>
      <c r="I227" s="145" t="s">
        <v>88</v>
      </c>
      <c r="J227" s="136"/>
      <c r="K227" s="136"/>
      <c r="L227" s="136">
        <f t="shared" si="39"/>
        <v>0</v>
      </c>
      <c r="M227" s="136" t="str">
        <f t="shared" si="32"/>
        <v>0h0</v>
      </c>
      <c r="N227" s="145" t="s">
        <v>88</v>
      </c>
      <c r="O227" s="136"/>
      <c r="P227" s="136"/>
      <c r="Q227" s="136">
        <f t="shared" si="40"/>
        <v>0</v>
      </c>
      <c r="R227" s="136" t="str">
        <f t="shared" si="33"/>
        <v>0h0</v>
      </c>
      <c r="S227" s="145">
        <f t="shared" si="36"/>
        <v>0</v>
      </c>
      <c r="T227" s="136" t="str">
        <f t="shared" si="34"/>
        <v>0h0</v>
      </c>
    </row>
    <row r="228" spans="2:20" x14ac:dyDescent="0.3">
      <c r="B228" s="135">
        <f t="shared" si="37"/>
        <v>46418</v>
      </c>
      <c r="C228" s="136" t="str">
        <f t="shared" si="31"/>
        <v>Sunday</v>
      </c>
      <c r="D228" s="145" t="s">
        <v>88</v>
      </c>
      <c r="E228" s="136"/>
      <c r="F228" s="136"/>
      <c r="G228" s="136">
        <f t="shared" si="38"/>
        <v>0</v>
      </c>
      <c r="H228" s="136" t="str">
        <f t="shared" si="35"/>
        <v>0h0</v>
      </c>
      <c r="I228" s="145" t="s">
        <v>88</v>
      </c>
      <c r="J228" s="136"/>
      <c r="K228" s="136"/>
      <c r="L228" s="136">
        <f t="shared" si="39"/>
        <v>0</v>
      </c>
      <c r="M228" s="136" t="str">
        <f t="shared" si="32"/>
        <v>0h0</v>
      </c>
      <c r="N228" s="145" t="s">
        <v>88</v>
      </c>
      <c r="O228" s="136"/>
      <c r="P228" s="136"/>
      <c r="Q228" s="136">
        <f t="shared" si="40"/>
        <v>0</v>
      </c>
      <c r="R228" s="136" t="str">
        <f t="shared" si="33"/>
        <v>0h0</v>
      </c>
      <c r="S228" s="145">
        <f t="shared" si="36"/>
        <v>0</v>
      </c>
      <c r="T228" s="136" t="str">
        <f t="shared" si="34"/>
        <v>0h0</v>
      </c>
    </row>
    <row r="229" spans="2:20" x14ac:dyDescent="0.3">
      <c r="B229" s="135">
        <f t="shared" si="37"/>
        <v>46419</v>
      </c>
      <c r="C229" s="136" t="str">
        <f t="shared" si="31"/>
        <v>Monday</v>
      </c>
      <c r="D229" s="145" t="s">
        <v>88</v>
      </c>
      <c r="E229" s="136"/>
      <c r="F229" s="136"/>
      <c r="G229" s="136">
        <f t="shared" si="38"/>
        <v>0</v>
      </c>
      <c r="H229" s="136" t="str">
        <f t="shared" si="35"/>
        <v>0h0</v>
      </c>
      <c r="I229" s="145" t="s">
        <v>88</v>
      </c>
      <c r="J229" s="136"/>
      <c r="K229" s="136"/>
      <c r="L229" s="136">
        <f t="shared" si="39"/>
        <v>0</v>
      </c>
      <c r="M229" s="136" t="str">
        <f t="shared" si="32"/>
        <v>0h0</v>
      </c>
      <c r="N229" s="145" t="s">
        <v>88</v>
      </c>
      <c r="O229" s="136"/>
      <c r="P229" s="136"/>
      <c r="Q229" s="136">
        <f t="shared" si="40"/>
        <v>0</v>
      </c>
      <c r="R229" s="136" t="str">
        <f t="shared" si="33"/>
        <v>0h0</v>
      </c>
      <c r="S229" s="145">
        <f t="shared" si="36"/>
        <v>0</v>
      </c>
      <c r="T229" s="136" t="str">
        <f t="shared" si="34"/>
        <v>0h0</v>
      </c>
    </row>
    <row r="230" spans="2:20" x14ac:dyDescent="0.3">
      <c r="B230" s="135">
        <f t="shared" si="37"/>
        <v>46420</v>
      </c>
      <c r="C230" s="136" t="str">
        <f t="shared" si="31"/>
        <v>Tuesday</v>
      </c>
      <c r="D230" s="145" t="s">
        <v>88</v>
      </c>
      <c r="E230" s="136"/>
      <c r="F230" s="136"/>
      <c r="G230" s="136">
        <f t="shared" si="38"/>
        <v>0</v>
      </c>
      <c r="H230" s="136" t="str">
        <f t="shared" si="35"/>
        <v>0h0</v>
      </c>
      <c r="I230" s="145" t="s">
        <v>88</v>
      </c>
      <c r="J230" s="136"/>
      <c r="K230" s="136"/>
      <c r="L230" s="136">
        <f t="shared" si="39"/>
        <v>0</v>
      </c>
      <c r="M230" s="136" t="str">
        <f t="shared" si="32"/>
        <v>0h0</v>
      </c>
      <c r="N230" s="145" t="s">
        <v>88</v>
      </c>
      <c r="O230" s="136"/>
      <c r="P230" s="136"/>
      <c r="Q230" s="136">
        <f t="shared" si="40"/>
        <v>0</v>
      </c>
      <c r="R230" s="136" t="str">
        <f t="shared" si="33"/>
        <v>0h0</v>
      </c>
      <c r="S230" s="145">
        <f t="shared" si="36"/>
        <v>0</v>
      </c>
      <c r="T230" s="136" t="str">
        <f t="shared" si="34"/>
        <v>0h0</v>
      </c>
    </row>
    <row r="231" spans="2:20" x14ac:dyDescent="0.3">
      <c r="B231" s="135">
        <f t="shared" si="37"/>
        <v>46421</v>
      </c>
      <c r="C231" s="136" t="str">
        <f t="shared" si="31"/>
        <v>Wednesday</v>
      </c>
      <c r="D231" s="145" t="s">
        <v>88</v>
      </c>
      <c r="E231" s="136"/>
      <c r="F231" s="136"/>
      <c r="G231" s="136">
        <f t="shared" si="38"/>
        <v>0</v>
      </c>
      <c r="H231" s="136" t="str">
        <f t="shared" si="35"/>
        <v>0h0</v>
      </c>
      <c r="I231" s="145" t="s">
        <v>88</v>
      </c>
      <c r="J231" s="136"/>
      <c r="K231" s="136"/>
      <c r="L231" s="136">
        <f t="shared" si="39"/>
        <v>0</v>
      </c>
      <c r="M231" s="136" t="str">
        <f t="shared" si="32"/>
        <v>0h0</v>
      </c>
      <c r="N231" s="145" t="s">
        <v>88</v>
      </c>
      <c r="O231" s="136"/>
      <c r="P231" s="136"/>
      <c r="Q231" s="136">
        <f t="shared" si="40"/>
        <v>0</v>
      </c>
      <c r="R231" s="136" t="str">
        <f t="shared" si="33"/>
        <v>0h0</v>
      </c>
      <c r="S231" s="145">
        <f t="shared" si="36"/>
        <v>0</v>
      </c>
      <c r="T231" s="136" t="str">
        <f t="shared" si="34"/>
        <v>0h0</v>
      </c>
    </row>
    <row r="232" spans="2:20" x14ac:dyDescent="0.3">
      <c r="B232" s="135">
        <f t="shared" si="37"/>
        <v>46422</v>
      </c>
      <c r="C232" s="136" t="str">
        <f t="shared" si="31"/>
        <v>Thursday</v>
      </c>
      <c r="D232" s="145" t="s">
        <v>88</v>
      </c>
      <c r="E232" s="136"/>
      <c r="F232" s="136"/>
      <c r="G232" s="136">
        <f t="shared" si="38"/>
        <v>0</v>
      </c>
      <c r="H232" s="136" t="str">
        <f t="shared" si="35"/>
        <v>0h0</v>
      </c>
      <c r="I232" s="145" t="s">
        <v>88</v>
      </c>
      <c r="J232" s="136"/>
      <c r="K232" s="136"/>
      <c r="L232" s="136">
        <f t="shared" si="39"/>
        <v>0</v>
      </c>
      <c r="M232" s="136" t="str">
        <f t="shared" si="32"/>
        <v>0h0</v>
      </c>
      <c r="N232" s="145" t="s">
        <v>88</v>
      </c>
      <c r="O232" s="136"/>
      <c r="P232" s="136"/>
      <c r="Q232" s="136">
        <f t="shared" si="40"/>
        <v>0</v>
      </c>
      <c r="R232" s="136" t="str">
        <f t="shared" si="33"/>
        <v>0h0</v>
      </c>
      <c r="S232" s="145">
        <f t="shared" si="36"/>
        <v>0</v>
      </c>
      <c r="T232" s="136" t="str">
        <f t="shared" si="34"/>
        <v>0h0</v>
      </c>
    </row>
    <row r="233" spans="2:20" x14ac:dyDescent="0.3">
      <c r="B233" s="135">
        <f t="shared" si="37"/>
        <v>46423</v>
      </c>
      <c r="C233" s="136" t="str">
        <f t="shared" si="31"/>
        <v>Friday</v>
      </c>
      <c r="D233" s="145" t="s">
        <v>88</v>
      </c>
      <c r="E233" s="136"/>
      <c r="F233" s="136"/>
      <c r="G233" s="136">
        <f t="shared" si="38"/>
        <v>0</v>
      </c>
      <c r="H233" s="136" t="str">
        <f t="shared" si="35"/>
        <v>0h0</v>
      </c>
      <c r="I233" s="145" t="s">
        <v>88</v>
      </c>
      <c r="J233" s="136"/>
      <c r="K233" s="136"/>
      <c r="L233" s="136">
        <f t="shared" si="39"/>
        <v>0</v>
      </c>
      <c r="M233" s="136" t="str">
        <f t="shared" si="32"/>
        <v>0h0</v>
      </c>
      <c r="N233" s="145" t="s">
        <v>88</v>
      </c>
      <c r="O233" s="136"/>
      <c r="P233" s="136"/>
      <c r="Q233" s="136">
        <f t="shared" si="40"/>
        <v>0</v>
      </c>
      <c r="R233" s="136" t="str">
        <f t="shared" si="33"/>
        <v>0h0</v>
      </c>
      <c r="S233" s="145">
        <f t="shared" si="36"/>
        <v>0</v>
      </c>
      <c r="T233" s="136" t="str">
        <f t="shared" si="34"/>
        <v>0h0</v>
      </c>
    </row>
    <row r="234" spans="2:20" x14ac:dyDescent="0.3">
      <c r="B234" s="135">
        <f t="shared" si="37"/>
        <v>46424</v>
      </c>
      <c r="C234" s="136" t="str">
        <f t="shared" si="31"/>
        <v>Saturday</v>
      </c>
      <c r="D234" s="145" t="s">
        <v>88</v>
      </c>
      <c r="E234" s="136"/>
      <c r="F234" s="136"/>
      <c r="G234" s="136">
        <f t="shared" si="38"/>
        <v>0</v>
      </c>
      <c r="H234" s="136" t="str">
        <f t="shared" si="35"/>
        <v>0h0</v>
      </c>
      <c r="I234" s="145" t="s">
        <v>88</v>
      </c>
      <c r="J234" s="136"/>
      <c r="K234" s="136"/>
      <c r="L234" s="136">
        <f t="shared" si="39"/>
        <v>0</v>
      </c>
      <c r="M234" s="136" t="str">
        <f t="shared" si="32"/>
        <v>0h0</v>
      </c>
      <c r="N234" s="145" t="s">
        <v>88</v>
      </c>
      <c r="O234" s="136"/>
      <c r="P234" s="136"/>
      <c r="Q234" s="136">
        <f t="shared" si="40"/>
        <v>0</v>
      </c>
      <c r="R234" s="136" t="str">
        <f t="shared" si="33"/>
        <v>0h0</v>
      </c>
      <c r="S234" s="145">
        <f t="shared" si="36"/>
        <v>0</v>
      </c>
      <c r="T234" s="136" t="str">
        <f t="shared" si="34"/>
        <v>0h0</v>
      </c>
    </row>
    <row r="235" spans="2:20" x14ac:dyDescent="0.3">
      <c r="B235" s="135">
        <f t="shared" si="37"/>
        <v>46425</v>
      </c>
      <c r="C235" s="136" t="str">
        <f t="shared" si="31"/>
        <v>Sunday</v>
      </c>
      <c r="D235" s="145" t="s">
        <v>88</v>
      </c>
      <c r="E235" s="136"/>
      <c r="F235" s="136"/>
      <c r="G235" s="136">
        <f t="shared" si="38"/>
        <v>0</v>
      </c>
      <c r="H235" s="136" t="str">
        <f t="shared" si="35"/>
        <v>0h0</v>
      </c>
      <c r="I235" s="145" t="s">
        <v>88</v>
      </c>
      <c r="J235" s="136"/>
      <c r="K235" s="136"/>
      <c r="L235" s="136">
        <f t="shared" si="39"/>
        <v>0</v>
      </c>
      <c r="M235" s="136" t="str">
        <f t="shared" si="32"/>
        <v>0h0</v>
      </c>
      <c r="N235" s="145" t="s">
        <v>88</v>
      </c>
      <c r="O235" s="136"/>
      <c r="P235" s="136"/>
      <c r="Q235" s="136">
        <f t="shared" si="40"/>
        <v>0</v>
      </c>
      <c r="R235" s="136" t="str">
        <f t="shared" si="33"/>
        <v>0h0</v>
      </c>
      <c r="S235" s="145">
        <f t="shared" si="36"/>
        <v>0</v>
      </c>
      <c r="T235" s="136" t="str">
        <f t="shared" si="34"/>
        <v>0h0</v>
      </c>
    </row>
    <row r="236" spans="2:20" x14ac:dyDescent="0.3">
      <c r="B236" s="135">
        <f t="shared" si="37"/>
        <v>46426</v>
      </c>
      <c r="C236" s="136" t="str">
        <f t="shared" si="31"/>
        <v>Monday</v>
      </c>
      <c r="D236" s="145" t="s">
        <v>88</v>
      </c>
      <c r="E236" s="136"/>
      <c r="F236" s="136"/>
      <c r="G236" s="136">
        <f t="shared" si="38"/>
        <v>0</v>
      </c>
      <c r="H236" s="136" t="str">
        <f t="shared" si="35"/>
        <v>0h0</v>
      </c>
      <c r="I236" s="145" t="s">
        <v>88</v>
      </c>
      <c r="J236" s="136"/>
      <c r="K236" s="136"/>
      <c r="L236" s="136">
        <f t="shared" si="39"/>
        <v>0</v>
      </c>
      <c r="M236" s="136" t="str">
        <f t="shared" si="32"/>
        <v>0h0</v>
      </c>
      <c r="N236" s="145" t="s">
        <v>88</v>
      </c>
      <c r="O236" s="136"/>
      <c r="P236" s="136"/>
      <c r="Q236" s="136">
        <f t="shared" si="40"/>
        <v>0</v>
      </c>
      <c r="R236" s="136" t="str">
        <f t="shared" si="33"/>
        <v>0h0</v>
      </c>
      <c r="S236" s="145">
        <f t="shared" si="36"/>
        <v>0</v>
      </c>
      <c r="T236" s="136" t="str">
        <f t="shared" si="34"/>
        <v>0h0</v>
      </c>
    </row>
    <row r="237" spans="2:20" x14ac:dyDescent="0.3">
      <c r="B237" s="135">
        <f t="shared" si="37"/>
        <v>46427</v>
      </c>
      <c r="C237" s="136" t="str">
        <f t="shared" si="31"/>
        <v>Tuesday</v>
      </c>
      <c r="D237" s="145" t="s">
        <v>88</v>
      </c>
      <c r="E237" s="136"/>
      <c r="F237" s="136"/>
      <c r="G237" s="136">
        <f t="shared" si="38"/>
        <v>0</v>
      </c>
      <c r="H237" s="136" t="str">
        <f t="shared" si="35"/>
        <v>0h0</v>
      </c>
      <c r="I237" s="145" t="s">
        <v>88</v>
      </c>
      <c r="J237" s="136"/>
      <c r="K237" s="136"/>
      <c r="L237" s="136">
        <f t="shared" si="39"/>
        <v>0</v>
      </c>
      <c r="M237" s="136" t="str">
        <f t="shared" si="32"/>
        <v>0h0</v>
      </c>
      <c r="N237" s="145" t="s">
        <v>88</v>
      </c>
      <c r="O237" s="136"/>
      <c r="P237" s="136"/>
      <c r="Q237" s="136">
        <f t="shared" si="40"/>
        <v>0</v>
      </c>
      <c r="R237" s="136" t="str">
        <f t="shared" si="33"/>
        <v>0h0</v>
      </c>
      <c r="S237" s="145">
        <f t="shared" si="36"/>
        <v>0</v>
      </c>
      <c r="T237" s="136" t="str">
        <f t="shared" si="34"/>
        <v>0h0</v>
      </c>
    </row>
    <row r="238" spans="2:20" x14ac:dyDescent="0.3">
      <c r="B238" s="135">
        <f t="shared" si="37"/>
        <v>46428</v>
      </c>
      <c r="C238" s="136" t="str">
        <f t="shared" si="31"/>
        <v>Wednesday</v>
      </c>
      <c r="D238" s="145" t="s">
        <v>88</v>
      </c>
      <c r="E238" s="136"/>
      <c r="F238" s="136"/>
      <c r="G238" s="136">
        <f t="shared" si="38"/>
        <v>0</v>
      </c>
      <c r="H238" s="136" t="str">
        <f t="shared" si="35"/>
        <v>0h0</v>
      </c>
      <c r="I238" s="145" t="s">
        <v>88</v>
      </c>
      <c r="J238" s="136"/>
      <c r="K238" s="136"/>
      <c r="L238" s="136">
        <f t="shared" si="39"/>
        <v>0</v>
      </c>
      <c r="M238" s="136" t="str">
        <f t="shared" si="32"/>
        <v>0h0</v>
      </c>
      <c r="N238" s="145" t="s">
        <v>88</v>
      </c>
      <c r="O238" s="136"/>
      <c r="P238" s="136"/>
      <c r="Q238" s="136">
        <f t="shared" si="40"/>
        <v>0</v>
      </c>
      <c r="R238" s="136" t="str">
        <f t="shared" si="33"/>
        <v>0h0</v>
      </c>
      <c r="S238" s="145">
        <f t="shared" si="36"/>
        <v>0</v>
      </c>
      <c r="T238" s="136" t="str">
        <f t="shared" si="34"/>
        <v>0h0</v>
      </c>
    </row>
    <row r="239" spans="2:20" x14ac:dyDescent="0.3">
      <c r="B239" s="135">
        <f t="shared" si="37"/>
        <v>46429</v>
      </c>
      <c r="C239" s="136" t="str">
        <f t="shared" si="31"/>
        <v>Thursday</v>
      </c>
      <c r="D239" s="145" t="s">
        <v>88</v>
      </c>
      <c r="E239" s="136"/>
      <c r="F239" s="136"/>
      <c r="G239" s="136">
        <f t="shared" si="38"/>
        <v>0</v>
      </c>
      <c r="H239" s="136" t="str">
        <f t="shared" si="35"/>
        <v>0h0</v>
      </c>
      <c r="I239" s="145" t="s">
        <v>88</v>
      </c>
      <c r="J239" s="136"/>
      <c r="K239" s="136"/>
      <c r="L239" s="136">
        <f t="shared" si="39"/>
        <v>0</v>
      </c>
      <c r="M239" s="136" t="str">
        <f t="shared" si="32"/>
        <v>0h0</v>
      </c>
      <c r="N239" s="145" t="s">
        <v>88</v>
      </c>
      <c r="O239" s="136"/>
      <c r="P239" s="136"/>
      <c r="Q239" s="136">
        <f t="shared" si="40"/>
        <v>0</v>
      </c>
      <c r="R239" s="136" t="str">
        <f t="shared" si="33"/>
        <v>0h0</v>
      </c>
      <c r="S239" s="145">
        <f t="shared" si="36"/>
        <v>0</v>
      </c>
      <c r="T239" s="136" t="str">
        <f t="shared" si="34"/>
        <v>0h0</v>
      </c>
    </row>
    <row r="240" spans="2:20" x14ac:dyDescent="0.3">
      <c r="B240" s="135">
        <f t="shared" si="37"/>
        <v>46430</v>
      </c>
      <c r="C240" s="136" t="str">
        <f t="shared" si="31"/>
        <v>Friday</v>
      </c>
      <c r="D240" s="145" t="s">
        <v>88</v>
      </c>
      <c r="E240" s="136"/>
      <c r="F240" s="136"/>
      <c r="G240" s="136">
        <f t="shared" si="38"/>
        <v>0</v>
      </c>
      <c r="H240" s="136" t="str">
        <f t="shared" si="35"/>
        <v>0h0</v>
      </c>
      <c r="I240" s="145" t="s">
        <v>88</v>
      </c>
      <c r="J240" s="136"/>
      <c r="K240" s="136"/>
      <c r="L240" s="136">
        <f t="shared" si="39"/>
        <v>0</v>
      </c>
      <c r="M240" s="136" t="str">
        <f t="shared" si="32"/>
        <v>0h0</v>
      </c>
      <c r="N240" s="145" t="s">
        <v>88</v>
      </c>
      <c r="O240" s="136"/>
      <c r="P240" s="136"/>
      <c r="Q240" s="136">
        <f t="shared" si="40"/>
        <v>0</v>
      </c>
      <c r="R240" s="136" t="str">
        <f t="shared" si="33"/>
        <v>0h0</v>
      </c>
      <c r="S240" s="145">
        <f t="shared" si="36"/>
        <v>0</v>
      </c>
      <c r="T240" s="136" t="str">
        <f t="shared" si="34"/>
        <v>0h0</v>
      </c>
    </row>
    <row r="241" spans="2:20" x14ac:dyDescent="0.3">
      <c r="B241" s="135">
        <f t="shared" si="37"/>
        <v>46431</v>
      </c>
      <c r="C241" s="136" t="str">
        <f t="shared" si="31"/>
        <v>Saturday</v>
      </c>
      <c r="D241" s="145" t="s">
        <v>88</v>
      </c>
      <c r="E241" s="136"/>
      <c r="F241" s="136"/>
      <c r="G241" s="136">
        <f t="shared" si="38"/>
        <v>0</v>
      </c>
      <c r="H241" s="136" t="str">
        <f t="shared" si="35"/>
        <v>0h0</v>
      </c>
      <c r="I241" s="145" t="s">
        <v>88</v>
      </c>
      <c r="J241" s="136"/>
      <c r="K241" s="136"/>
      <c r="L241" s="136">
        <f t="shared" si="39"/>
        <v>0</v>
      </c>
      <c r="M241" s="136" t="str">
        <f t="shared" si="32"/>
        <v>0h0</v>
      </c>
      <c r="N241" s="145" t="s">
        <v>88</v>
      </c>
      <c r="O241" s="136"/>
      <c r="P241" s="136"/>
      <c r="Q241" s="136">
        <f t="shared" si="40"/>
        <v>0</v>
      </c>
      <c r="R241" s="136" t="str">
        <f t="shared" si="33"/>
        <v>0h0</v>
      </c>
      <c r="S241" s="145">
        <f t="shared" si="36"/>
        <v>0</v>
      </c>
      <c r="T241" s="136" t="str">
        <f t="shared" si="34"/>
        <v>0h0</v>
      </c>
    </row>
    <row r="242" spans="2:20" x14ac:dyDescent="0.3">
      <c r="B242" s="135">
        <f t="shared" si="37"/>
        <v>46432</v>
      </c>
      <c r="C242" s="136" t="str">
        <f t="shared" si="31"/>
        <v>Sunday</v>
      </c>
      <c r="D242" s="145" t="s">
        <v>88</v>
      </c>
      <c r="E242" s="136"/>
      <c r="F242" s="136"/>
      <c r="G242" s="136">
        <f t="shared" si="38"/>
        <v>0</v>
      </c>
      <c r="H242" s="136" t="str">
        <f t="shared" si="35"/>
        <v>0h0</v>
      </c>
      <c r="I242" s="145" t="s">
        <v>88</v>
      </c>
      <c r="J242" s="136"/>
      <c r="K242" s="136"/>
      <c r="L242" s="136">
        <f t="shared" si="39"/>
        <v>0</v>
      </c>
      <c r="M242" s="136" t="str">
        <f t="shared" si="32"/>
        <v>0h0</v>
      </c>
      <c r="N242" s="145" t="s">
        <v>88</v>
      </c>
      <c r="O242" s="136"/>
      <c r="P242" s="136"/>
      <c r="Q242" s="136">
        <f t="shared" si="40"/>
        <v>0</v>
      </c>
      <c r="R242" s="136" t="str">
        <f t="shared" si="33"/>
        <v>0h0</v>
      </c>
      <c r="S242" s="145">
        <f t="shared" si="36"/>
        <v>0</v>
      </c>
      <c r="T242" s="136" t="str">
        <f t="shared" si="34"/>
        <v>0h0</v>
      </c>
    </row>
    <row r="243" spans="2:20" x14ac:dyDescent="0.3">
      <c r="B243" s="135">
        <f t="shared" si="37"/>
        <v>46433</v>
      </c>
      <c r="C243" s="136" t="str">
        <f t="shared" si="31"/>
        <v>Monday</v>
      </c>
      <c r="D243" s="145" t="s">
        <v>88</v>
      </c>
      <c r="E243" s="136"/>
      <c r="F243" s="136"/>
      <c r="G243" s="136">
        <f t="shared" si="38"/>
        <v>0</v>
      </c>
      <c r="H243" s="136" t="str">
        <f t="shared" si="35"/>
        <v>0h0</v>
      </c>
      <c r="I243" s="145" t="s">
        <v>88</v>
      </c>
      <c r="J243" s="136"/>
      <c r="K243" s="136"/>
      <c r="L243" s="136">
        <f t="shared" si="39"/>
        <v>0</v>
      </c>
      <c r="M243" s="136" t="str">
        <f t="shared" si="32"/>
        <v>0h0</v>
      </c>
      <c r="N243" s="145" t="s">
        <v>88</v>
      </c>
      <c r="O243" s="136"/>
      <c r="P243" s="136"/>
      <c r="Q243" s="136">
        <f t="shared" si="40"/>
        <v>0</v>
      </c>
      <c r="R243" s="136" t="str">
        <f t="shared" si="33"/>
        <v>0h0</v>
      </c>
      <c r="S243" s="145">
        <f t="shared" si="36"/>
        <v>0</v>
      </c>
      <c r="T243" s="136" t="str">
        <f t="shared" si="34"/>
        <v>0h0</v>
      </c>
    </row>
    <row r="244" spans="2:20" x14ac:dyDescent="0.3">
      <c r="B244" s="135">
        <f t="shared" si="37"/>
        <v>46434</v>
      </c>
      <c r="C244" s="136" t="str">
        <f t="shared" si="31"/>
        <v>Tuesday</v>
      </c>
      <c r="D244" s="145" t="s">
        <v>88</v>
      </c>
      <c r="E244" s="136"/>
      <c r="F244" s="136"/>
      <c r="G244" s="136">
        <f t="shared" si="38"/>
        <v>0</v>
      </c>
      <c r="H244" s="136" t="str">
        <f t="shared" si="35"/>
        <v>0h0</v>
      </c>
      <c r="I244" s="145" t="s">
        <v>88</v>
      </c>
      <c r="J244" s="136"/>
      <c r="K244" s="136"/>
      <c r="L244" s="136">
        <f t="shared" si="39"/>
        <v>0</v>
      </c>
      <c r="M244" s="136" t="str">
        <f t="shared" si="32"/>
        <v>0h0</v>
      </c>
      <c r="N244" s="145" t="s">
        <v>88</v>
      </c>
      <c r="O244" s="136"/>
      <c r="P244" s="136"/>
      <c r="Q244" s="136">
        <f t="shared" si="40"/>
        <v>0</v>
      </c>
      <c r="R244" s="136" t="str">
        <f t="shared" si="33"/>
        <v>0h0</v>
      </c>
      <c r="S244" s="145">
        <f t="shared" si="36"/>
        <v>0</v>
      </c>
      <c r="T244" s="136" t="str">
        <f t="shared" si="34"/>
        <v>0h0</v>
      </c>
    </row>
    <row r="245" spans="2:20" x14ac:dyDescent="0.3">
      <c r="B245" s="135">
        <f t="shared" si="37"/>
        <v>46435</v>
      </c>
      <c r="C245" s="136" t="str">
        <f t="shared" si="31"/>
        <v>Wednesday</v>
      </c>
      <c r="D245" s="145" t="s">
        <v>88</v>
      </c>
      <c r="E245" s="136"/>
      <c r="F245" s="136"/>
      <c r="G245" s="136">
        <f t="shared" si="38"/>
        <v>0</v>
      </c>
      <c r="H245" s="136" t="str">
        <f t="shared" si="35"/>
        <v>0h0</v>
      </c>
      <c r="I245" s="145" t="s">
        <v>88</v>
      </c>
      <c r="J245" s="136"/>
      <c r="K245" s="136"/>
      <c r="L245" s="136">
        <f t="shared" si="39"/>
        <v>0</v>
      </c>
      <c r="M245" s="136" t="str">
        <f t="shared" si="32"/>
        <v>0h0</v>
      </c>
      <c r="N245" s="145" t="s">
        <v>88</v>
      </c>
      <c r="O245" s="136"/>
      <c r="P245" s="136"/>
      <c r="Q245" s="136">
        <f t="shared" si="40"/>
        <v>0</v>
      </c>
      <c r="R245" s="136" t="str">
        <f t="shared" si="33"/>
        <v>0h0</v>
      </c>
      <c r="S245" s="145">
        <f t="shared" si="36"/>
        <v>0</v>
      </c>
      <c r="T245" s="136" t="str">
        <f t="shared" si="34"/>
        <v>0h0</v>
      </c>
    </row>
    <row r="246" spans="2:20" x14ac:dyDescent="0.3">
      <c r="B246" s="135">
        <f t="shared" si="37"/>
        <v>46436</v>
      </c>
      <c r="C246" s="136" t="str">
        <f t="shared" si="31"/>
        <v>Thursday</v>
      </c>
      <c r="D246" s="145" t="s">
        <v>88</v>
      </c>
      <c r="E246" s="136"/>
      <c r="F246" s="136"/>
      <c r="G246" s="136">
        <f t="shared" si="38"/>
        <v>0</v>
      </c>
      <c r="H246" s="136" t="str">
        <f t="shared" si="35"/>
        <v>0h0</v>
      </c>
      <c r="I246" s="145" t="s">
        <v>88</v>
      </c>
      <c r="J246" s="136"/>
      <c r="K246" s="136"/>
      <c r="L246" s="136">
        <f t="shared" si="39"/>
        <v>0</v>
      </c>
      <c r="M246" s="136" t="str">
        <f t="shared" si="32"/>
        <v>0h0</v>
      </c>
      <c r="N246" s="145" t="s">
        <v>88</v>
      </c>
      <c r="O246" s="136"/>
      <c r="P246" s="136"/>
      <c r="Q246" s="136">
        <f t="shared" si="40"/>
        <v>0</v>
      </c>
      <c r="R246" s="136" t="str">
        <f t="shared" si="33"/>
        <v>0h0</v>
      </c>
      <c r="S246" s="145">
        <f t="shared" si="36"/>
        <v>0</v>
      </c>
      <c r="T246" s="136" t="str">
        <f t="shared" si="34"/>
        <v>0h0</v>
      </c>
    </row>
    <row r="247" spans="2:20" x14ac:dyDescent="0.3">
      <c r="B247" s="135">
        <f t="shared" si="37"/>
        <v>46437</v>
      </c>
      <c r="C247" s="136" t="str">
        <f t="shared" si="31"/>
        <v>Friday</v>
      </c>
      <c r="D247" s="145" t="s">
        <v>88</v>
      </c>
      <c r="E247" s="136"/>
      <c r="F247" s="136"/>
      <c r="G247" s="136">
        <f t="shared" si="38"/>
        <v>0</v>
      </c>
      <c r="H247" s="136" t="str">
        <f t="shared" si="35"/>
        <v>0h0</v>
      </c>
      <c r="I247" s="145" t="s">
        <v>88</v>
      </c>
      <c r="J247" s="136"/>
      <c r="K247" s="136"/>
      <c r="L247" s="136">
        <f t="shared" si="39"/>
        <v>0</v>
      </c>
      <c r="M247" s="136" t="str">
        <f t="shared" si="32"/>
        <v>0h0</v>
      </c>
      <c r="N247" s="145" t="s">
        <v>88</v>
      </c>
      <c r="O247" s="136"/>
      <c r="P247" s="136"/>
      <c r="Q247" s="136">
        <f t="shared" si="40"/>
        <v>0</v>
      </c>
      <c r="R247" s="136" t="str">
        <f t="shared" si="33"/>
        <v>0h0</v>
      </c>
      <c r="S247" s="145">
        <f t="shared" si="36"/>
        <v>0</v>
      </c>
      <c r="T247" s="136" t="str">
        <f t="shared" si="34"/>
        <v>0h0</v>
      </c>
    </row>
    <row r="248" spans="2:20" x14ac:dyDescent="0.3">
      <c r="B248" s="135">
        <f t="shared" si="37"/>
        <v>46438</v>
      </c>
      <c r="C248" s="136" t="str">
        <f t="shared" si="31"/>
        <v>Saturday</v>
      </c>
      <c r="D248" s="145" t="s">
        <v>88</v>
      </c>
      <c r="E248" s="136"/>
      <c r="F248" s="136"/>
      <c r="G248" s="136">
        <f t="shared" si="38"/>
        <v>0</v>
      </c>
      <c r="H248" s="136" t="str">
        <f t="shared" si="35"/>
        <v>0h0</v>
      </c>
      <c r="I248" s="145" t="s">
        <v>88</v>
      </c>
      <c r="J248" s="136"/>
      <c r="K248" s="136"/>
      <c r="L248" s="136">
        <f t="shared" si="39"/>
        <v>0</v>
      </c>
      <c r="M248" s="136" t="str">
        <f t="shared" si="32"/>
        <v>0h0</v>
      </c>
      <c r="N248" s="145" t="s">
        <v>88</v>
      </c>
      <c r="O248" s="136"/>
      <c r="P248" s="136"/>
      <c r="Q248" s="136">
        <f t="shared" si="40"/>
        <v>0</v>
      </c>
      <c r="R248" s="136" t="str">
        <f t="shared" si="33"/>
        <v>0h0</v>
      </c>
      <c r="S248" s="145">
        <f t="shared" si="36"/>
        <v>0</v>
      </c>
      <c r="T248" s="136" t="str">
        <f t="shared" si="34"/>
        <v>0h0</v>
      </c>
    </row>
    <row r="249" spans="2:20" x14ac:dyDescent="0.3">
      <c r="B249" s="135">
        <f t="shared" si="37"/>
        <v>46439</v>
      </c>
      <c r="C249" s="136" t="str">
        <f t="shared" si="31"/>
        <v>Sunday</v>
      </c>
      <c r="D249" s="145" t="s">
        <v>88</v>
      </c>
      <c r="E249" s="136"/>
      <c r="F249" s="136"/>
      <c r="G249" s="136">
        <f t="shared" si="38"/>
        <v>0</v>
      </c>
      <c r="H249" s="136" t="str">
        <f t="shared" si="35"/>
        <v>0h0</v>
      </c>
      <c r="I249" s="145" t="s">
        <v>88</v>
      </c>
      <c r="J249" s="136"/>
      <c r="K249" s="136"/>
      <c r="L249" s="136">
        <f t="shared" si="39"/>
        <v>0</v>
      </c>
      <c r="M249" s="136" t="str">
        <f t="shared" si="32"/>
        <v>0h0</v>
      </c>
      <c r="N249" s="145" t="s">
        <v>88</v>
      </c>
      <c r="O249" s="136"/>
      <c r="P249" s="136"/>
      <c r="Q249" s="136">
        <f t="shared" si="40"/>
        <v>0</v>
      </c>
      <c r="R249" s="136" t="str">
        <f t="shared" si="33"/>
        <v>0h0</v>
      </c>
      <c r="S249" s="145">
        <f t="shared" si="36"/>
        <v>0</v>
      </c>
      <c r="T249" s="136" t="str">
        <f t="shared" si="34"/>
        <v>0h0</v>
      </c>
    </row>
    <row r="250" spans="2:20" x14ac:dyDescent="0.3">
      <c r="B250" s="135">
        <f t="shared" si="37"/>
        <v>46440</v>
      </c>
      <c r="C250" s="136" t="str">
        <f t="shared" si="31"/>
        <v>Monday</v>
      </c>
      <c r="D250" s="145" t="s">
        <v>88</v>
      </c>
      <c r="E250" s="136"/>
      <c r="F250" s="136"/>
      <c r="G250" s="136">
        <f t="shared" si="38"/>
        <v>0</v>
      </c>
      <c r="H250" s="136" t="str">
        <f t="shared" si="35"/>
        <v>0h0</v>
      </c>
      <c r="I250" s="145" t="s">
        <v>88</v>
      </c>
      <c r="J250" s="136"/>
      <c r="K250" s="136"/>
      <c r="L250" s="136">
        <f t="shared" si="39"/>
        <v>0</v>
      </c>
      <c r="M250" s="136" t="str">
        <f t="shared" si="32"/>
        <v>0h0</v>
      </c>
      <c r="N250" s="145" t="s">
        <v>88</v>
      </c>
      <c r="O250" s="136"/>
      <c r="P250" s="136"/>
      <c r="Q250" s="136">
        <f t="shared" si="40"/>
        <v>0</v>
      </c>
      <c r="R250" s="136" t="str">
        <f t="shared" si="33"/>
        <v>0h0</v>
      </c>
      <c r="S250" s="145">
        <f t="shared" si="36"/>
        <v>0</v>
      </c>
      <c r="T250" s="136" t="str">
        <f t="shared" si="34"/>
        <v>0h0</v>
      </c>
    </row>
    <row r="251" spans="2:20" x14ac:dyDescent="0.3">
      <c r="B251" s="135">
        <f t="shared" si="37"/>
        <v>46441</v>
      </c>
      <c r="C251" s="136" t="str">
        <f t="shared" si="31"/>
        <v>Tuesday</v>
      </c>
      <c r="D251" s="145" t="s">
        <v>88</v>
      </c>
      <c r="E251" s="136"/>
      <c r="F251" s="136"/>
      <c r="G251" s="136">
        <f t="shared" si="38"/>
        <v>0</v>
      </c>
      <c r="H251" s="136" t="str">
        <f t="shared" si="35"/>
        <v>0h0</v>
      </c>
      <c r="I251" s="145" t="s">
        <v>88</v>
      </c>
      <c r="J251" s="136"/>
      <c r="K251" s="136"/>
      <c r="L251" s="136">
        <f t="shared" si="39"/>
        <v>0</v>
      </c>
      <c r="M251" s="136" t="str">
        <f t="shared" si="32"/>
        <v>0h0</v>
      </c>
      <c r="N251" s="145" t="s">
        <v>88</v>
      </c>
      <c r="O251" s="136"/>
      <c r="P251" s="136"/>
      <c r="Q251" s="136">
        <f t="shared" si="40"/>
        <v>0</v>
      </c>
      <c r="R251" s="136" t="str">
        <f t="shared" si="33"/>
        <v>0h0</v>
      </c>
      <c r="S251" s="145">
        <f t="shared" si="36"/>
        <v>0</v>
      </c>
      <c r="T251" s="136" t="str">
        <f t="shared" si="34"/>
        <v>0h0</v>
      </c>
    </row>
    <row r="252" spans="2:20" x14ac:dyDescent="0.3">
      <c r="B252" s="135">
        <f t="shared" si="37"/>
        <v>46442</v>
      </c>
      <c r="C252" s="136" t="str">
        <f t="shared" si="31"/>
        <v>Wednesday</v>
      </c>
      <c r="D252" s="145" t="s">
        <v>88</v>
      </c>
      <c r="E252" s="136"/>
      <c r="F252" s="136"/>
      <c r="G252" s="136">
        <f t="shared" si="38"/>
        <v>0</v>
      </c>
      <c r="H252" s="136" t="str">
        <f t="shared" si="35"/>
        <v>0h0</v>
      </c>
      <c r="I252" s="145" t="s">
        <v>88</v>
      </c>
      <c r="J252" s="136"/>
      <c r="K252" s="136"/>
      <c r="L252" s="136">
        <f t="shared" si="39"/>
        <v>0</v>
      </c>
      <c r="M252" s="136" t="str">
        <f t="shared" si="32"/>
        <v>0h0</v>
      </c>
      <c r="N252" s="145" t="s">
        <v>88</v>
      </c>
      <c r="O252" s="136"/>
      <c r="P252" s="136"/>
      <c r="Q252" s="136">
        <f t="shared" si="40"/>
        <v>0</v>
      </c>
      <c r="R252" s="136" t="str">
        <f t="shared" si="33"/>
        <v>0h0</v>
      </c>
      <c r="S252" s="145">
        <f t="shared" si="36"/>
        <v>0</v>
      </c>
      <c r="T252" s="136" t="str">
        <f t="shared" si="34"/>
        <v>0h0</v>
      </c>
    </row>
    <row r="253" spans="2:20" x14ac:dyDescent="0.3">
      <c r="B253" s="135">
        <f t="shared" si="37"/>
        <v>46443</v>
      </c>
      <c r="C253" s="136" t="str">
        <f t="shared" si="31"/>
        <v>Thursday</v>
      </c>
      <c r="D253" s="145" t="s">
        <v>88</v>
      </c>
      <c r="E253" s="136"/>
      <c r="F253" s="136"/>
      <c r="G253" s="136">
        <f t="shared" si="38"/>
        <v>0</v>
      </c>
      <c r="H253" s="136" t="str">
        <f t="shared" si="35"/>
        <v>0h0</v>
      </c>
      <c r="I253" s="145" t="s">
        <v>88</v>
      </c>
      <c r="J253" s="136"/>
      <c r="K253" s="136"/>
      <c r="L253" s="136">
        <f t="shared" si="39"/>
        <v>0</v>
      </c>
      <c r="M253" s="136" t="str">
        <f t="shared" si="32"/>
        <v>0h0</v>
      </c>
      <c r="N253" s="145" t="s">
        <v>88</v>
      </c>
      <c r="O253" s="136"/>
      <c r="P253" s="136"/>
      <c r="Q253" s="136">
        <f t="shared" si="40"/>
        <v>0</v>
      </c>
      <c r="R253" s="136" t="str">
        <f t="shared" si="33"/>
        <v>0h0</v>
      </c>
      <c r="S253" s="145">
        <f t="shared" si="36"/>
        <v>0</v>
      </c>
      <c r="T253" s="136" t="str">
        <f t="shared" si="34"/>
        <v>0h0</v>
      </c>
    </row>
    <row r="254" spans="2:20" x14ac:dyDescent="0.3">
      <c r="B254" s="135">
        <f t="shared" si="37"/>
        <v>46444</v>
      </c>
      <c r="C254" s="136" t="str">
        <f t="shared" si="31"/>
        <v>Friday</v>
      </c>
      <c r="D254" s="145" t="s">
        <v>88</v>
      </c>
      <c r="E254" s="136"/>
      <c r="F254" s="136"/>
      <c r="G254" s="136">
        <f t="shared" si="38"/>
        <v>0</v>
      </c>
      <c r="H254" s="136" t="str">
        <f t="shared" si="35"/>
        <v>0h0</v>
      </c>
      <c r="I254" s="145" t="s">
        <v>88</v>
      </c>
      <c r="J254" s="136"/>
      <c r="K254" s="136"/>
      <c r="L254" s="136">
        <f t="shared" si="39"/>
        <v>0</v>
      </c>
      <c r="M254" s="136" t="str">
        <f t="shared" si="32"/>
        <v>0h0</v>
      </c>
      <c r="N254" s="145" t="s">
        <v>88</v>
      </c>
      <c r="O254" s="136"/>
      <c r="P254" s="136"/>
      <c r="Q254" s="136">
        <f t="shared" si="40"/>
        <v>0</v>
      </c>
      <c r="R254" s="136" t="str">
        <f t="shared" si="33"/>
        <v>0h0</v>
      </c>
      <c r="S254" s="145">
        <f t="shared" si="36"/>
        <v>0</v>
      </c>
      <c r="T254" s="136" t="str">
        <f t="shared" si="34"/>
        <v>0h0</v>
      </c>
    </row>
    <row r="255" spans="2:20" x14ac:dyDescent="0.3">
      <c r="B255" s="135">
        <f t="shared" si="37"/>
        <v>46445</v>
      </c>
      <c r="C255" s="136" t="str">
        <f t="shared" si="31"/>
        <v>Saturday</v>
      </c>
      <c r="D255" s="145" t="s">
        <v>88</v>
      </c>
      <c r="E255" s="136"/>
      <c r="F255" s="136"/>
      <c r="G255" s="136">
        <f t="shared" si="38"/>
        <v>0</v>
      </c>
      <c r="H255" s="136" t="str">
        <f t="shared" si="35"/>
        <v>0h0</v>
      </c>
      <c r="I255" s="145" t="s">
        <v>88</v>
      </c>
      <c r="J255" s="136"/>
      <c r="K255" s="136"/>
      <c r="L255" s="136">
        <f t="shared" si="39"/>
        <v>0</v>
      </c>
      <c r="M255" s="136" t="str">
        <f t="shared" si="32"/>
        <v>0h0</v>
      </c>
      <c r="N255" s="145" t="s">
        <v>88</v>
      </c>
      <c r="O255" s="136"/>
      <c r="P255" s="136"/>
      <c r="Q255" s="136">
        <f t="shared" si="40"/>
        <v>0</v>
      </c>
      <c r="R255" s="136" t="str">
        <f t="shared" si="33"/>
        <v>0h0</v>
      </c>
      <c r="S255" s="145">
        <f t="shared" si="36"/>
        <v>0</v>
      </c>
      <c r="T255" s="136" t="str">
        <f t="shared" si="34"/>
        <v>0h0</v>
      </c>
    </row>
    <row r="256" spans="2:20" x14ac:dyDescent="0.3">
      <c r="B256" s="135">
        <f t="shared" si="37"/>
        <v>46446</v>
      </c>
      <c r="C256" s="136" t="str">
        <f t="shared" si="31"/>
        <v>Sunday</v>
      </c>
      <c r="D256" s="145" t="s">
        <v>88</v>
      </c>
      <c r="E256" s="136"/>
      <c r="F256" s="136"/>
      <c r="G256" s="136">
        <f t="shared" si="38"/>
        <v>0</v>
      </c>
      <c r="H256" s="136" t="str">
        <f t="shared" si="35"/>
        <v>0h0</v>
      </c>
      <c r="I256" s="145" t="s">
        <v>88</v>
      </c>
      <c r="J256" s="136"/>
      <c r="K256" s="136"/>
      <c r="L256" s="136">
        <f t="shared" si="39"/>
        <v>0</v>
      </c>
      <c r="M256" s="136" t="str">
        <f t="shared" si="32"/>
        <v>0h0</v>
      </c>
      <c r="N256" s="145" t="s">
        <v>88</v>
      </c>
      <c r="O256" s="136"/>
      <c r="P256" s="136"/>
      <c r="Q256" s="136">
        <f t="shared" si="40"/>
        <v>0</v>
      </c>
      <c r="R256" s="136" t="str">
        <f t="shared" si="33"/>
        <v>0h0</v>
      </c>
      <c r="S256" s="145">
        <f t="shared" si="36"/>
        <v>0</v>
      </c>
      <c r="T256" s="136" t="str">
        <f t="shared" si="34"/>
        <v>0h0</v>
      </c>
    </row>
    <row r="257" spans="2:20" x14ac:dyDescent="0.3">
      <c r="B257" s="135">
        <f t="shared" si="37"/>
        <v>46447</v>
      </c>
      <c r="C257" s="136" t="str">
        <f t="shared" si="31"/>
        <v>Monday</v>
      </c>
      <c r="D257" s="145" t="s">
        <v>88</v>
      </c>
      <c r="E257" s="136"/>
      <c r="F257" s="136"/>
      <c r="G257" s="136">
        <f t="shared" si="38"/>
        <v>0</v>
      </c>
      <c r="H257" s="136" t="str">
        <f t="shared" si="35"/>
        <v>0h0</v>
      </c>
      <c r="I257" s="145" t="s">
        <v>88</v>
      </c>
      <c r="J257" s="136"/>
      <c r="K257" s="136"/>
      <c r="L257" s="136">
        <f t="shared" si="39"/>
        <v>0</v>
      </c>
      <c r="M257" s="136" t="str">
        <f t="shared" si="32"/>
        <v>0h0</v>
      </c>
      <c r="N257" s="145" t="s">
        <v>88</v>
      </c>
      <c r="O257" s="136"/>
      <c r="P257" s="136"/>
      <c r="Q257" s="136">
        <f t="shared" si="40"/>
        <v>0</v>
      </c>
      <c r="R257" s="136" t="str">
        <f t="shared" si="33"/>
        <v>0h0</v>
      </c>
      <c r="S257" s="145">
        <f t="shared" si="36"/>
        <v>0</v>
      </c>
      <c r="T257" s="136" t="str">
        <f t="shared" si="34"/>
        <v>0h0</v>
      </c>
    </row>
    <row r="258" spans="2:20" x14ac:dyDescent="0.3">
      <c r="B258" s="135">
        <f t="shared" si="37"/>
        <v>46448</v>
      </c>
      <c r="C258" s="136" t="str">
        <f t="shared" si="31"/>
        <v>Tuesday</v>
      </c>
      <c r="D258" s="145" t="s">
        <v>88</v>
      </c>
      <c r="E258" s="136"/>
      <c r="F258" s="136"/>
      <c r="G258" s="136">
        <f t="shared" si="38"/>
        <v>0</v>
      </c>
      <c r="H258" s="136" t="str">
        <f t="shared" si="35"/>
        <v>0h0</v>
      </c>
      <c r="I258" s="145" t="s">
        <v>88</v>
      </c>
      <c r="J258" s="136"/>
      <c r="K258" s="136"/>
      <c r="L258" s="136">
        <f t="shared" si="39"/>
        <v>0</v>
      </c>
      <c r="M258" s="136" t="str">
        <f t="shared" si="32"/>
        <v>0h0</v>
      </c>
      <c r="N258" s="145" t="s">
        <v>88</v>
      </c>
      <c r="O258" s="136"/>
      <c r="P258" s="136"/>
      <c r="Q258" s="136">
        <f t="shared" si="40"/>
        <v>0</v>
      </c>
      <c r="R258" s="136" t="str">
        <f t="shared" si="33"/>
        <v>0h0</v>
      </c>
      <c r="S258" s="145">
        <f t="shared" si="36"/>
        <v>0</v>
      </c>
      <c r="T258" s="136" t="str">
        <f t="shared" si="34"/>
        <v>0h0</v>
      </c>
    </row>
    <row r="259" spans="2:20" x14ac:dyDescent="0.3">
      <c r="B259" s="135">
        <f t="shared" si="37"/>
        <v>46449</v>
      </c>
      <c r="C259" s="136" t="str">
        <f t="shared" si="31"/>
        <v>Wednesday</v>
      </c>
      <c r="D259" s="145" t="s">
        <v>88</v>
      </c>
      <c r="E259" s="136"/>
      <c r="F259" s="136"/>
      <c r="G259" s="136">
        <f t="shared" si="38"/>
        <v>0</v>
      </c>
      <c r="H259" s="136" t="str">
        <f t="shared" si="35"/>
        <v>0h0</v>
      </c>
      <c r="I259" s="145" t="s">
        <v>88</v>
      </c>
      <c r="J259" s="136"/>
      <c r="K259" s="136"/>
      <c r="L259" s="136">
        <f t="shared" si="39"/>
        <v>0</v>
      </c>
      <c r="M259" s="136" t="str">
        <f t="shared" si="32"/>
        <v>0h0</v>
      </c>
      <c r="N259" s="145" t="s">
        <v>88</v>
      </c>
      <c r="O259" s="136"/>
      <c r="P259" s="136"/>
      <c r="Q259" s="136">
        <f t="shared" si="40"/>
        <v>0</v>
      </c>
      <c r="R259" s="136" t="str">
        <f t="shared" si="33"/>
        <v>0h0</v>
      </c>
      <c r="S259" s="145">
        <f t="shared" si="36"/>
        <v>0</v>
      </c>
      <c r="T259" s="136" t="str">
        <f t="shared" si="34"/>
        <v>0h0</v>
      </c>
    </row>
    <row r="260" spans="2:20" x14ac:dyDescent="0.3">
      <c r="B260" s="135">
        <f t="shared" si="37"/>
        <v>46450</v>
      </c>
      <c r="C260" s="136" t="str">
        <f t="shared" si="31"/>
        <v>Thursday</v>
      </c>
      <c r="D260" s="145" t="s">
        <v>88</v>
      </c>
      <c r="E260" s="136"/>
      <c r="F260" s="136"/>
      <c r="G260" s="136">
        <f t="shared" si="38"/>
        <v>0</v>
      </c>
      <c r="H260" s="136" t="str">
        <f t="shared" si="35"/>
        <v>0h0</v>
      </c>
      <c r="I260" s="145" t="s">
        <v>88</v>
      </c>
      <c r="J260" s="136"/>
      <c r="K260" s="136"/>
      <c r="L260" s="136">
        <f t="shared" si="39"/>
        <v>0</v>
      </c>
      <c r="M260" s="136" t="str">
        <f t="shared" si="32"/>
        <v>0h0</v>
      </c>
      <c r="N260" s="145" t="s">
        <v>88</v>
      </c>
      <c r="O260" s="136"/>
      <c r="P260" s="136"/>
      <c r="Q260" s="136">
        <f t="shared" si="40"/>
        <v>0</v>
      </c>
      <c r="R260" s="136" t="str">
        <f t="shared" si="33"/>
        <v>0h0</v>
      </c>
      <c r="S260" s="145">
        <f t="shared" si="36"/>
        <v>0</v>
      </c>
      <c r="T260" s="136" t="str">
        <f t="shared" si="34"/>
        <v>0h0</v>
      </c>
    </row>
    <row r="261" spans="2:20" x14ac:dyDescent="0.3">
      <c r="B261" s="135">
        <f t="shared" si="37"/>
        <v>46451</v>
      </c>
      <c r="C261" s="136" t="str">
        <f t="shared" si="31"/>
        <v>Friday</v>
      </c>
      <c r="D261" s="145" t="s">
        <v>88</v>
      </c>
      <c r="E261" s="136"/>
      <c r="F261" s="136"/>
      <c r="G261" s="136">
        <f t="shared" si="38"/>
        <v>0</v>
      </c>
      <c r="H261" s="136" t="str">
        <f t="shared" si="35"/>
        <v>0h0</v>
      </c>
      <c r="I261" s="145" t="s">
        <v>88</v>
      </c>
      <c r="J261" s="136"/>
      <c r="K261" s="136"/>
      <c r="L261" s="136">
        <f t="shared" si="39"/>
        <v>0</v>
      </c>
      <c r="M261" s="136" t="str">
        <f t="shared" si="32"/>
        <v>0h0</v>
      </c>
      <c r="N261" s="145" t="s">
        <v>88</v>
      </c>
      <c r="O261" s="136"/>
      <c r="P261" s="136"/>
      <c r="Q261" s="136">
        <f t="shared" si="40"/>
        <v>0</v>
      </c>
      <c r="R261" s="136" t="str">
        <f t="shared" si="33"/>
        <v>0h0</v>
      </c>
      <c r="S261" s="145">
        <f t="shared" si="36"/>
        <v>0</v>
      </c>
      <c r="T261" s="136" t="str">
        <f t="shared" si="34"/>
        <v>0h0</v>
      </c>
    </row>
    <row r="262" spans="2:20" x14ac:dyDescent="0.3">
      <c r="B262" s="135">
        <f t="shared" si="37"/>
        <v>46452</v>
      </c>
      <c r="C262" s="136" t="str">
        <f t="shared" ref="C262:C325" si="41">CHOOSE(WEEKDAY(B262,2),"Monday","Tuesday","Wednesday","Thursday","Friday","Saturday","Sunday")</f>
        <v>Saturday</v>
      </c>
      <c r="D262" s="145" t="s">
        <v>88</v>
      </c>
      <c r="E262" s="136"/>
      <c r="F262" s="136"/>
      <c r="G262" s="136">
        <f t="shared" si="38"/>
        <v>0</v>
      </c>
      <c r="H262" s="136" t="str">
        <f t="shared" si="35"/>
        <v>0h0</v>
      </c>
      <c r="I262" s="145" t="s">
        <v>88</v>
      </c>
      <c r="J262" s="136"/>
      <c r="K262" s="136"/>
      <c r="L262" s="136">
        <f t="shared" si="39"/>
        <v>0</v>
      </c>
      <c r="M262" s="136" t="str">
        <f t="shared" ref="M262:M325" si="42">ROUNDDOWN(L262/60, 0)&amp;"h"&amp;ROUNDUP((L262/60-ROUNDDOWN(L262/60, 0))*60,0)</f>
        <v>0h0</v>
      </c>
      <c r="N262" s="145" t="s">
        <v>88</v>
      </c>
      <c r="O262" s="136"/>
      <c r="P262" s="136"/>
      <c r="Q262" s="136">
        <f t="shared" si="40"/>
        <v>0</v>
      </c>
      <c r="R262" s="136" t="str">
        <f t="shared" ref="R262:R325" si="43">ROUNDDOWN(Q262/60, 0)&amp;"h"&amp;ROUNDUP((Q262/60-ROUNDDOWN(Q262/60, 0))*60,0)</f>
        <v>0h0</v>
      </c>
      <c r="S262" s="145">
        <f t="shared" si="36"/>
        <v>0</v>
      </c>
      <c r="T262" s="136" t="str">
        <f t="shared" ref="T262:T325" si="44">ROUNDDOWN(S262/60, 0)&amp;"h"&amp;ROUNDUP((S262/60-ROUNDDOWN(S262/60, 0))*60,0)</f>
        <v>0h0</v>
      </c>
    </row>
    <row r="263" spans="2:20" x14ac:dyDescent="0.3">
      <c r="B263" s="135">
        <f t="shared" si="37"/>
        <v>46453</v>
      </c>
      <c r="C263" s="136" t="str">
        <f t="shared" si="41"/>
        <v>Sunday</v>
      </c>
      <c r="D263" s="145" t="s">
        <v>88</v>
      </c>
      <c r="E263" s="136"/>
      <c r="F263" s="136"/>
      <c r="G263" s="136">
        <f t="shared" si="38"/>
        <v>0</v>
      </c>
      <c r="H263" s="136" t="str">
        <f t="shared" ref="H263:H326" si="45">ROUNDDOWN(G263/60, 0)&amp;"h"&amp;ROUNDUP((G263/60-ROUNDDOWN(G263/60, 0))*60,0)</f>
        <v>0h0</v>
      </c>
      <c r="I263" s="145" t="s">
        <v>88</v>
      </c>
      <c r="J263" s="136"/>
      <c r="K263" s="136"/>
      <c r="L263" s="136">
        <f t="shared" si="39"/>
        <v>0</v>
      </c>
      <c r="M263" s="136" t="str">
        <f t="shared" si="42"/>
        <v>0h0</v>
      </c>
      <c r="N263" s="145" t="s">
        <v>88</v>
      </c>
      <c r="O263" s="136"/>
      <c r="P263" s="136"/>
      <c r="Q263" s="136">
        <f t="shared" si="40"/>
        <v>0</v>
      </c>
      <c r="R263" s="136" t="str">
        <f t="shared" si="43"/>
        <v>0h0</v>
      </c>
      <c r="S263" s="145">
        <f t="shared" ref="S263:S326" si="46">G263+L263+Q263</f>
        <v>0</v>
      </c>
      <c r="T263" s="136" t="str">
        <f t="shared" si="44"/>
        <v>0h0</v>
      </c>
    </row>
    <row r="264" spans="2:20" x14ac:dyDescent="0.3">
      <c r="B264" s="135">
        <f t="shared" ref="B264:B327" si="47">B263+1</f>
        <v>46454</v>
      </c>
      <c r="C264" s="136" t="str">
        <f t="shared" si="41"/>
        <v>Monday</v>
      </c>
      <c r="D264" s="145" t="s">
        <v>88</v>
      </c>
      <c r="E264" s="136"/>
      <c r="F264" s="136"/>
      <c r="G264" s="136">
        <f t="shared" ref="G264:G327" si="48">E264*25+F264</f>
        <v>0</v>
      </c>
      <c r="H264" s="136" t="str">
        <f t="shared" si="45"/>
        <v>0h0</v>
      </c>
      <c r="I264" s="145" t="s">
        <v>88</v>
      </c>
      <c r="J264" s="136"/>
      <c r="K264" s="136"/>
      <c r="L264" s="136">
        <f t="shared" ref="L264:L327" si="49">J264*25+K264</f>
        <v>0</v>
      </c>
      <c r="M264" s="136" t="str">
        <f t="shared" si="42"/>
        <v>0h0</v>
      </c>
      <c r="N264" s="145" t="s">
        <v>88</v>
      </c>
      <c r="O264" s="136"/>
      <c r="P264" s="136"/>
      <c r="Q264" s="136">
        <f t="shared" ref="Q264:Q327" si="50">O264*25+P264</f>
        <v>0</v>
      </c>
      <c r="R264" s="136" t="str">
        <f t="shared" si="43"/>
        <v>0h0</v>
      </c>
      <c r="S264" s="145">
        <f t="shared" si="46"/>
        <v>0</v>
      </c>
      <c r="T264" s="136" t="str">
        <f t="shared" si="44"/>
        <v>0h0</v>
      </c>
    </row>
    <row r="265" spans="2:20" x14ac:dyDescent="0.3">
      <c r="B265" s="135">
        <f t="shared" si="47"/>
        <v>46455</v>
      </c>
      <c r="C265" s="136" t="str">
        <f t="shared" si="41"/>
        <v>Tuesday</v>
      </c>
      <c r="D265" s="145" t="s">
        <v>88</v>
      </c>
      <c r="E265" s="136"/>
      <c r="F265" s="136"/>
      <c r="G265" s="136">
        <f t="shared" si="48"/>
        <v>0</v>
      </c>
      <c r="H265" s="136" t="str">
        <f t="shared" si="45"/>
        <v>0h0</v>
      </c>
      <c r="I265" s="145" t="s">
        <v>88</v>
      </c>
      <c r="J265" s="136"/>
      <c r="K265" s="136"/>
      <c r="L265" s="136">
        <f t="shared" si="49"/>
        <v>0</v>
      </c>
      <c r="M265" s="136" t="str">
        <f t="shared" si="42"/>
        <v>0h0</v>
      </c>
      <c r="N265" s="145" t="s">
        <v>88</v>
      </c>
      <c r="O265" s="136"/>
      <c r="P265" s="136"/>
      <c r="Q265" s="136">
        <f t="shared" si="50"/>
        <v>0</v>
      </c>
      <c r="R265" s="136" t="str">
        <f t="shared" si="43"/>
        <v>0h0</v>
      </c>
      <c r="S265" s="145">
        <f t="shared" si="46"/>
        <v>0</v>
      </c>
      <c r="T265" s="136" t="str">
        <f t="shared" si="44"/>
        <v>0h0</v>
      </c>
    </row>
    <row r="266" spans="2:20" x14ac:dyDescent="0.3">
      <c r="B266" s="135">
        <f t="shared" si="47"/>
        <v>46456</v>
      </c>
      <c r="C266" s="136" t="str">
        <f t="shared" si="41"/>
        <v>Wednesday</v>
      </c>
      <c r="D266" s="145" t="s">
        <v>88</v>
      </c>
      <c r="E266" s="136"/>
      <c r="F266" s="136"/>
      <c r="G266" s="136">
        <f t="shared" si="48"/>
        <v>0</v>
      </c>
      <c r="H266" s="136" t="str">
        <f t="shared" si="45"/>
        <v>0h0</v>
      </c>
      <c r="I266" s="145" t="s">
        <v>88</v>
      </c>
      <c r="J266" s="136"/>
      <c r="K266" s="136"/>
      <c r="L266" s="136">
        <f t="shared" si="49"/>
        <v>0</v>
      </c>
      <c r="M266" s="136" t="str">
        <f t="shared" si="42"/>
        <v>0h0</v>
      </c>
      <c r="N266" s="145" t="s">
        <v>88</v>
      </c>
      <c r="O266" s="136"/>
      <c r="P266" s="136"/>
      <c r="Q266" s="136">
        <f t="shared" si="50"/>
        <v>0</v>
      </c>
      <c r="R266" s="136" t="str">
        <f t="shared" si="43"/>
        <v>0h0</v>
      </c>
      <c r="S266" s="145">
        <f t="shared" si="46"/>
        <v>0</v>
      </c>
      <c r="T266" s="136" t="str">
        <f t="shared" si="44"/>
        <v>0h0</v>
      </c>
    </row>
    <row r="267" spans="2:20" x14ac:dyDescent="0.3">
      <c r="B267" s="135">
        <f t="shared" si="47"/>
        <v>46457</v>
      </c>
      <c r="C267" s="136" t="str">
        <f t="shared" si="41"/>
        <v>Thursday</v>
      </c>
      <c r="D267" s="145" t="s">
        <v>88</v>
      </c>
      <c r="E267" s="136"/>
      <c r="F267" s="136"/>
      <c r="G267" s="136">
        <f t="shared" si="48"/>
        <v>0</v>
      </c>
      <c r="H267" s="136" t="str">
        <f t="shared" si="45"/>
        <v>0h0</v>
      </c>
      <c r="I267" s="145" t="s">
        <v>88</v>
      </c>
      <c r="J267" s="136"/>
      <c r="K267" s="136"/>
      <c r="L267" s="136">
        <f t="shared" si="49"/>
        <v>0</v>
      </c>
      <c r="M267" s="136" t="str">
        <f t="shared" si="42"/>
        <v>0h0</v>
      </c>
      <c r="N267" s="145" t="s">
        <v>88</v>
      </c>
      <c r="O267" s="136"/>
      <c r="P267" s="136"/>
      <c r="Q267" s="136">
        <f t="shared" si="50"/>
        <v>0</v>
      </c>
      <c r="R267" s="136" t="str">
        <f t="shared" si="43"/>
        <v>0h0</v>
      </c>
      <c r="S267" s="145">
        <f t="shared" si="46"/>
        <v>0</v>
      </c>
      <c r="T267" s="136" t="str">
        <f t="shared" si="44"/>
        <v>0h0</v>
      </c>
    </row>
    <row r="268" spans="2:20" x14ac:dyDescent="0.3">
      <c r="B268" s="135">
        <f t="shared" si="47"/>
        <v>46458</v>
      </c>
      <c r="C268" s="136" t="str">
        <f t="shared" si="41"/>
        <v>Friday</v>
      </c>
      <c r="D268" s="145" t="s">
        <v>88</v>
      </c>
      <c r="E268" s="136"/>
      <c r="F268" s="136"/>
      <c r="G268" s="136">
        <f t="shared" si="48"/>
        <v>0</v>
      </c>
      <c r="H268" s="136" t="str">
        <f t="shared" si="45"/>
        <v>0h0</v>
      </c>
      <c r="I268" s="145" t="s">
        <v>88</v>
      </c>
      <c r="J268" s="136"/>
      <c r="K268" s="136"/>
      <c r="L268" s="136">
        <f t="shared" si="49"/>
        <v>0</v>
      </c>
      <c r="M268" s="136" t="str">
        <f t="shared" si="42"/>
        <v>0h0</v>
      </c>
      <c r="N268" s="145" t="s">
        <v>88</v>
      </c>
      <c r="O268" s="136"/>
      <c r="P268" s="136"/>
      <c r="Q268" s="136">
        <f t="shared" si="50"/>
        <v>0</v>
      </c>
      <c r="R268" s="136" t="str">
        <f t="shared" si="43"/>
        <v>0h0</v>
      </c>
      <c r="S268" s="145">
        <f t="shared" si="46"/>
        <v>0</v>
      </c>
      <c r="T268" s="136" t="str">
        <f t="shared" si="44"/>
        <v>0h0</v>
      </c>
    </row>
    <row r="269" spans="2:20" x14ac:dyDescent="0.3">
      <c r="B269" s="135">
        <f t="shared" si="47"/>
        <v>46459</v>
      </c>
      <c r="C269" s="136" t="str">
        <f t="shared" si="41"/>
        <v>Saturday</v>
      </c>
      <c r="D269" s="145" t="s">
        <v>88</v>
      </c>
      <c r="E269" s="136"/>
      <c r="F269" s="136"/>
      <c r="G269" s="136">
        <f t="shared" si="48"/>
        <v>0</v>
      </c>
      <c r="H269" s="136" t="str">
        <f t="shared" si="45"/>
        <v>0h0</v>
      </c>
      <c r="I269" s="145" t="s">
        <v>88</v>
      </c>
      <c r="J269" s="136"/>
      <c r="K269" s="136"/>
      <c r="L269" s="136">
        <f t="shared" si="49"/>
        <v>0</v>
      </c>
      <c r="M269" s="136" t="str">
        <f t="shared" si="42"/>
        <v>0h0</v>
      </c>
      <c r="N269" s="145" t="s">
        <v>88</v>
      </c>
      <c r="O269" s="136"/>
      <c r="P269" s="136"/>
      <c r="Q269" s="136">
        <f t="shared" si="50"/>
        <v>0</v>
      </c>
      <c r="R269" s="136" t="str">
        <f t="shared" si="43"/>
        <v>0h0</v>
      </c>
      <c r="S269" s="145">
        <f t="shared" si="46"/>
        <v>0</v>
      </c>
      <c r="T269" s="136" t="str">
        <f t="shared" si="44"/>
        <v>0h0</v>
      </c>
    </row>
    <row r="270" spans="2:20" x14ac:dyDescent="0.3">
      <c r="B270" s="135">
        <f t="shared" si="47"/>
        <v>46460</v>
      </c>
      <c r="C270" s="136" t="str">
        <f t="shared" si="41"/>
        <v>Sunday</v>
      </c>
      <c r="D270" s="145" t="s">
        <v>88</v>
      </c>
      <c r="E270" s="136"/>
      <c r="F270" s="136"/>
      <c r="G270" s="136">
        <f t="shared" si="48"/>
        <v>0</v>
      </c>
      <c r="H270" s="136" t="str">
        <f t="shared" si="45"/>
        <v>0h0</v>
      </c>
      <c r="I270" s="145" t="s">
        <v>88</v>
      </c>
      <c r="J270" s="136"/>
      <c r="K270" s="136"/>
      <c r="L270" s="136">
        <f t="shared" si="49"/>
        <v>0</v>
      </c>
      <c r="M270" s="136" t="str">
        <f t="shared" si="42"/>
        <v>0h0</v>
      </c>
      <c r="N270" s="145" t="s">
        <v>88</v>
      </c>
      <c r="O270" s="136"/>
      <c r="P270" s="136"/>
      <c r="Q270" s="136">
        <f t="shared" si="50"/>
        <v>0</v>
      </c>
      <c r="R270" s="136" t="str">
        <f t="shared" si="43"/>
        <v>0h0</v>
      </c>
      <c r="S270" s="145">
        <f t="shared" si="46"/>
        <v>0</v>
      </c>
      <c r="T270" s="136" t="str">
        <f t="shared" si="44"/>
        <v>0h0</v>
      </c>
    </row>
    <row r="271" spans="2:20" x14ac:dyDescent="0.3">
      <c r="B271" s="135">
        <f t="shared" si="47"/>
        <v>46461</v>
      </c>
      <c r="C271" s="136" t="str">
        <f t="shared" si="41"/>
        <v>Monday</v>
      </c>
      <c r="D271" s="145" t="s">
        <v>88</v>
      </c>
      <c r="E271" s="136"/>
      <c r="F271" s="136"/>
      <c r="G271" s="136">
        <f t="shared" si="48"/>
        <v>0</v>
      </c>
      <c r="H271" s="136" t="str">
        <f t="shared" si="45"/>
        <v>0h0</v>
      </c>
      <c r="I271" s="145" t="s">
        <v>88</v>
      </c>
      <c r="J271" s="136"/>
      <c r="K271" s="136"/>
      <c r="L271" s="136">
        <f t="shared" si="49"/>
        <v>0</v>
      </c>
      <c r="M271" s="136" t="str">
        <f t="shared" si="42"/>
        <v>0h0</v>
      </c>
      <c r="N271" s="145" t="s">
        <v>88</v>
      </c>
      <c r="O271" s="136"/>
      <c r="P271" s="136"/>
      <c r="Q271" s="136">
        <f t="shared" si="50"/>
        <v>0</v>
      </c>
      <c r="R271" s="136" t="str">
        <f t="shared" si="43"/>
        <v>0h0</v>
      </c>
      <c r="S271" s="145">
        <f t="shared" si="46"/>
        <v>0</v>
      </c>
      <c r="T271" s="136" t="str">
        <f t="shared" si="44"/>
        <v>0h0</v>
      </c>
    </row>
    <row r="272" spans="2:20" x14ac:dyDescent="0.3">
      <c r="B272" s="135">
        <f t="shared" si="47"/>
        <v>46462</v>
      </c>
      <c r="C272" s="136" t="str">
        <f t="shared" si="41"/>
        <v>Tuesday</v>
      </c>
      <c r="D272" s="145" t="s">
        <v>88</v>
      </c>
      <c r="E272" s="136"/>
      <c r="F272" s="136"/>
      <c r="G272" s="136">
        <f t="shared" si="48"/>
        <v>0</v>
      </c>
      <c r="H272" s="136" t="str">
        <f t="shared" si="45"/>
        <v>0h0</v>
      </c>
      <c r="I272" s="145" t="s">
        <v>88</v>
      </c>
      <c r="J272" s="136"/>
      <c r="K272" s="136"/>
      <c r="L272" s="136">
        <f t="shared" si="49"/>
        <v>0</v>
      </c>
      <c r="M272" s="136" t="str">
        <f t="shared" si="42"/>
        <v>0h0</v>
      </c>
      <c r="N272" s="145" t="s">
        <v>88</v>
      </c>
      <c r="O272" s="136"/>
      <c r="P272" s="136"/>
      <c r="Q272" s="136">
        <f t="shared" si="50"/>
        <v>0</v>
      </c>
      <c r="R272" s="136" t="str">
        <f t="shared" si="43"/>
        <v>0h0</v>
      </c>
      <c r="S272" s="145">
        <f t="shared" si="46"/>
        <v>0</v>
      </c>
      <c r="T272" s="136" t="str">
        <f t="shared" si="44"/>
        <v>0h0</v>
      </c>
    </row>
    <row r="273" spans="2:20" x14ac:dyDescent="0.3">
      <c r="B273" s="135">
        <f t="shared" si="47"/>
        <v>46463</v>
      </c>
      <c r="C273" s="136" t="str">
        <f t="shared" si="41"/>
        <v>Wednesday</v>
      </c>
      <c r="D273" s="145" t="s">
        <v>88</v>
      </c>
      <c r="E273" s="136"/>
      <c r="F273" s="136"/>
      <c r="G273" s="136">
        <f t="shared" si="48"/>
        <v>0</v>
      </c>
      <c r="H273" s="136" t="str">
        <f t="shared" si="45"/>
        <v>0h0</v>
      </c>
      <c r="I273" s="145" t="s">
        <v>88</v>
      </c>
      <c r="J273" s="136"/>
      <c r="K273" s="136"/>
      <c r="L273" s="136">
        <f t="shared" si="49"/>
        <v>0</v>
      </c>
      <c r="M273" s="136" t="str">
        <f t="shared" si="42"/>
        <v>0h0</v>
      </c>
      <c r="N273" s="145" t="s">
        <v>88</v>
      </c>
      <c r="O273" s="136"/>
      <c r="P273" s="136"/>
      <c r="Q273" s="136">
        <f t="shared" si="50"/>
        <v>0</v>
      </c>
      <c r="R273" s="136" t="str">
        <f t="shared" si="43"/>
        <v>0h0</v>
      </c>
      <c r="S273" s="145">
        <f t="shared" si="46"/>
        <v>0</v>
      </c>
      <c r="T273" s="136" t="str">
        <f t="shared" si="44"/>
        <v>0h0</v>
      </c>
    </row>
    <row r="274" spans="2:20" x14ac:dyDescent="0.3">
      <c r="B274" s="135">
        <f t="shared" si="47"/>
        <v>46464</v>
      </c>
      <c r="C274" s="136" t="str">
        <f t="shared" si="41"/>
        <v>Thursday</v>
      </c>
      <c r="D274" s="145" t="s">
        <v>88</v>
      </c>
      <c r="E274" s="136"/>
      <c r="F274" s="136"/>
      <c r="G274" s="136">
        <f t="shared" si="48"/>
        <v>0</v>
      </c>
      <c r="H274" s="136" t="str">
        <f t="shared" si="45"/>
        <v>0h0</v>
      </c>
      <c r="I274" s="145" t="s">
        <v>88</v>
      </c>
      <c r="J274" s="136"/>
      <c r="K274" s="136"/>
      <c r="L274" s="136">
        <f t="shared" si="49"/>
        <v>0</v>
      </c>
      <c r="M274" s="136" t="str">
        <f t="shared" si="42"/>
        <v>0h0</v>
      </c>
      <c r="N274" s="145" t="s">
        <v>88</v>
      </c>
      <c r="O274" s="136"/>
      <c r="P274" s="136"/>
      <c r="Q274" s="136">
        <f t="shared" si="50"/>
        <v>0</v>
      </c>
      <c r="R274" s="136" t="str">
        <f t="shared" si="43"/>
        <v>0h0</v>
      </c>
      <c r="S274" s="145">
        <f t="shared" si="46"/>
        <v>0</v>
      </c>
      <c r="T274" s="136" t="str">
        <f t="shared" si="44"/>
        <v>0h0</v>
      </c>
    </row>
    <row r="275" spans="2:20" x14ac:dyDescent="0.3">
      <c r="B275" s="135">
        <f t="shared" si="47"/>
        <v>46465</v>
      </c>
      <c r="C275" s="136" t="str">
        <f t="shared" si="41"/>
        <v>Friday</v>
      </c>
      <c r="D275" s="145" t="s">
        <v>88</v>
      </c>
      <c r="E275" s="136"/>
      <c r="F275" s="136"/>
      <c r="G275" s="136">
        <f t="shared" si="48"/>
        <v>0</v>
      </c>
      <c r="H275" s="136" t="str">
        <f t="shared" si="45"/>
        <v>0h0</v>
      </c>
      <c r="I275" s="145" t="s">
        <v>88</v>
      </c>
      <c r="J275" s="136"/>
      <c r="K275" s="136"/>
      <c r="L275" s="136">
        <f t="shared" si="49"/>
        <v>0</v>
      </c>
      <c r="M275" s="136" t="str">
        <f t="shared" si="42"/>
        <v>0h0</v>
      </c>
      <c r="N275" s="145" t="s">
        <v>88</v>
      </c>
      <c r="O275" s="136"/>
      <c r="P275" s="136"/>
      <c r="Q275" s="136">
        <f t="shared" si="50"/>
        <v>0</v>
      </c>
      <c r="R275" s="136" t="str">
        <f t="shared" si="43"/>
        <v>0h0</v>
      </c>
      <c r="S275" s="145">
        <f t="shared" si="46"/>
        <v>0</v>
      </c>
      <c r="T275" s="136" t="str">
        <f t="shared" si="44"/>
        <v>0h0</v>
      </c>
    </row>
    <row r="276" spans="2:20" x14ac:dyDescent="0.3">
      <c r="B276" s="135">
        <f t="shared" si="47"/>
        <v>46466</v>
      </c>
      <c r="C276" s="136" t="str">
        <f t="shared" si="41"/>
        <v>Saturday</v>
      </c>
      <c r="D276" s="145" t="s">
        <v>88</v>
      </c>
      <c r="E276" s="136"/>
      <c r="F276" s="136"/>
      <c r="G276" s="136">
        <f t="shared" si="48"/>
        <v>0</v>
      </c>
      <c r="H276" s="136" t="str">
        <f t="shared" si="45"/>
        <v>0h0</v>
      </c>
      <c r="I276" s="145" t="s">
        <v>88</v>
      </c>
      <c r="J276" s="136"/>
      <c r="K276" s="136"/>
      <c r="L276" s="136">
        <f t="shared" si="49"/>
        <v>0</v>
      </c>
      <c r="M276" s="136" t="str">
        <f t="shared" si="42"/>
        <v>0h0</v>
      </c>
      <c r="N276" s="145" t="s">
        <v>88</v>
      </c>
      <c r="O276" s="136"/>
      <c r="P276" s="136"/>
      <c r="Q276" s="136">
        <f t="shared" si="50"/>
        <v>0</v>
      </c>
      <c r="R276" s="136" t="str">
        <f t="shared" si="43"/>
        <v>0h0</v>
      </c>
      <c r="S276" s="145">
        <f t="shared" si="46"/>
        <v>0</v>
      </c>
      <c r="T276" s="136" t="str">
        <f t="shared" si="44"/>
        <v>0h0</v>
      </c>
    </row>
    <row r="277" spans="2:20" x14ac:dyDescent="0.3">
      <c r="B277" s="135">
        <f t="shared" si="47"/>
        <v>46467</v>
      </c>
      <c r="C277" s="136" t="str">
        <f t="shared" si="41"/>
        <v>Sunday</v>
      </c>
      <c r="D277" s="145" t="s">
        <v>88</v>
      </c>
      <c r="E277" s="136"/>
      <c r="F277" s="136"/>
      <c r="G277" s="136">
        <f t="shared" si="48"/>
        <v>0</v>
      </c>
      <c r="H277" s="136" t="str">
        <f t="shared" si="45"/>
        <v>0h0</v>
      </c>
      <c r="I277" s="145" t="s">
        <v>88</v>
      </c>
      <c r="J277" s="136"/>
      <c r="K277" s="136"/>
      <c r="L277" s="136">
        <f t="shared" si="49"/>
        <v>0</v>
      </c>
      <c r="M277" s="136" t="str">
        <f t="shared" si="42"/>
        <v>0h0</v>
      </c>
      <c r="N277" s="145" t="s">
        <v>88</v>
      </c>
      <c r="O277" s="136"/>
      <c r="P277" s="136"/>
      <c r="Q277" s="136">
        <f t="shared" si="50"/>
        <v>0</v>
      </c>
      <c r="R277" s="136" t="str">
        <f t="shared" si="43"/>
        <v>0h0</v>
      </c>
      <c r="S277" s="145">
        <f t="shared" si="46"/>
        <v>0</v>
      </c>
      <c r="T277" s="136" t="str">
        <f t="shared" si="44"/>
        <v>0h0</v>
      </c>
    </row>
    <row r="278" spans="2:20" x14ac:dyDescent="0.3">
      <c r="B278" s="135">
        <f t="shared" si="47"/>
        <v>46468</v>
      </c>
      <c r="C278" s="136" t="str">
        <f t="shared" si="41"/>
        <v>Monday</v>
      </c>
      <c r="D278" s="145" t="s">
        <v>88</v>
      </c>
      <c r="E278" s="136"/>
      <c r="F278" s="136"/>
      <c r="G278" s="136">
        <f t="shared" si="48"/>
        <v>0</v>
      </c>
      <c r="H278" s="136" t="str">
        <f t="shared" si="45"/>
        <v>0h0</v>
      </c>
      <c r="I278" s="145" t="s">
        <v>88</v>
      </c>
      <c r="J278" s="136"/>
      <c r="K278" s="136"/>
      <c r="L278" s="136">
        <f t="shared" si="49"/>
        <v>0</v>
      </c>
      <c r="M278" s="136" t="str">
        <f t="shared" si="42"/>
        <v>0h0</v>
      </c>
      <c r="N278" s="145" t="s">
        <v>88</v>
      </c>
      <c r="O278" s="136"/>
      <c r="P278" s="136"/>
      <c r="Q278" s="136">
        <f t="shared" si="50"/>
        <v>0</v>
      </c>
      <c r="R278" s="136" t="str">
        <f t="shared" si="43"/>
        <v>0h0</v>
      </c>
      <c r="S278" s="145">
        <f t="shared" si="46"/>
        <v>0</v>
      </c>
      <c r="T278" s="136" t="str">
        <f t="shared" si="44"/>
        <v>0h0</v>
      </c>
    </row>
    <row r="279" spans="2:20" x14ac:dyDescent="0.3">
      <c r="B279" s="135">
        <f t="shared" si="47"/>
        <v>46469</v>
      </c>
      <c r="C279" s="136" t="str">
        <f t="shared" si="41"/>
        <v>Tuesday</v>
      </c>
      <c r="D279" s="145" t="s">
        <v>88</v>
      </c>
      <c r="E279" s="136"/>
      <c r="F279" s="136"/>
      <c r="G279" s="136">
        <f t="shared" si="48"/>
        <v>0</v>
      </c>
      <c r="H279" s="136" t="str">
        <f t="shared" si="45"/>
        <v>0h0</v>
      </c>
      <c r="I279" s="145" t="s">
        <v>88</v>
      </c>
      <c r="J279" s="136"/>
      <c r="K279" s="136"/>
      <c r="L279" s="136">
        <f t="shared" si="49"/>
        <v>0</v>
      </c>
      <c r="M279" s="136" t="str">
        <f t="shared" si="42"/>
        <v>0h0</v>
      </c>
      <c r="N279" s="145" t="s">
        <v>88</v>
      </c>
      <c r="O279" s="136"/>
      <c r="P279" s="136"/>
      <c r="Q279" s="136">
        <f t="shared" si="50"/>
        <v>0</v>
      </c>
      <c r="R279" s="136" t="str">
        <f t="shared" si="43"/>
        <v>0h0</v>
      </c>
      <c r="S279" s="145">
        <f t="shared" si="46"/>
        <v>0</v>
      </c>
      <c r="T279" s="136" t="str">
        <f t="shared" si="44"/>
        <v>0h0</v>
      </c>
    </row>
    <row r="280" spans="2:20" x14ac:dyDescent="0.3">
      <c r="B280" s="135">
        <f t="shared" si="47"/>
        <v>46470</v>
      </c>
      <c r="C280" s="136" t="str">
        <f t="shared" si="41"/>
        <v>Wednesday</v>
      </c>
      <c r="D280" s="145" t="s">
        <v>88</v>
      </c>
      <c r="E280" s="136"/>
      <c r="F280" s="136"/>
      <c r="G280" s="136">
        <f t="shared" si="48"/>
        <v>0</v>
      </c>
      <c r="H280" s="136" t="str">
        <f t="shared" si="45"/>
        <v>0h0</v>
      </c>
      <c r="I280" s="145" t="s">
        <v>88</v>
      </c>
      <c r="J280" s="136"/>
      <c r="K280" s="136"/>
      <c r="L280" s="136">
        <f t="shared" si="49"/>
        <v>0</v>
      </c>
      <c r="M280" s="136" t="str">
        <f t="shared" si="42"/>
        <v>0h0</v>
      </c>
      <c r="N280" s="145" t="s">
        <v>88</v>
      </c>
      <c r="O280" s="136"/>
      <c r="P280" s="136"/>
      <c r="Q280" s="136">
        <f t="shared" si="50"/>
        <v>0</v>
      </c>
      <c r="R280" s="136" t="str">
        <f t="shared" si="43"/>
        <v>0h0</v>
      </c>
      <c r="S280" s="145">
        <f t="shared" si="46"/>
        <v>0</v>
      </c>
      <c r="T280" s="136" t="str">
        <f t="shared" si="44"/>
        <v>0h0</v>
      </c>
    </row>
    <row r="281" spans="2:20" x14ac:dyDescent="0.3">
      <c r="B281" s="135">
        <f t="shared" si="47"/>
        <v>46471</v>
      </c>
      <c r="C281" s="136" t="str">
        <f t="shared" si="41"/>
        <v>Thursday</v>
      </c>
      <c r="D281" s="145" t="s">
        <v>88</v>
      </c>
      <c r="E281" s="136"/>
      <c r="F281" s="136"/>
      <c r="G281" s="136">
        <f t="shared" si="48"/>
        <v>0</v>
      </c>
      <c r="H281" s="136" t="str">
        <f t="shared" si="45"/>
        <v>0h0</v>
      </c>
      <c r="I281" s="145" t="s">
        <v>88</v>
      </c>
      <c r="J281" s="136"/>
      <c r="K281" s="136"/>
      <c r="L281" s="136">
        <f t="shared" si="49"/>
        <v>0</v>
      </c>
      <c r="M281" s="136" t="str">
        <f t="shared" si="42"/>
        <v>0h0</v>
      </c>
      <c r="N281" s="145" t="s">
        <v>88</v>
      </c>
      <c r="O281" s="136"/>
      <c r="P281" s="136"/>
      <c r="Q281" s="136">
        <f t="shared" si="50"/>
        <v>0</v>
      </c>
      <c r="R281" s="136" t="str">
        <f t="shared" si="43"/>
        <v>0h0</v>
      </c>
      <c r="S281" s="145">
        <f t="shared" si="46"/>
        <v>0</v>
      </c>
      <c r="T281" s="136" t="str">
        <f t="shared" si="44"/>
        <v>0h0</v>
      </c>
    </row>
    <row r="282" spans="2:20" x14ac:dyDescent="0.3">
      <c r="B282" s="135">
        <f t="shared" si="47"/>
        <v>46472</v>
      </c>
      <c r="C282" s="136" t="str">
        <f t="shared" si="41"/>
        <v>Friday</v>
      </c>
      <c r="D282" s="145" t="s">
        <v>88</v>
      </c>
      <c r="E282" s="136"/>
      <c r="F282" s="136"/>
      <c r="G282" s="136">
        <f t="shared" si="48"/>
        <v>0</v>
      </c>
      <c r="H282" s="136" t="str">
        <f t="shared" si="45"/>
        <v>0h0</v>
      </c>
      <c r="I282" s="145" t="s">
        <v>88</v>
      </c>
      <c r="J282" s="136"/>
      <c r="K282" s="136"/>
      <c r="L282" s="136">
        <f t="shared" si="49"/>
        <v>0</v>
      </c>
      <c r="M282" s="136" t="str">
        <f t="shared" si="42"/>
        <v>0h0</v>
      </c>
      <c r="N282" s="145" t="s">
        <v>88</v>
      </c>
      <c r="O282" s="136"/>
      <c r="P282" s="136"/>
      <c r="Q282" s="136">
        <f t="shared" si="50"/>
        <v>0</v>
      </c>
      <c r="R282" s="136" t="str">
        <f t="shared" si="43"/>
        <v>0h0</v>
      </c>
      <c r="S282" s="145">
        <f t="shared" si="46"/>
        <v>0</v>
      </c>
      <c r="T282" s="136" t="str">
        <f t="shared" si="44"/>
        <v>0h0</v>
      </c>
    </row>
    <row r="283" spans="2:20" x14ac:dyDescent="0.3">
      <c r="B283" s="135">
        <f t="shared" si="47"/>
        <v>46473</v>
      </c>
      <c r="C283" s="136" t="str">
        <f t="shared" si="41"/>
        <v>Saturday</v>
      </c>
      <c r="D283" s="145" t="s">
        <v>88</v>
      </c>
      <c r="E283" s="136"/>
      <c r="F283" s="136"/>
      <c r="G283" s="136">
        <f t="shared" si="48"/>
        <v>0</v>
      </c>
      <c r="H283" s="136" t="str">
        <f t="shared" si="45"/>
        <v>0h0</v>
      </c>
      <c r="I283" s="145" t="s">
        <v>88</v>
      </c>
      <c r="J283" s="136"/>
      <c r="K283" s="136"/>
      <c r="L283" s="136">
        <f t="shared" si="49"/>
        <v>0</v>
      </c>
      <c r="M283" s="136" t="str">
        <f t="shared" si="42"/>
        <v>0h0</v>
      </c>
      <c r="N283" s="145" t="s">
        <v>88</v>
      </c>
      <c r="O283" s="136"/>
      <c r="P283" s="136"/>
      <c r="Q283" s="136">
        <f t="shared" si="50"/>
        <v>0</v>
      </c>
      <c r="R283" s="136" t="str">
        <f t="shared" si="43"/>
        <v>0h0</v>
      </c>
      <c r="S283" s="145">
        <f t="shared" si="46"/>
        <v>0</v>
      </c>
      <c r="T283" s="136" t="str">
        <f t="shared" si="44"/>
        <v>0h0</v>
      </c>
    </row>
    <row r="284" spans="2:20" x14ac:dyDescent="0.3">
      <c r="B284" s="135">
        <f t="shared" si="47"/>
        <v>46474</v>
      </c>
      <c r="C284" s="136" t="str">
        <f t="shared" si="41"/>
        <v>Sunday</v>
      </c>
      <c r="D284" s="145" t="s">
        <v>88</v>
      </c>
      <c r="E284" s="136"/>
      <c r="F284" s="136"/>
      <c r="G284" s="136">
        <f t="shared" si="48"/>
        <v>0</v>
      </c>
      <c r="H284" s="136" t="str">
        <f t="shared" si="45"/>
        <v>0h0</v>
      </c>
      <c r="I284" s="145" t="s">
        <v>88</v>
      </c>
      <c r="J284" s="136"/>
      <c r="K284" s="136"/>
      <c r="L284" s="136">
        <f t="shared" si="49"/>
        <v>0</v>
      </c>
      <c r="M284" s="136" t="str">
        <f t="shared" si="42"/>
        <v>0h0</v>
      </c>
      <c r="N284" s="145" t="s">
        <v>88</v>
      </c>
      <c r="O284" s="136"/>
      <c r="P284" s="136"/>
      <c r="Q284" s="136">
        <f t="shared" si="50"/>
        <v>0</v>
      </c>
      <c r="R284" s="136" t="str">
        <f t="shared" si="43"/>
        <v>0h0</v>
      </c>
      <c r="S284" s="145">
        <f t="shared" si="46"/>
        <v>0</v>
      </c>
      <c r="T284" s="136" t="str">
        <f t="shared" si="44"/>
        <v>0h0</v>
      </c>
    </row>
    <row r="285" spans="2:20" x14ac:dyDescent="0.3">
      <c r="B285" s="135">
        <f t="shared" si="47"/>
        <v>46475</v>
      </c>
      <c r="C285" s="136" t="str">
        <f t="shared" si="41"/>
        <v>Monday</v>
      </c>
      <c r="D285" s="145" t="s">
        <v>88</v>
      </c>
      <c r="E285" s="136"/>
      <c r="F285" s="136"/>
      <c r="G285" s="136">
        <f t="shared" si="48"/>
        <v>0</v>
      </c>
      <c r="H285" s="136" t="str">
        <f t="shared" si="45"/>
        <v>0h0</v>
      </c>
      <c r="I285" s="145" t="s">
        <v>88</v>
      </c>
      <c r="J285" s="136"/>
      <c r="K285" s="136"/>
      <c r="L285" s="136">
        <f t="shared" si="49"/>
        <v>0</v>
      </c>
      <c r="M285" s="136" t="str">
        <f t="shared" si="42"/>
        <v>0h0</v>
      </c>
      <c r="N285" s="145" t="s">
        <v>88</v>
      </c>
      <c r="O285" s="136"/>
      <c r="P285" s="136"/>
      <c r="Q285" s="136">
        <f t="shared" si="50"/>
        <v>0</v>
      </c>
      <c r="R285" s="136" t="str">
        <f t="shared" si="43"/>
        <v>0h0</v>
      </c>
      <c r="S285" s="145">
        <f t="shared" si="46"/>
        <v>0</v>
      </c>
      <c r="T285" s="136" t="str">
        <f t="shared" si="44"/>
        <v>0h0</v>
      </c>
    </row>
    <row r="286" spans="2:20" x14ac:dyDescent="0.3">
      <c r="B286" s="135">
        <f t="shared" si="47"/>
        <v>46476</v>
      </c>
      <c r="C286" s="136" t="str">
        <f t="shared" si="41"/>
        <v>Tuesday</v>
      </c>
      <c r="D286" s="145" t="s">
        <v>88</v>
      </c>
      <c r="E286" s="136"/>
      <c r="F286" s="136"/>
      <c r="G286" s="136">
        <f t="shared" si="48"/>
        <v>0</v>
      </c>
      <c r="H286" s="136" t="str">
        <f t="shared" si="45"/>
        <v>0h0</v>
      </c>
      <c r="I286" s="145" t="s">
        <v>88</v>
      </c>
      <c r="J286" s="136"/>
      <c r="K286" s="136"/>
      <c r="L286" s="136">
        <f t="shared" si="49"/>
        <v>0</v>
      </c>
      <c r="M286" s="136" t="str">
        <f t="shared" si="42"/>
        <v>0h0</v>
      </c>
      <c r="N286" s="145" t="s">
        <v>88</v>
      </c>
      <c r="O286" s="136"/>
      <c r="P286" s="136"/>
      <c r="Q286" s="136">
        <f t="shared" si="50"/>
        <v>0</v>
      </c>
      <c r="R286" s="136" t="str">
        <f t="shared" si="43"/>
        <v>0h0</v>
      </c>
      <c r="S286" s="145">
        <f t="shared" si="46"/>
        <v>0</v>
      </c>
      <c r="T286" s="136" t="str">
        <f t="shared" si="44"/>
        <v>0h0</v>
      </c>
    </row>
    <row r="287" spans="2:20" x14ac:dyDescent="0.3">
      <c r="B287" s="135">
        <f t="shared" si="47"/>
        <v>46477</v>
      </c>
      <c r="C287" s="136" t="str">
        <f t="shared" si="41"/>
        <v>Wednesday</v>
      </c>
      <c r="D287" s="145" t="s">
        <v>88</v>
      </c>
      <c r="E287" s="136"/>
      <c r="F287" s="136"/>
      <c r="G287" s="136">
        <f t="shared" si="48"/>
        <v>0</v>
      </c>
      <c r="H287" s="136" t="str">
        <f t="shared" si="45"/>
        <v>0h0</v>
      </c>
      <c r="I287" s="145" t="s">
        <v>88</v>
      </c>
      <c r="J287" s="136"/>
      <c r="K287" s="136"/>
      <c r="L287" s="136">
        <f t="shared" si="49"/>
        <v>0</v>
      </c>
      <c r="M287" s="136" t="str">
        <f t="shared" si="42"/>
        <v>0h0</v>
      </c>
      <c r="N287" s="145" t="s">
        <v>88</v>
      </c>
      <c r="O287" s="136"/>
      <c r="P287" s="136"/>
      <c r="Q287" s="136">
        <f t="shared" si="50"/>
        <v>0</v>
      </c>
      <c r="R287" s="136" t="str">
        <f t="shared" si="43"/>
        <v>0h0</v>
      </c>
      <c r="S287" s="145">
        <f t="shared" si="46"/>
        <v>0</v>
      </c>
      <c r="T287" s="136" t="str">
        <f t="shared" si="44"/>
        <v>0h0</v>
      </c>
    </row>
    <row r="288" spans="2:20" x14ac:dyDescent="0.3">
      <c r="B288" s="135">
        <f t="shared" si="47"/>
        <v>46478</v>
      </c>
      <c r="C288" s="136" t="str">
        <f t="shared" si="41"/>
        <v>Thursday</v>
      </c>
      <c r="D288" s="145" t="s">
        <v>88</v>
      </c>
      <c r="E288" s="136"/>
      <c r="F288" s="136"/>
      <c r="G288" s="136">
        <f t="shared" si="48"/>
        <v>0</v>
      </c>
      <c r="H288" s="136" t="str">
        <f t="shared" si="45"/>
        <v>0h0</v>
      </c>
      <c r="I288" s="145" t="s">
        <v>88</v>
      </c>
      <c r="J288" s="136"/>
      <c r="K288" s="136"/>
      <c r="L288" s="136">
        <f t="shared" si="49"/>
        <v>0</v>
      </c>
      <c r="M288" s="136" t="str">
        <f t="shared" si="42"/>
        <v>0h0</v>
      </c>
      <c r="N288" s="145" t="s">
        <v>88</v>
      </c>
      <c r="O288" s="136"/>
      <c r="P288" s="136"/>
      <c r="Q288" s="136">
        <f t="shared" si="50"/>
        <v>0</v>
      </c>
      <c r="R288" s="136" t="str">
        <f t="shared" si="43"/>
        <v>0h0</v>
      </c>
      <c r="S288" s="145">
        <f t="shared" si="46"/>
        <v>0</v>
      </c>
      <c r="T288" s="136" t="str">
        <f t="shared" si="44"/>
        <v>0h0</v>
      </c>
    </row>
    <row r="289" spans="2:20" x14ac:dyDescent="0.3">
      <c r="B289" s="135">
        <f t="shared" si="47"/>
        <v>46479</v>
      </c>
      <c r="C289" s="136" t="str">
        <f t="shared" si="41"/>
        <v>Friday</v>
      </c>
      <c r="D289" s="145" t="s">
        <v>88</v>
      </c>
      <c r="E289" s="136"/>
      <c r="F289" s="136"/>
      <c r="G289" s="136">
        <f t="shared" si="48"/>
        <v>0</v>
      </c>
      <c r="H289" s="136" t="str">
        <f t="shared" si="45"/>
        <v>0h0</v>
      </c>
      <c r="I289" s="145" t="s">
        <v>88</v>
      </c>
      <c r="J289" s="136"/>
      <c r="K289" s="136"/>
      <c r="L289" s="136">
        <f t="shared" si="49"/>
        <v>0</v>
      </c>
      <c r="M289" s="136" t="str">
        <f t="shared" si="42"/>
        <v>0h0</v>
      </c>
      <c r="N289" s="145" t="s">
        <v>88</v>
      </c>
      <c r="O289" s="136"/>
      <c r="P289" s="136"/>
      <c r="Q289" s="136">
        <f t="shared" si="50"/>
        <v>0</v>
      </c>
      <c r="R289" s="136" t="str">
        <f t="shared" si="43"/>
        <v>0h0</v>
      </c>
      <c r="S289" s="145">
        <f t="shared" si="46"/>
        <v>0</v>
      </c>
      <c r="T289" s="136" t="str">
        <f t="shared" si="44"/>
        <v>0h0</v>
      </c>
    </row>
    <row r="290" spans="2:20" x14ac:dyDescent="0.3">
      <c r="B290" s="135">
        <f t="shared" si="47"/>
        <v>46480</v>
      </c>
      <c r="C290" s="136" t="str">
        <f t="shared" si="41"/>
        <v>Saturday</v>
      </c>
      <c r="D290" s="145" t="s">
        <v>88</v>
      </c>
      <c r="E290" s="136"/>
      <c r="F290" s="136"/>
      <c r="G290" s="136">
        <f t="shared" si="48"/>
        <v>0</v>
      </c>
      <c r="H290" s="136" t="str">
        <f t="shared" si="45"/>
        <v>0h0</v>
      </c>
      <c r="I290" s="145" t="s">
        <v>88</v>
      </c>
      <c r="J290" s="136"/>
      <c r="K290" s="136"/>
      <c r="L290" s="136">
        <f t="shared" si="49"/>
        <v>0</v>
      </c>
      <c r="M290" s="136" t="str">
        <f t="shared" si="42"/>
        <v>0h0</v>
      </c>
      <c r="N290" s="145" t="s">
        <v>88</v>
      </c>
      <c r="O290" s="136"/>
      <c r="P290" s="136"/>
      <c r="Q290" s="136">
        <f t="shared" si="50"/>
        <v>0</v>
      </c>
      <c r="R290" s="136" t="str">
        <f t="shared" si="43"/>
        <v>0h0</v>
      </c>
      <c r="S290" s="145">
        <f t="shared" si="46"/>
        <v>0</v>
      </c>
      <c r="T290" s="136" t="str">
        <f t="shared" si="44"/>
        <v>0h0</v>
      </c>
    </row>
    <row r="291" spans="2:20" x14ac:dyDescent="0.3">
      <c r="B291" s="135">
        <f t="shared" si="47"/>
        <v>46481</v>
      </c>
      <c r="C291" s="136" t="str">
        <f t="shared" si="41"/>
        <v>Sunday</v>
      </c>
      <c r="D291" s="145" t="s">
        <v>88</v>
      </c>
      <c r="E291" s="136"/>
      <c r="F291" s="136"/>
      <c r="G291" s="136">
        <f t="shared" si="48"/>
        <v>0</v>
      </c>
      <c r="H291" s="136" t="str">
        <f t="shared" si="45"/>
        <v>0h0</v>
      </c>
      <c r="I291" s="145" t="s">
        <v>88</v>
      </c>
      <c r="J291" s="136"/>
      <c r="K291" s="136"/>
      <c r="L291" s="136">
        <f t="shared" si="49"/>
        <v>0</v>
      </c>
      <c r="M291" s="136" t="str">
        <f t="shared" si="42"/>
        <v>0h0</v>
      </c>
      <c r="N291" s="145" t="s">
        <v>88</v>
      </c>
      <c r="O291" s="136"/>
      <c r="P291" s="136"/>
      <c r="Q291" s="136">
        <f t="shared" si="50"/>
        <v>0</v>
      </c>
      <c r="R291" s="136" t="str">
        <f t="shared" si="43"/>
        <v>0h0</v>
      </c>
      <c r="S291" s="145">
        <f t="shared" si="46"/>
        <v>0</v>
      </c>
      <c r="T291" s="136" t="str">
        <f t="shared" si="44"/>
        <v>0h0</v>
      </c>
    </row>
    <row r="292" spans="2:20" x14ac:dyDescent="0.3">
      <c r="B292" s="135">
        <f t="shared" si="47"/>
        <v>46482</v>
      </c>
      <c r="C292" s="136" t="str">
        <f t="shared" si="41"/>
        <v>Monday</v>
      </c>
      <c r="D292" s="145" t="s">
        <v>88</v>
      </c>
      <c r="E292" s="136"/>
      <c r="F292" s="136"/>
      <c r="G292" s="136">
        <f t="shared" si="48"/>
        <v>0</v>
      </c>
      <c r="H292" s="136" t="str">
        <f t="shared" si="45"/>
        <v>0h0</v>
      </c>
      <c r="I292" s="145" t="s">
        <v>88</v>
      </c>
      <c r="J292" s="136"/>
      <c r="K292" s="136"/>
      <c r="L292" s="136">
        <f t="shared" si="49"/>
        <v>0</v>
      </c>
      <c r="M292" s="136" t="str">
        <f t="shared" si="42"/>
        <v>0h0</v>
      </c>
      <c r="N292" s="145" t="s">
        <v>88</v>
      </c>
      <c r="O292" s="136"/>
      <c r="P292" s="136"/>
      <c r="Q292" s="136">
        <f t="shared" si="50"/>
        <v>0</v>
      </c>
      <c r="R292" s="136" t="str">
        <f t="shared" si="43"/>
        <v>0h0</v>
      </c>
      <c r="S292" s="145">
        <f t="shared" si="46"/>
        <v>0</v>
      </c>
      <c r="T292" s="136" t="str">
        <f t="shared" si="44"/>
        <v>0h0</v>
      </c>
    </row>
    <row r="293" spans="2:20" x14ac:dyDescent="0.3">
      <c r="B293" s="135">
        <f t="shared" si="47"/>
        <v>46483</v>
      </c>
      <c r="C293" s="136" t="str">
        <f t="shared" si="41"/>
        <v>Tuesday</v>
      </c>
      <c r="D293" s="145" t="s">
        <v>88</v>
      </c>
      <c r="E293" s="136"/>
      <c r="F293" s="136"/>
      <c r="G293" s="136">
        <f t="shared" si="48"/>
        <v>0</v>
      </c>
      <c r="H293" s="136" t="str">
        <f t="shared" si="45"/>
        <v>0h0</v>
      </c>
      <c r="I293" s="145" t="s">
        <v>88</v>
      </c>
      <c r="J293" s="136"/>
      <c r="K293" s="136"/>
      <c r="L293" s="136">
        <f t="shared" si="49"/>
        <v>0</v>
      </c>
      <c r="M293" s="136" t="str">
        <f t="shared" si="42"/>
        <v>0h0</v>
      </c>
      <c r="N293" s="145" t="s">
        <v>88</v>
      </c>
      <c r="O293" s="136"/>
      <c r="P293" s="136"/>
      <c r="Q293" s="136">
        <f t="shared" si="50"/>
        <v>0</v>
      </c>
      <c r="R293" s="136" t="str">
        <f t="shared" si="43"/>
        <v>0h0</v>
      </c>
      <c r="S293" s="145">
        <f t="shared" si="46"/>
        <v>0</v>
      </c>
      <c r="T293" s="136" t="str">
        <f t="shared" si="44"/>
        <v>0h0</v>
      </c>
    </row>
    <row r="294" spans="2:20" x14ac:dyDescent="0.3">
      <c r="B294" s="135">
        <f t="shared" si="47"/>
        <v>46484</v>
      </c>
      <c r="C294" s="136" t="str">
        <f t="shared" si="41"/>
        <v>Wednesday</v>
      </c>
      <c r="D294" s="145" t="s">
        <v>88</v>
      </c>
      <c r="E294" s="136"/>
      <c r="F294" s="136"/>
      <c r="G294" s="136">
        <f t="shared" si="48"/>
        <v>0</v>
      </c>
      <c r="H294" s="136" t="str">
        <f t="shared" si="45"/>
        <v>0h0</v>
      </c>
      <c r="I294" s="145" t="s">
        <v>88</v>
      </c>
      <c r="J294" s="136"/>
      <c r="K294" s="136"/>
      <c r="L294" s="136">
        <f t="shared" si="49"/>
        <v>0</v>
      </c>
      <c r="M294" s="136" t="str">
        <f t="shared" si="42"/>
        <v>0h0</v>
      </c>
      <c r="N294" s="145" t="s">
        <v>88</v>
      </c>
      <c r="O294" s="136"/>
      <c r="P294" s="136"/>
      <c r="Q294" s="136">
        <f t="shared" si="50"/>
        <v>0</v>
      </c>
      <c r="R294" s="136" t="str">
        <f t="shared" si="43"/>
        <v>0h0</v>
      </c>
      <c r="S294" s="145">
        <f t="shared" si="46"/>
        <v>0</v>
      </c>
      <c r="T294" s="136" t="str">
        <f t="shared" si="44"/>
        <v>0h0</v>
      </c>
    </row>
    <row r="295" spans="2:20" x14ac:dyDescent="0.3">
      <c r="B295" s="135">
        <f t="shared" si="47"/>
        <v>46485</v>
      </c>
      <c r="C295" s="136" t="str">
        <f t="shared" si="41"/>
        <v>Thursday</v>
      </c>
      <c r="D295" s="145" t="s">
        <v>88</v>
      </c>
      <c r="E295" s="136"/>
      <c r="F295" s="136"/>
      <c r="G295" s="136">
        <f t="shared" si="48"/>
        <v>0</v>
      </c>
      <c r="H295" s="136" t="str">
        <f t="shared" si="45"/>
        <v>0h0</v>
      </c>
      <c r="I295" s="145" t="s">
        <v>88</v>
      </c>
      <c r="J295" s="136"/>
      <c r="K295" s="136"/>
      <c r="L295" s="136">
        <f t="shared" si="49"/>
        <v>0</v>
      </c>
      <c r="M295" s="136" t="str">
        <f t="shared" si="42"/>
        <v>0h0</v>
      </c>
      <c r="N295" s="145" t="s">
        <v>88</v>
      </c>
      <c r="O295" s="136"/>
      <c r="P295" s="136"/>
      <c r="Q295" s="136">
        <f t="shared" si="50"/>
        <v>0</v>
      </c>
      <c r="R295" s="136" t="str">
        <f t="shared" si="43"/>
        <v>0h0</v>
      </c>
      <c r="S295" s="145">
        <f t="shared" si="46"/>
        <v>0</v>
      </c>
      <c r="T295" s="136" t="str">
        <f t="shared" si="44"/>
        <v>0h0</v>
      </c>
    </row>
    <row r="296" spans="2:20" x14ac:dyDescent="0.3">
      <c r="B296" s="135">
        <f t="shared" si="47"/>
        <v>46486</v>
      </c>
      <c r="C296" s="136" t="str">
        <f t="shared" si="41"/>
        <v>Friday</v>
      </c>
      <c r="D296" s="145" t="s">
        <v>88</v>
      </c>
      <c r="E296" s="136"/>
      <c r="F296" s="136"/>
      <c r="G296" s="136">
        <f t="shared" si="48"/>
        <v>0</v>
      </c>
      <c r="H296" s="136" t="str">
        <f t="shared" si="45"/>
        <v>0h0</v>
      </c>
      <c r="I296" s="145" t="s">
        <v>88</v>
      </c>
      <c r="J296" s="136"/>
      <c r="K296" s="136"/>
      <c r="L296" s="136">
        <f t="shared" si="49"/>
        <v>0</v>
      </c>
      <c r="M296" s="136" t="str">
        <f t="shared" si="42"/>
        <v>0h0</v>
      </c>
      <c r="N296" s="145" t="s">
        <v>88</v>
      </c>
      <c r="O296" s="136"/>
      <c r="P296" s="136"/>
      <c r="Q296" s="136">
        <f t="shared" si="50"/>
        <v>0</v>
      </c>
      <c r="R296" s="136" t="str">
        <f t="shared" si="43"/>
        <v>0h0</v>
      </c>
      <c r="S296" s="145">
        <f t="shared" si="46"/>
        <v>0</v>
      </c>
      <c r="T296" s="136" t="str">
        <f t="shared" si="44"/>
        <v>0h0</v>
      </c>
    </row>
    <row r="297" spans="2:20" x14ac:dyDescent="0.3">
      <c r="B297" s="135">
        <f t="shared" si="47"/>
        <v>46487</v>
      </c>
      <c r="C297" s="136" t="str">
        <f t="shared" si="41"/>
        <v>Saturday</v>
      </c>
      <c r="D297" s="145" t="s">
        <v>88</v>
      </c>
      <c r="E297" s="136"/>
      <c r="F297" s="136"/>
      <c r="G297" s="136">
        <f t="shared" si="48"/>
        <v>0</v>
      </c>
      <c r="H297" s="136" t="str">
        <f t="shared" si="45"/>
        <v>0h0</v>
      </c>
      <c r="I297" s="145" t="s">
        <v>88</v>
      </c>
      <c r="J297" s="136"/>
      <c r="K297" s="136"/>
      <c r="L297" s="136">
        <f t="shared" si="49"/>
        <v>0</v>
      </c>
      <c r="M297" s="136" t="str">
        <f t="shared" si="42"/>
        <v>0h0</v>
      </c>
      <c r="N297" s="145" t="s">
        <v>88</v>
      </c>
      <c r="O297" s="136"/>
      <c r="P297" s="136"/>
      <c r="Q297" s="136">
        <f t="shared" si="50"/>
        <v>0</v>
      </c>
      <c r="R297" s="136" t="str">
        <f t="shared" si="43"/>
        <v>0h0</v>
      </c>
      <c r="S297" s="145">
        <f t="shared" si="46"/>
        <v>0</v>
      </c>
      <c r="T297" s="136" t="str">
        <f t="shared" si="44"/>
        <v>0h0</v>
      </c>
    </row>
    <row r="298" spans="2:20" x14ac:dyDescent="0.3">
      <c r="B298" s="135">
        <f t="shared" si="47"/>
        <v>46488</v>
      </c>
      <c r="C298" s="136" t="str">
        <f t="shared" si="41"/>
        <v>Sunday</v>
      </c>
      <c r="D298" s="145" t="s">
        <v>88</v>
      </c>
      <c r="E298" s="136"/>
      <c r="F298" s="136"/>
      <c r="G298" s="136">
        <f t="shared" si="48"/>
        <v>0</v>
      </c>
      <c r="H298" s="136" t="str">
        <f t="shared" si="45"/>
        <v>0h0</v>
      </c>
      <c r="I298" s="145" t="s">
        <v>88</v>
      </c>
      <c r="J298" s="136"/>
      <c r="K298" s="136"/>
      <c r="L298" s="136">
        <f t="shared" si="49"/>
        <v>0</v>
      </c>
      <c r="M298" s="136" t="str">
        <f t="shared" si="42"/>
        <v>0h0</v>
      </c>
      <c r="N298" s="145" t="s">
        <v>88</v>
      </c>
      <c r="O298" s="136"/>
      <c r="P298" s="136"/>
      <c r="Q298" s="136">
        <f t="shared" si="50"/>
        <v>0</v>
      </c>
      <c r="R298" s="136" t="str">
        <f t="shared" si="43"/>
        <v>0h0</v>
      </c>
      <c r="S298" s="145">
        <f t="shared" si="46"/>
        <v>0</v>
      </c>
      <c r="T298" s="136" t="str">
        <f t="shared" si="44"/>
        <v>0h0</v>
      </c>
    </row>
    <row r="299" spans="2:20" x14ac:dyDescent="0.3">
      <c r="B299" s="135">
        <f t="shared" si="47"/>
        <v>46489</v>
      </c>
      <c r="C299" s="136" t="str">
        <f t="shared" si="41"/>
        <v>Monday</v>
      </c>
      <c r="D299" s="145" t="s">
        <v>88</v>
      </c>
      <c r="E299" s="136"/>
      <c r="F299" s="136"/>
      <c r="G299" s="136">
        <f t="shared" si="48"/>
        <v>0</v>
      </c>
      <c r="H299" s="136" t="str">
        <f t="shared" si="45"/>
        <v>0h0</v>
      </c>
      <c r="I299" s="145" t="s">
        <v>88</v>
      </c>
      <c r="J299" s="136"/>
      <c r="K299" s="136"/>
      <c r="L299" s="136">
        <f t="shared" si="49"/>
        <v>0</v>
      </c>
      <c r="M299" s="136" t="str">
        <f t="shared" si="42"/>
        <v>0h0</v>
      </c>
      <c r="N299" s="145" t="s">
        <v>88</v>
      </c>
      <c r="O299" s="136"/>
      <c r="P299" s="136"/>
      <c r="Q299" s="136">
        <f t="shared" si="50"/>
        <v>0</v>
      </c>
      <c r="R299" s="136" t="str">
        <f t="shared" si="43"/>
        <v>0h0</v>
      </c>
      <c r="S299" s="145">
        <f t="shared" si="46"/>
        <v>0</v>
      </c>
      <c r="T299" s="136" t="str">
        <f t="shared" si="44"/>
        <v>0h0</v>
      </c>
    </row>
    <row r="300" spans="2:20" x14ac:dyDescent="0.3">
      <c r="B300" s="135">
        <f t="shared" si="47"/>
        <v>46490</v>
      </c>
      <c r="C300" s="136" t="str">
        <f t="shared" si="41"/>
        <v>Tuesday</v>
      </c>
      <c r="D300" s="145" t="s">
        <v>88</v>
      </c>
      <c r="E300" s="136"/>
      <c r="F300" s="136"/>
      <c r="G300" s="136">
        <f t="shared" si="48"/>
        <v>0</v>
      </c>
      <c r="H300" s="136" t="str">
        <f t="shared" si="45"/>
        <v>0h0</v>
      </c>
      <c r="I300" s="145" t="s">
        <v>88</v>
      </c>
      <c r="J300" s="136"/>
      <c r="K300" s="136"/>
      <c r="L300" s="136">
        <f t="shared" si="49"/>
        <v>0</v>
      </c>
      <c r="M300" s="136" t="str">
        <f t="shared" si="42"/>
        <v>0h0</v>
      </c>
      <c r="N300" s="145" t="s">
        <v>88</v>
      </c>
      <c r="O300" s="136"/>
      <c r="P300" s="136"/>
      <c r="Q300" s="136">
        <f t="shared" si="50"/>
        <v>0</v>
      </c>
      <c r="R300" s="136" t="str">
        <f t="shared" si="43"/>
        <v>0h0</v>
      </c>
      <c r="S300" s="145">
        <f t="shared" si="46"/>
        <v>0</v>
      </c>
      <c r="T300" s="136" t="str">
        <f t="shared" si="44"/>
        <v>0h0</v>
      </c>
    </row>
    <row r="301" spans="2:20" x14ac:dyDescent="0.3">
      <c r="B301" s="135">
        <f t="shared" si="47"/>
        <v>46491</v>
      </c>
      <c r="C301" s="136" t="str">
        <f t="shared" si="41"/>
        <v>Wednesday</v>
      </c>
      <c r="D301" s="145" t="s">
        <v>88</v>
      </c>
      <c r="E301" s="136"/>
      <c r="F301" s="136"/>
      <c r="G301" s="136">
        <f t="shared" si="48"/>
        <v>0</v>
      </c>
      <c r="H301" s="136" t="str">
        <f t="shared" si="45"/>
        <v>0h0</v>
      </c>
      <c r="I301" s="145" t="s">
        <v>88</v>
      </c>
      <c r="J301" s="136"/>
      <c r="K301" s="136"/>
      <c r="L301" s="136">
        <f t="shared" si="49"/>
        <v>0</v>
      </c>
      <c r="M301" s="136" t="str">
        <f t="shared" si="42"/>
        <v>0h0</v>
      </c>
      <c r="N301" s="145" t="s">
        <v>88</v>
      </c>
      <c r="O301" s="136"/>
      <c r="P301" s="136"/>
      <c r="Q301" s="136">
        <f t="shared" si="50"/>
        <v>0</v>
      </c>
      <c r="R301" s="136" t="str">
        <f t="shared" si="43"/>
        <v>0h0</v>
      </c>
      <c r="S301" s="145">
        <f t="shared" si="46"/>
        <v>0</v>
      </c>
      <c r="T301" s="136" t="str">
        <f t="shared" si="44"/>
        <v>0h0</v>
      </c>
    </row>
    <row r="302" spans="2:20" x14ac:dyDescent="0.3">
      <c r="B302" s="135">
        <f t="shared" si="47"/>
        <v>46492</v>
      </c>
      <c r="C302" s="136" t="str">
        <f t="shared" si="41"/>
        <v>Thursday</v>
      </c>
      <c r="D302" s="145" t="s">
        <v>88</v>
      </c>
      <c r="E302" s="136"/>
      <c r="F302" s="136"/>
      <c r="G302" s="136">
        <f t="shared" si="48"/>
        <v>0</v>
      </c>
      <c r="H302" s="136" t="str">
        <f t="shared" si="45"/>
        <v>0h0</v>
      </c>
      <c r="I302" s="145" t="s">
        <v>88</v>
      </c>
      <c r="J302" s="136"/>
      <c r="K302" s="136"/>
      <c r="L302" s="136">
        <f t="shared" si="49"/>
        <v>0</v>
      </c>
      <c r="M302" s="136" t="str">
        <f t="shared" si="42"/>
        <v>0h0</v>
      </c>
      <c r="N302" s="145" t="s">
        <v>88</v>
      </c>
      <c r="O302" s="136"/>
      <c r="P302" s="136"/>
      <c r="Q302" s="136">
        <f t="shared" si="50"/>
        <v>0</v>
      </c>
      <c r="R302" s="136" t="str">
        <f t="shared" si="43"/>
        <v>0h0</v>
      </c>
      <c r="S302" s="145">
        <f t="shared" si="46"/>
        <v>0</v>
      </c>
      <c r="T302" s="136" t="str">
        <f t="shared" si="44"/>
        <v>0h0</v>
      </c>
    </row>
    <row r="303" spans="2:20" x14ac:dyDescent="0.3">
      <c r="B303" s="135">
        <f t="shared" si="47"/>
        <v>46493</v>
      </c>
      <c r="C303" s="136" t="str">
        <f t="shared" si="41"/>
        <v>Friday</v>
      </c>
      <c r="D303" s="145" t="s">
        <v>88</v>
      </c>
      <c r="E303" s="136"/>
      <c r="F303" s="136"/>
      <c r="G303" s="136">
        <f t="shared" si="48"/>
        <v>0</v>
      </c>
      <c r="H303" s="136" t="str">
        <f t="shared" si="45"/>
        <v>0h0</v>
      </c>
      <c r="I303" s="145" t="s">
        <v>88</v>
      </c>
      <c r="J303" s="136"/>
      <c r="K303" s="136"/>
      <c r="L303" s="136">
        <f t="shared" si="49"/>
        <v>0</v>
      </c>
      <c r="M303" s="136" t="str">
        <f t="shared" si="42"/>
        <v>0h0</v>
      </c>
      <c r="N303" s="145" t="s">
        <v>88</v>
      </c>
      <c r="O303" s="136"/>
      <c r="P303" s="136"/>
      <c r="Q303" s="136">
        <f t="shared" si="50"/>
        <v>0</v>
      </c>
      <c r="R303" s="136" t="str">
        <f t="shared" si="43"/>
        <v>0h0</v>
      </c>
      <c r="S303" s="145">
        <f t="shared" si="46"/>
        <v>0</v>
      </c>
      <c r="T303" s="136" t="str">
        <f t="shared" si="44"/>
        <v>0h0</v>
      </c>
    </row>
    <row r="304" spans="2:20" x14ac:dyDescent="0.3">
      <c r="B304" s="135">
        <f t="shared" si="47"/>
        <v>46494</v>
      </c>
      <c r="C304" s="136" t="str">
        <f t="shared" si="41"/>
        <v>Saturday</v>
      </c>
      <c r="D304" s="145" t="s">
        <v>88</v>
      </c>
      <c r="E304" s="136"/>
      <c r="F304" s="136"/>
      <c r="G304" s="136">
        <f t="shared" si="48"/>
        <v>0</v>
      </c>
      <c r="H304" s="136" t="str">
        <f t="shared" si="45"/>
        <v>0h0</v>
      </c>
      <c r="I304" s="145" t="s">
        <v>88</v>
      </c>
      <c r="J304" s="136"/>
      <c r="K304" s="136"/>
      <c r="L304" s="136">
        <f t="shared" si="49"/>
        <v>0</v>
      </c>
      <c r="M304" s="136" t="str">
        <f t="shared" si="42"/>
        <v>0h0</v>
      </c>
      <c r="N304" s="145" t="s">
        <v>88</v>
      </c>
      <c r="O304" s="136"/>
      <c r="P304" s="136"/>
      <c r="Q304" s="136">
        <f t="shared" si="50"/>
        <v>0</v>
      </c>
      <c r="R304" s="136" t="str">
        <f t="shared" si="43"/>
        <v>0h0</v>
      </c>
      <c r="S304" s="145">
        <f t="shared" si="46"/>
        <v>0</v>
      </c>
      <c r="T304" s="136" t="str">
        <f t="shared" si="44"/>
        <v>0h0</v>
      </c>
    </row>
    <row r="305" spans="2:20" x14ac:dyDescent="0.3">
      <c r="B305" s="135">
        <f t="shared" si="47"/>
        <v>46495</v>
      </c>
      <c r="C305" s="136" t="str">
        <f t="shared" si="41"/>
        <v>Sunday</v>
      </c>
      <c r="D305" s="145" t="s">
        <v>88</v>
      </c>
      <c r="E305" s="136"/>
      <c r="F305" s="136"/>
      <c r="G305" s="136">
        <f t="shared" si="48"/>
        <v>0</v>
      </c>
      <c r="H305" s="136" t="str">
        <f t="shared" si="45"/>
        <v>0h0</v>
      </c>
      <c r="I305" s="145" t="s">
        <v>88</v>
      </c>
      <c r="J305" s="136"/>
      <c r="K305" s="136"/>
      <c r="L305" s="136">
        <f t="shared" si="49"/>
        <v>0</v>
      </c>
      <c r="M305" s="136" t="str">
        <f t="shared" si="42"/>
        <v>0h0</v>
      </c>
      <c r="N305" s="145" t="s">
        <v>88</v>
      </c>
      <c r="O305" s="136"/>
      <c r="P305" s="136"/>
      <c r="Q305" s="136">
        <f t="shared" si="50"/>
        <v>0</v>
      </c>
      <c r="R305" s="136" t="str">
        <f t="shared" si="43"/>
        <v>0h0</v>
      </c>
      <c r="S305" s="145">
        <f t="shared" si="46"/>
        <v>0</v>
      </c>
      <c r="T305" s="136" t="str">
        <f t="shared" si="44"/>
        <v>0h0</v>
      </c>
    </row>
    <row r="306" spans="2:20" x14ac:dyDescent="0.3">
      <c r="B306" s="135">
        <f t="shared" si="47"/>
        <v>46496</v>
      </c>
      <c r="C306" s="136" t="str">
        <f t="shared" si="41"/>
        <v>Monday</v>
      </c>
      <c r="D306" s="145" t="s">
        <v>88</v>
      </c>
      <c r="E306" s="136"/>
      <c r="F306" s="136"/>
      <c r="G306" s="136">
        <f t="shared" si="48"/>
        <v>0</v>
      </c>
      <c r="H306" s="136" t="str">
        <f t="shared" si="45"/>
        <v>0h0</v>
      </c>
      <c r="I306" s="145" t="s">
        <v>88</v>
      </c>
      <c r="J306" s="136"/>
      <c r="K306" s="136"/>
      <c r="L306" s="136">
        <f t="shared" si="49"/>
        <v>0</v>
      </c>
      <c r="M306" s="136" t="str">
        <f t="shared" si="42"/>
        <v>0h0</v>
      </c>
      <c r="N306" s="145" t="s">
        <v>88</v>
      </c>
      <c r="O306" s="136"/>
      <c r="P306" s="136"/>
      <c r="Q306" s="136">
        <f t="shared" si="50"/>
        <v>0</v>
      </c>
      <c r="R306" s="136" t="str">
        <f t="shared" si="43"/>
        <v>0h0</v>
      </c>
      <c r="S306" s="145">
        <f t="shared" si="46"/>
        <v>0</v>
      </c>
      <c r="T306" s="136" t="str">
        <f t="shared" si="44"/>
        <v>0h0</v>
      </c>
    </row>
    <row r="307" spans="2:20" x14ac:dyDescent="0.3">
      <c r="B307" s="135">
        <f t="shared" si="47"/>
        <v>46497</v>
      </c>
      <c r="C307" s="136" t="str">
        <f t="shared" si="41"/>
        <v>Tuesday</v>
      </c>
      <c r="D307" s="145" t="s">
        <v>88</v>
      </c>
      <c r="E307" s="136"/>
      <c r="F307" s="136"/>
      <c r="G307" s="136">
        <f t="shared" si="48"/>
        <v>0</v>
      </c>
      <c r="H307" s="136" t="str">
        <f t="shared" si="45"/>
        <v>0h0</v>
      </c>
      <c r="I307" s="145" t="s">
        <v>88</v>
      </c>
      <c r="J307" s="136"/>
      <c r="K307" s="136"/>
      <c r="L307" s="136">
        <f t="shared" si="49"/>
        <v>0</v>
      </c>
      <c r="M307" s="136" t="str">
        <f t="shared" si="42"/>
        <v>0h0</v>
      </c>
      <c r="N307" s="145" t="s">
        <v>88</v>
      </c>
      <c r="O307" s="136"/>
      <c r="P307" s="136"/>
      <c r="Q307" s="136">
        <f t="shared" si="50"/>
        <v>0</v>
      </c>
      <c r="R307" s="136" t="str">
        <f t="shared" si="43"/>
        <v>0h0</v>
      </c>
      <c r="S307" s="145">
        <f t="shared" si="46"/>
        <v>0</v>
      </c>
      <c r="T307" s="136" t="str">
        <f t="shared" si="44"/>
        <v>0h0</v>
      </c>
    </row>
    <row r="308" spans="2:20" x14ac:dyDescent="0.3">
      <c r="B308" s="135">
        <f t="shared" si="47"/>
        <v>46498</v>
      </c>
      <c r="C308" s="136" t="str">
        <f t="shared" si="41"/>
        <v>Wednesday</v>
      </c>
      <c r="D308" s="145" t="s">
        <v>88</v>
      </c>
      <c r="E308" s="136"/>
      <c r="F308" s="136"/>
      <c r="G308" s="136">
        <f t="shared" si="48"/>
        <v>0</v>
      </c>
      <c r="H308" s="136" t="str">
        <f t="shared" si="45"/>
        <v>0h0</v>
      </c>
      <c r="I308" s="145" t="s">
        <v>88</v>
      </c>
      <c r="J308" s="136"/>
      <c r="K308" s="136"/>
      <c r="L308" s="136">
        <f t="shared" si="49"/>
        <v>0</v>
      </c>
      <c r="M308" s="136" t="str">
        <f t="shared" si="42"/>
        <v>0h0</v>
      </c>
      <c r="N308" s="145" t="s">
        <v>88</v>
      </c>
      <c r="O308" s="136"/>
      <c r="P308" s="136"/>
      <c r="Q308" s="136">
        <f t="shared" si="50"/>
        <v>0</v>
      </c>
      <c r="R308" s="136" t="str">
        <f t="shared" si="43"/>
        <v>0h0</v>
      </c>
      <c r="S308" s="145">
        <f t="shared" si="46"/>
        <v>0</v>
      </c>
      <c r="T308" s="136" t="str">
        <f t="shared" si="44"/>
        <v>0h0</v>
      </c>
    </row>
    <row r="309" spans="2:20" x14ac:dyDescent="0.3">
      <c r="B309" s="135">
        <f t="shared" si="47"/>
        <v>46499</v>
      </c>
      <c r="C309" s="136" t="str">
        <f t="shared" si="41"/>
        <v>Thursday</v>
      </c>
      <c r="D309" s="145" t="s">
        <v>88</v>
      </c>
      <c r="E309" s="136"/>
      <c r="F309" s="136"/>
      <c r="G309" s="136">
        <f t="shared" si="48"/>
        <v>0</v>
      </c>
      <c r="H309" s="136" t="str">
        <f t="shared" si="45"/>
        <v>0h0</v>
      </c>
      <c r="I309" s="145" t="s">
        <v>88</v>
      </c>
      <c r="J309" s="136"/>
      <c r="K309" s="136"/>
      <c r="L309" s="136">
        <f t="shared" si="49"/>
        <v>0</v>
      </c>
      <c r="M309" s="136" t="str">
        <f t="shared" si="42"/>
        <v>0h0</v>
      </c>
      <c r="N309" s="145" t="s">
        <v>88</v>
      </c>
      <c r="O309" s="136"/>
      <c r="P309" s="136"/>
      <c r="Q309" s="136">
        <f t="shared" si="50"/>
        <v>0</v>
      </c>
      <c r="R309" s="136" t="str">
        <f t="shared" si="43"/>
        <v>0h0</v>
      </c>
      <c r="S309" s="145">
        <f t="shared" si="46"/>
        <v>0</v>
      </c>
      <c r="T309" s="136" t="str">
        <f t="shared" si="44"/>
        <v>0h0</v>
      </c>
    </row>
    <row r="310" spans="2:20" x14ac:dyDescent="0.3">
      <c r="B310" s="135">
        <f t="shared" si="47"/>
        <v>46500</v>
      </c>
      <c r="C310" s="136" t="str">
        <f t="shared" si="41"/>
        <v>Friday</v>
      </c>
      <c r="D310" s="145" t="s">
        <v>88</v>
      </c>
      <c r="E310" s="136"/>
      <c r="F310" s="136"/>
      <c r="G310" s="136">
        <f t="shared" si="48"/>
        <v>0</v>
      </c>
      <c r="H310" s="136" t="str">
        <f t="shared" si="45"/>
        <v>0h0</v>
      </c>
      <c r="I310" s="145" t="s">
        <v>88</v>
      </c>
      <c r="J310" s="136"/>
      <c r="K310" s="136"/>
      <c r="L310" s="136">
        <f t="shared" si="49"/>
        <v>0</v>
      </c>
      <c r="M310" s="136" t="str">
        <f t="shared" si="42"/>
        <v>0h0</v>
      </c>
      <c r="N310" s="145" t="s">
        <v>88</v>
      </c>
      <c r="O310" s="136"/>
      <c r="P310" s="136"/>
      <c r="Q310" s="136">
        <f t="shared" si="50"/>
        <v>0</v>
      </c>
      <c r="R310" s="136" t="str">
        <f t="shared" si="43"/>
        <v>0h0</v>
      </c>
      <c r="S310" s="145">
        <f t="shared" si="46"/>
        <v>0</v>
      </c>
      <c r="T310" s="136" t="str">
        <f t="shared" si="44"/>
        <v>0h0</v>
      </c>
    </row>
    <row r="311" spans="2:20" x14ac:dyDescent="0.3">
      <c r="B311" s="135">
        <f t="shared" si="47"/>
        <v>46501</v>
      </c>
      <c r="C311" s="136" t="str">
        <f t="shared" si="41"/>
        <v>Saturday</v>
      </c>
      <c r="D311" s="145" t="s">
        <v>88</v>
      </c>
      <c r="E311" s="136"/>
      <c r="F311" s="136"/>
      <c r="G311" s="136">
        <f t="shared" si="48"/>
        <v>0</v>
      </c>
      <c r="H311" s="136" t="str">
        <f t="shared" si="45"/>
        <v>0h0</v>
      </c>
      <c r="I311" s="145" t="s">
        <v>88</v>
      </c>
      <c r="J311" s="136"/>
      <c r="K311" s="136"/>
      <c r="L311" s="136">
        <f t="shared" si="49"/>
        <v>0</v>
      </c>
      <c r="M311" s="136" t="str">
        <f t="shared" si="42"/>
        <v>0h0</v>
      </c>
      <c r="N311" s="145" t="s">
        <v>88</v>
      </c>
      <c r="O311" s="136"/>
      <c r="P311" s="136"/>
      <c r="Q311" s="136">
        <f t="shared" si="50"/>
        <v>0</v>
      </c>
      <c r="R311" s="136" t="str">
        <f t="shared" si="43"/>
        <v>0h0</v>
      </c>
      <c r="S311" s="145">
        <f t="shared" si="46"/>
        <v>0</v>
      </c>
      <c r="T311" s="136" t="str">
        <f t="shared" si="44"/>
        <v>0h0</v>
      </c>
    </row>
    <row r="312" spans="2:20" x14ac:dyDescent="0.3">
      <c r="B312" s="135">
        <f t="shared" si="47"/>
        <v>46502</v>
      </c>
      <c r="C312" s="136" t="str">
        <f t="shared" si="41"/>
        <v>Sunday</v>
      </c>
      <c r="D312" s="145" t="s">
        <v>88</v>
      </c>
      <c r="E312" s="136"/>
      <c r="F312" s="136"/>
      <c r="G312" s="136">
        <f t="shared" si="48"/>
        <v>0</v>
      </c>
      <c r="H312" s="136" t="str">
        <f t="shared" si="45"/>
        <v>0h0</v>
      </c>
      <c r="I312" s="145" t="s">
        <v>88</v>
      </c>
      <c r="J312" s="136"/>
      <c r="K312" s="136"/>
      <c r="L312" s="136">
        <f t="shared" si="49"/>
        <v>0</v>
      </c>
      <c r="M312" s="136" t="str">
        <f t="shared" si="42"/>
        <v>0h0</v>
      </c>
      <c r="N312" s="145" t="s">
        <v>88</v>
      </c>
      <c r="O312" s="136"/>
      <c r="P312" s="136"/>
      <c r="Q312" s="136">
        <f t="shared" si="50"/>
        <v>0</v>
      </c>
      <c r="R312" s="136" t="str">
        <f t="shared" si="43"/>
        <v>0h0</v>
      </c>
      <c r="S312" s="145">
        <f t="shared" si="46"/>
        <v>0</v>
      </c>
      <c r="T312" s="136" t="str">
        <f t="shared" si="44"/>
        <v>0h0</v>
      </c>
    </row>
    <row r="313" spans="2:20" x14ac:dyDescent="0.3">
      <c r="B313" s="135">
        <f t="shared" si="47"/>
        <v>46503</v>
      </c>
      <c r="C313" s="136" t="str">
        <f t="shared" si="41"/>
        <v>Monday</v>
      </c>
      <c r="D313" s="145" t="s">
        <v>88</v>
      </c>
      <c r="E313" s="136"/>
      <c r="F313" s="136"/>
      <c r="G313" s="136">
        <f t="shared" si="48"/>
        <v>0</v>
      </c>
      <c r="H313" s="136" t="str">
        <f t="shared" si="45"/>
        <v>0h0</v>
      </c>
      <c r="I313" s="145" t="s">
        <v>88</v>
      </c>
      <c r="J313" s="136"/>
      <c r="K313" s="136"/>
      <c r="L313" s="136">
        <f t="shared" si="49"/>
        <v>0</v>
      </c>
      <c r="M313" s="136" t="str">
        <f t="shared" si="42"/>
        <v>0h0</v>
      </c>
      <c r="N313" s="145" t="s">
        <v>88</v>
      </c>
      <c r="O313" s="136"/>
      <c r="P313" s="136"/>
      <c r="Q313" s="136">
        <f t="shared" si="50"/>
        <v>0</v>
      </c>
      <c r="R313" s="136" t="str">
        <f t="shared" si="43"/>
        <v>0h0</v>
      </c>
      <c r="S313" s="145">
        <f t="shared" si="46"/>
        <v>0</v>
      </c>
      <c r="T313" s="136" t="str">
        <f t="shared" si="44"/>
        <v>0h0</v>
      </c>
    </row>
    <row r="314" spans="2:20" x14ac:dyDescent="0.3">
      <c r="B314" s="135">
        <f t="shared" si="47"/>
        <v>46504</v>
      </c>
      <c r="C314" s="136" t="str">
        <f t="shared" si="41"/>
        <v>Tuesday</v>
      </c>
      <c r="D314" s="145" t="s">
        <v>88</v>
      </c>
      <c r="E314" s="136"/>
      <c r="F314" s="136"/>
      <c r="G314" s="136">
        <f t="shared" si="48"/>
        <v>0</v>
      </c>
      <c r="H314" s="136" t="str">
        <f t="shared" si="45"/>
        <v>0h0</v>
      </c>
      <c r="I314" s="145" t="s">
        <v>88</v>
      </c>
      <c r="J314" s="136"/>
      <c r="K314" s="136"/>
      <c r="L314" s="136">
        <f t="shared" si="49"/>
        <v>0</v>
      </c>
      <c r="M314" s="136" t="str">
        <f t="shared" si="42"/>
        <v>0h0</v>
      </c>
      <c r="N314" s="145" t="s">
        <v>88</v>
      </c>
      <c r="O314" s="136"/>
      <c r="P314" s="136"/>
      <c r="Q314" s="136">
        <f t="shared" si="50"/>
        <v>0</v>
      </c>
      <c r="R314" s="136" t="str">
        <f t="shared" si="43"/>
        <v>0h0</v>
      </c>
      <c r="S314" s="145">
        <f t="shared" si="46"/>
        <v>0</v>
      </c>
      <c r="T314" s="136" t="str">
        <f t="shared" si="44"/>
        <v>0h0</v>
      </c>
    </row>
    <row r="315" spans="2:20" x14ac:dyDescent="0.3">
      <c r="B315" s="135">
        <f t="shared" si="47"/>
        <v>46505</v>
      </c>
      <c r="C315" s="136" t="str">
        <f t="shared" si="41"/>
        <v>Wednesday</v>
      </c>
      <c r="D315" s="145" t="s">
        <v>88</v>
      </c>
      <c r="E315" s="136"/>
      <c r="F315" s="136"/>
      <c r="G315" s="136">
        <f t="shared" si="48"/>
        <v>0</v>
      </c>
      <c r="H315" s="136" t="str">
        <f t="shared" si="45"/>
        <v>0h0</v>
      </c>
      <c r="I315" s="145" t="s">
        <v>88</v>
      </c>
      <c r="J315" s="136"/>
      <c r="K315" s="136"/>
      <c r="L315" s="136">
        <f t="shared" si="49"/>
        <v>0</v>
      </c>
      <c r="M315" s="136" t="str">
        <f t="shared" si="42"/>
        <v>0h0</v>
      </c>
      <c r="N315" s="145" t="s">
        <v>88</v>
      </c>
      <c r="O315" s="136"/>
      <c r="P315" s="136"/>
      <c r="Q315" s="136">
        <f t="shared" si="50"/>
        <v>0</v>
      </c>
      <c r="R315" s="136" t="str">
        <f t="shared" si="43"/>
        <v>0h0</v>
      </c>
      <c r="S315" s="145">
        <f t="shared" si="46"/>
        <v>0</v>
      </c>
      <c r="T315" s="136" t="str">
        <f t="shared" si="44"/>
        <v>0h0</v>
      </c>
    </row>
    <row r="316" spans="2:20" x14ac:dyDescent="0.3">
      <c r="B316" s="135">
        <f t="shared" si="47"/>
        <v>46506</v>
      </c>
      <c r="C316" s="136" t="str">
        <f t="shared" si="41"/>
        <v>Thursday</v>
      </c>
      <c r="D316" s="145" t="s">
        <v>88</v>
      </c>
      <c r="E316" s="136"/>
      <c r="F316" s="136"/>
      <c r="G316" s="136">
        <f t="shared" si="48"/>
        <v>0</v>
      </c>
      <c r="H316" s="136" t="str">
        <f t="shared" si="45"/>
        <v>0h0</v>
      </c>
      <c r="I316" s="145" t="s">
        <v>88</v>
      </c>
      <c r="J316" s="136"/>
      <c r="K316" s="136"/>
      <c r="L316" s="136">
        <f t="shared" si="49"/>
        <v>0</v>
      </c>
      <c r="M316" s="136" t="str">
        <f t="shared" si="42"/>
        <v>0h0</v>
      </c>
      <c r="N316" s="145" t="s">
        <v>88</v>
      </c>
      <c r="O316" s="136"/>
      <c r="P316" s="136"/>
      <c r="Q316" s="136">
        <f t="shared" si="50"/>
        <v>0</v>
      </c>
      <c r="R316" s="136" t="str">
        <f t="shared" si="43"/>
        <v>0h0</v>
      </c>
      <c r="S316" s="145">
        <f t="shared" si="46"/>
        <v>0</v>
      </c>
      <c r="T316" s="136" t="str">
        <f t="shared" si="44"/>
        <v>0h0</v>
      </c>
    </row>
    <row r="317" spans="2:20" x14ac:dyDescent="0.3">
      <c r="B317" s="135">
        <f t="shared" si="47"/>
        <v>46507</v>
      </c>
      <c r="C317" s="136" t="str">
        <f t="shared" si="41"/>
        <v>Friday</v>
      </c>
      <c r="D317" s="145" t="s">
        <v>88</v>
      </c>
      <c r="E317" s="136"/>
      <c r="F317" s="136"/>
      <c r="G317" s="136">
        <f t="shared" si="48"/>
        <v>0</v>
      </c>
      <c r="H317" s="136" t="str">
        <f t="shared" si="45"/>
        <v>0h0</v>
      </c>
      <c r="I317" s="145" t="s">
        <v>88</v>
      </c>
      <c r="J317" s="136"/>
      <c r="K317" s="136"/>
      <c r="L317" s="136">
        <f t="shared" si="49"/>
        <v>0</v>
      </c>
      <c r="M317" s="136" t="str">
        <f t="shared" si="42"/>
        <v>0h0</v>
      </c>
      <c r="N317" s="145" t="s">
        <v>88</v>
      </c>
      <c r="O317" s="136"/>
      <c r="P317" s="136"/>
      <c r="Q317" s="136">
        <f t="shared" si="50"/>
        <v>0</v>
      </c>
      <c r="R317" s="136" t="str">
        <f t="shared" si="43"/>
        <v>0h0</v>
      </c>
      <c r="S317" s="145">
        <f t="shared" si="46"/>
        <v>0</v>
      </c>
      <c r="T317" s="136" t="str">
        <f t="shared" si="44"/>
        <v>0h0</v>
      </c>
    </row>
    <row r="318" spans="2:20" x14ac:dyDescent="0.3">
      <c r="B318" s="135">
        <f t="shared" si="47"/>
        <v>46508</v>
      </c>
      <c r="C318" s="136" t="str">
        <f t="shared" si="41"/>
        <v>Saturday</v>
      </c>
      <c r="D318" s="145" t="s">
        <v>88</v>
      </c>
      <c r="E318" s="136"/>
      <c r="F318" s="136"/>
      <c r="G318" s="136">
        <f t="shared" si="48"/>
        <v>0</v>
      </c>
      <c r="H318" s="136" t="str">
        <f t="shared" si="45"/>
        <v>0h0</v>
      </c>
      <c r="I318" s="145" t="s">
        <v>88</v>
      </c>
      <c r="J318" s="136"/>
      <c r="K318" s="136"/>
      <c r="L318" s="136">
        <f t="shared" si="49"/>
        <v>0</v>
      </c>
      <c r="M318" s="136" t="str">
        <f t="shared" si="42"/>
        <v>0h0</v>
      </c>
      <c r="N318" s="145" t="s">
        <v>88</v>
      </c>
      <c r="O318" s="136"/>
      <c r="P318" s="136"/>
      <c r="Q318" s="136">
        <f t="shared" si="50"/>
        <v>0</v>
      </c>
      <c r="R318" s="136" t="str">
        <f t="shared" si="43"/>
        <v>0h0</v>
      </c>
      <c r="S318" s="145">
        <f t="shared" si="46"/>
        <v>0</v>
      </c>
      <c r="T318" s="136" t="str">
        <f t="shared" si="44"/>
        <v>0h0</v>
      </c>
    </row>
    <row r="319" spans="2:20" x14ac:dyDescent="0.3">
      <c r="B319" s="135">
        <f t="shared" si="47"/>
        <v>46509</v>
      </c>
      <c r="C319" s="136" t="str">
        <f t="shared" si="41"/>
        <v>Sunday</v>
      </c>
      <c r="D319" s="145" t="s">
        <v>88</v>
      </c>
      <c r="E319" s="136"/>
      <c r="F319" s="136"/>
      <c r="G319" s="136">
        <f t="shared" si="48"/>
        <v>0</v>
      </c>
      <c r="H319" s="136" t="str">
        <f t="shared" si="45"/>
        <v>0h0</v>
      </c>
      <c r="I319" s="145" t="s">
        <v>88</v>
      </c>
      <c r="J319" s="136"/>
      <c r="K319" s="136"/>
      <c r="L319" s="136">
        <f t="shared" si="49"/>
        <v>0</v>
      </c>
      <c r="M319" s="136" t="str">
        <f t="shared" si="42"/>
        <v>0h0</v>
      </c>
      <c r="N319" s="145" t="s">
        <v>88</v>
      </c>
      <c r="O319" s="136"/>
      <c r="P319" s="136"/>
      <c r="Q319" s="136">
        <f t="shared" si="50"/>
        <v>0</v>
      </c>
      <c r="R319" s="136" t="str">
        <f t="shared" si="43"/>
        <v>0h0</v>
      </c>
      <c r="S319" s="145">
        <f t="shared" si="46"/>
        <v>0</v>
      </c>
      <c r="T319" s="136" t="str">
        <f t="shared" si="44"/>
        <v>0h0</v>
      </c>
    </row>
    <row r="320" spans="2:20" x14ac:dyDescent="0.3">
      <c r="B320" s="135">
        <f t="shared" si="47"/>
        <v>46510</v>
      </c>
      <c r="C320" s="136" t="str">
        <f t="shared" si="41"/>
        <v>Monday</v>
      </c>
      <c r="D320" s="145" t="s">
        <v>88</v>
      </c>
      <c r="E320" s="136"/>
      <c r="F320" s="136"/>
      <c r="G320" s="136">
        <f t="shared" si="48"/>
        <v>0</v>
      </c>
      <c r="H320" s="136" t="str">
        <f t="shared" si="45"/>
        <v>0h0</v>
      </c>
      <c r="I320" s="145" t="s">
        <v>88</v>
      </c>
      <c r="J320" s="136"/>
      <c r="K320" s="136"/>
      <c r="L320" s="136">
        <f t="shared" si="49"/>
        <v>0</v>
      </c>
      <c r="M320" s="136" t="str">
        <f t="shared" si="42"/>
        <v>0h0</v>
      </c>
      <c r="N320" s="145" t="s">
        <v>88</v>
      </c>
      <c r="O320" s="136"/>
      <c r="P320" s="136"/>
      <c r="Q320" s="136">
        <f t="shared" si="50"/>
        <v>0</v>
      </c>
      <c r="R320" s="136" t="str">
        <f t="shared" si="43"/>
        <v>0h0</v>
      </c>
      <c r="S320" s="145">
        <f t="shared" si="46"/>
        <v>0</v>
      </c>
      <c r="T320" s="136" t="str">
        <f t="shared" si="44"/>
        <v>0h0</v>
      </c>
    </row>
    <row r="321" spans="2:20" x14ac:dyDescent="0.3">
      <c r="B321" s="135">
        <f t="shared" si="47"/>
        <v>46511</v>
      </c>
      <c r="C321" s="136" t="str">
        <f t="shared" si="41"/>
        <v>Tuesday</v>
      </c>
      <c r="D321" s="145" t="s">
        <v>88</v>
      </c>
      <c r="E321" s="136"/>
      <c r="F321" s="136"/>
      <c r="G321" s="136">
        <f t="shared" si="48"/>
        <v>0</v>
      </c>
      <c r="H321" s="136" t="str">
        <f t="shared" si="45"/>
        <v>0h0</v>
      </c>
      <c r="I321" s="145" t="s">
        <v>88</v>
      </c>
      <c r="J321" s="136"/>
      <c r="K321" s="136"/>
      <c r="L321" s="136">
        <f t="shared" si="49"/>
        <v>0</v>
      </c>
      <c r="M321" s="136" t="str">
        <f t="shared" si="42"/>
        <v>0h0</v>
      </c>
      <c r="N321" s="145" t="s">
        <v>88</v>
      </c>
      <c r="O321" s="136"/>
      <c r="P321" s="136"/>
      <c r="Q321" s="136">
        <f t="shared" si="50"/>
        <v>0</v>
      </c>
      <c r="R321" s="136" t="str">
        <f t="shared" si="43"/>
        <v>0h0</v>
      </c>
      <c r="S321" s="145">
        <f t="shared" si="46"/>
        <v>0</v>
      </c>
      <c r="T321" s="136" t="str">
        <f t="shared" si="44"/>
        <v>0h0</v>
      </c>
    </row>
    <row r="322" spans="2:20" x14ac:dyDescent="0.3">
      <c r="B322" s="135">
        <f t="shared" si="47"/>
        <v>46512</v>
      </c>
      <c r="C322" s="136" t="str">
        <f t="shared" si="41"/>
        <v>Wednesday</v>
      </c>
      <c r="D322" s="145" t="s">
        <v>88</v>
      </c>
      <c r="E322" s="136"/>
      <c r="F322" s="136"/>
      <c r="G322" s="136">
        <f t="shared" si="48"/>
        <v>0</v>
      </c>
      <c r="H322" s="136" t="str">
        <f t="shared" si="45"/>
        <v>0h0</v>
      </c>
      <c r="I322" s="145" t="s">
        <v>88</v>
      </c>
      <c r="J322" s="136"/>
      <c r="K322" s="136"/>
      <c r="L322" s="136">
        <f t="shared" si="49"/>
        <v>0</v>
      </c>
      <c r="M322" s="136" t="str">
        <f t="shared" si="42"/>
        <v>0h0</v>
      </c>
      <c r="N322" s="145" t="s">
        <v>88</v>
      </c>
      <c r="O322" s="136"/>
      <c r="P322" s="136"/>
      <c r="Q322" s="136">
        <f t="shared" si="50"/>
        <v>0</v>
      </c>
      <c r="R322" s="136" t="str">
        <f t="shared" si="43"/>
        <v>0h0</v>
      </c>
      <c r="S322" s="145">
        <f t="shared" si="46"/>
        <v>0</v>
      </c>
      <c r="T322" s="136" t="str">
        <f t="shared" si="44"/>
        <v>0h0</v>
      </c>
    </row>
    <row r="323" spans="2:20" x14ac:dyDescent="0.3">
      <c r="B323" s="135">
        <f t="shared" si="47"/>
        <v>46513</v>
      </c>
      <c r="C323" s="136" t="str">
        <f t="shared" si="41"/>
        <v>Thursday</v>
      </c>
      <c r="D323" s="145" t="s">
        <v>88</v>
      </c>
      <c r="E323" s="136"/>
      <c r="F323" s="136"/>
      <c r="G323" s="136">
        <f t="shared" si="48"/>
        <v>0</v>
      </c>
      <c r="H323" s="136" t="str">
        <f t="shared" si="45"/>
        <v>0h0</v>
      </c>
      <c r="I323" s="145" t="s">
        <v>88</v>
      </c>
      <c r="J323" s="136"/>
      <c r="K323" s="136"/>
      <c r="L323" s="136">
        <f t="shared" si="49"/>
        <v>0</v>
      </c>
      <c r="M323" s="136" t="str">
        <f t="shared" si="42"/>
        <v>0h0</v>
      </c>
      <c r="N323" s="145" t="s">
        <v>88</v>
      </c>
      <c r="O323" s="136"/>
      <c r="P323" s="136"/>
      <c r="Q323" s="136">
        <f t="shared" si="50"/>
        <v>0</v>
      </c>
      <c r="R323" s="136" t="str">
        <f t="shared" si="43"/>
        <v>0h0</v>
      </c>
      <c r="S323" s="145">
        <f t="shared" si="46"/>
        <v>0</v>
      </c>
      <c r="T323" s="136" t="str">
        <f t="shared" si="44"/>
        <v>0h0</v>
      </c>
    </row>
    <row r="324" spans="2:20" x14ac:dyDescent="0.3">
      <c r="B324" s="135">
        <f t="shared" si="47"/>
        <v>46514</v>
      </c>
      <c r="C324" s="136" t="str">
        <f t="shared" si="41"/>
        <v>Friday</v>
      </c>
      <c r="D324" s="145" t="s">
        <v>88</v>
      </c>
      <c r="E324" s="136"/>
      <c r="F324" s="136"/>
      <c r="G324" s="136">
        <f t="shared" si="48"/>
        <v>0</v>
      </c>
      <c r="H324" s="136" t="str">
        <f t="shared" si="45"/>
        <v>0h0</v>
      </c>
      <c r="I324" s="145" t="s">
        <v>88</v>
      </c>
      <c r="J324" s="136"/>
      <c r="K324" s="136"/>
      <c r="L324" s="136">
        <f t="shared" si="49"/>
        <v>0</v>
      </c>
      <c r="M324" s="136" t="str">
        <f t="shared" si="42"/>
        <v>0h0</v>
      </c>
      <c r="N324" s="145" t="s">
        <v>88</v>
      </c>
      <c r="O324" s="136"/>
      <c r="P324" s="136"/>
      <c r="Q324" s="136">
        <f t="shared" si="50"/>
        <v>0</v>
      </c>
      <c r="R324" s="136" t="str">
        <f t="shared" si="43"/>
        <v>0h0</v>
      </c>
      <c r="S324" s="145">
        <f t="shared" si="46"/>
        <v>0</v>
      </c>
      <c r="T324" s="136" t="str">
        <f t="shared" si="44"/>
        <v>0h0</v>
      </c>
    </row>
    <row r="325" spans="2:20" x14ac:dyDescent="0.3">
      <c r="B325" s="135">
        <f t="shared" si="47"/>
        <v>46515</v>
      </c>
      <c r="C325" s="136" t="str">
        <f t="shared" si="41"/>
        <v>Saturday</v>
      </c>
      <c r="D325" s="145" t="s">
        <v>88</v>
      </c>
      <c r="E325" s="136"/>
      <c r="F325" s="136"/>
      <c r="G325" s="136">
        <f t="shared" si="48"/>
        <v>0</v>
      </c>
      <c r="H325" s="136" t="str">
        <f t="shared" si="45"/>
        <v>0h0</v>
      </c>
      <c r="I325" s="145" t="s">
        <v>88</v>
      </c>
      <c r="J325" s="136"/>
      <c r="K325" s="136"/>
      <c r="L325" s="136">
        <f t="shared" si="49"/>
        <v>0</v>
      </c>
      <c r="M325" s="136" t="str">
        <f t="shared" si="42"/>
        <v>0h0</v>
      </c>
      <c r="N325" s="145" t="s">
        <v>88</v>
      </c>
      <c r="O325" s="136"/>
      <c r="P325" s="136"/>
      <c r="Q325" s="136">
        <f t="shared" si="50"/>
        <v>0</v>
      </c>
      <c r="R325" s="136" t="str">
        <f t="shared" si="43"/>
        <v>0h0</v>
      </c>
      <c r="S325" s="145">
        <f t="shared" si="46"/>
        <v>0</v>
      </c>
      <c r="T325" s="136" t="str">
        <f t="shared" si="44"/>
        <v>0h0</v>
      </c>
    </row>
    <row r="326" spans="2:20" x14ac:dyDescent="0.3">
      <c r="B326" s="135">
        <f t="shared" si="47"/>
        <v>46516</v>
      </c>
      <c r="C326" s="136" t="str">
        <f t="shared" ref="C326:C372" si="51">CHOOSE(WEEKDAY(B326,2),"Monday","Tuesday","Wednesday","Thursday","Friday","Saturday","Sunday")</f>
        <v>Sunday</v>
      </c>
      <c r="D326" s="145" t="s">
        <v>88</v>
      </c>
      <c r="E326" s="136"/>
      <c r="F326" s="136"/>
      <c r="G326" s="136">
        <f t="shared" si="48"/>
        <v>0</v>
      </c>
      <c r="H326" s="136" t="str">
        <f t="shared" si="45"/>
        <v>0h0</v>
      </c>
      <c r="I326" s="145" t="s">
        <v>88</v>
      </c>
      <c r="J326" s="136"/>
      <c r="K326" s="136"/>
      <c r="L326" s="136">
        <f t="shared" si="49"/>
        <v>0</v>
      </c>
      <c r="M326" s="136" t="str">
        <f t="shared" ref="M326:M372" si="52">ROUNDDOWN(L326/60, 0)&amp;"h"&amp;ROUNDUP((L326/60-ROUNDDOWN(L326/60, 0))*60,0)</f>
        <v>0h0</v>
      </c>
      <c r="N326" s="145" t="s">
        <v>88</v>
      </c>
      <c r="O326" s="136"/>
      <c r="P326" s="136"/>
      <c r="Q326" s="136">
        <f t="shared" si="50"/>
        <v>0</v>
      </c>
      <c r="R326" s="136" t="str">
        <f t="shared" ref="R326:R372" si="53">ROUNDDOWN(Q326/60, 0)&amp;"h"&amp;ROUNDUP((Q326/60-ROUNDDOWN(Q326/60, 0))*60,0)</f>
        <v>0h0</v>
      </c>
      <c r="S326" s="145">
        <f t="shared" si="46"/>
        <v>0</v>
      </c>
      <c r="T326" s="136" t="str">
        <f t="shared" ref="T326:T372" si="54">ROUNDDOWN(S326/60, 0)&amp;"h"&amp;ROUNDUP((S326/60-ROUNDDOWN(S326/60, 0))*60,0)</f>
        <v>0h0</v>
      </c>
    </row>
    <row r="327" spans="2:20" x14ac:dyDescent="0.3">
      <c r="B327" s="135">
        <f t="shared" si="47"/>
        <v>46517</v>
      </c>
      <c r="C327" s="136" t="str">
        <f t="shared" si="51"/>
        <v>Monday</v>
      </c>
      <c r="D327" s="145" t="s">
        <v>88</v>
      </c>
      <c r="E327" s="136"/>
      <c r="F327" s="136"/>
      <c r="G327" s="136">
        <f t="shared" si="48"/>
        <v>0</v>
      </c>
      <c r="H327" s="136" t="str">
        <f t="shared" ref="H327:H372" si="55">ROUNDDOWN(G327/60, 0)&amp;"h"&amp;ROUNDUP((G327/60-ROUNDDOWN(G327/60, 0))*60,0)</f>
        <v>0h0</v>
      </c>
      <c r="I327" s="145" t="s">
        <v>88</v>
      </c>
      <c r="J327" s="136"/>
      <c r="K327" s="136"/>
      <c r="L327" s="136">
        <f t="shared" si="49"/>
        <v>0</v>
      </c>
      <c r="M327" s="136" t="str">
        <f t="shared" si="52"/>
        <v>0h0</v>
      </c>
      <c r="N327" s="145" t="s">
        <v>88</v>
      </c>
      <c r="O327" s="136"/>
      <c r="P327" s="136"/>
      <c r="Q327" s="136">
        <f t="shared" si="50"/>
        <v>0</v>
      </c>
      <c r="R327" s="136" t="str">
        <f t="shared" si="53"/>
        <v>0h0</v>
      </c>
      <c r="S327" s="145">
        <f t="shared" ref="S327:S372" si="56">G327+L327+Q327</f>
        <v>0</v>
      </c>
      <c r="T327" s="136" t="str">
        <f t="shared" si="54"/>
        <v>0h0</v>
      </c>
    </row>
    <row r="328" spans="2:20" x14ac:dyDescent="0.3">
      <c r="B328" s="135">
        <f t="shared" ref="B328:B372" si="57">B327+1</f>
        <v>46518</v>
      </c>
      <c r="C328" s="136" t="str">
        <f t="shared" si="51"/>
        <v>Tuesday</v>
      </c>
      <c r="D328" s="145" t="s">
        <v>88</v>
      </c>
      <c r="E328" s="136"/>
      <c r="F328" s="136"/>
      <c r="G328" s="136">
        <f t="shared" ref="G328:G372" si="58">E328*25+F328</f>
        <v>0</v>
      </c>
      <c r="H328" s="136" t="str">
        <f t="shared" si="55"/>
        <v>0h0</v>
      </c>
      <c r="I328" s="145" t="s">
        <v>88</v>
      </c>
      <c r="J328" s="136"/>
      <c r="K328" s="136"/>
      <c r="L328" s="136">
        <f t="shared" ref="L328:L372" si="59">J328*25+K328</f>
        <v>0</v>
      </c>
      <c r="M328" s="136" t="str">
        <f t="shared" si="52"/>
        <v>0h0</v>
      </c>
      <c r="N328" s="145" t="s">
        <v>88</v>
      </c>
      <c r="O328" s="136"/>
      <c r="P328" s="136"/>
      <c r="Q328" s="136">
        <f t="shared" ref="Q328:Q372" si="60">O328*25+P328</f>
        <v>0</v>
      </c>
      <c r="R328" s="136" t="str">
        <f t="shared" si="53"/>
        <v>0h0</v>
      </c>
      <c r="S328" s="145">
        <f t="shared" si="56"/>
        <v>0</v>
      </c>
      <c r="T328" s="136" t="str">
        <f t="shared" si="54"/>
        <v>0h0</v>
      </c>
    </row>
    <row r="329" spans="2:20" x14ac:dyDescent="0.3">
      <c r="B329" s="135">
        <f t="shared" si="57"/>
        <v>46519</v>
      </c>
      <c r="C329" s="136" t="str">
        <f t="shared" si="51"/>
        <v>Wednesday</v>
      </c>
      <c r="D329" s="145" t="s">
        <v>88</v>
      </c>
      <c r="E329" s="136"/>
      <c r="F329" s="136"/>
      <c r="G329" s="136">
        <f t="shared" si="58"/>
        <v>0</v>
      </c>
      <c r="H329" s="136" t="str">
        <f t="shared" si="55"/>
        <v>0h0</v>
      </c>
      <c r="I329" s="145" t="s">
        <v>88</v>
      </c>
      <c r="J329" s="136"/>
      <c r="K329" s="136"/>
      <c r="L329" s="136">
        <f t="shared" si="59"/>
        <v>0</v>
      </c>
      <c r="M329" s="136" t="str">
        <f t="shared" si="52"/>
        <v>0h0</v>
      </c>
      <c r="N329" s="145" t="s">
        <v>88</v>
      </c>
      <c r="O329" s="136"/>
      <c r="P329" s="136"/>
      <c r="Q329" s="136">
        <f t="shared" si="60"/>
        <v>0</v>
      </c>
      <c r="R329" s="136" t="str">
        <f t="shared" si="53"/>
        <v>0h0</v>
      </c>
      <c r="S329" s="145">
        <f t="shared" si="56"/>
        <v>0</v>
      </c>
      <c r="T329" s="136" t="str">
        <f t="shared" si="54"/>
        <v>0h0</v>
      </c>
    </row>
    <row r="330" spans="2:20" x14ac:dyDescent="0.3">
      <c r="B330" s="135">
        <f t="shared" si="57"/>
        <v>46520</v>
      </c>
      <c r="C330" s="136" t="str">
        <f t="shared" si="51"/>
        <v>Thursday</v>
      </c>
      <c r="D330" s="145" t="s">
        <v>88</v>
      </c>
      <c r="E330" s="136"/>
      <c r="F330" s="136"/>
      <c r="G330" s="136">
        <f t="shared" si="58"/>
        <v>0</v>
      </c>
      <c r="H330" s="136" t="str">
        <f t="shared" si="55"/>
        <v>0h0</v>
      </c>
      <c r="I330" s="145" t="s">
        <v>88</v>
      </c>
      <c r="J330" s="136"/>
      <c r="K330" s="136"/>
      <c r="L330" s="136">
        <f t="shared" si="59"/>
        <v>0</v>
      </c>
      <c r="M330" s="136" t="str">
        <f t="shared" si="52"/>
        <v>0h0</v>
      </c>
      <c r="N330" s="145" t="s">
        <v>88</v>
      </c>
      <c r="O330" s="136"/>
      <c r="P330" s="136"/>
      <c r="Q330" s="136">
        <f t="shared" si="60"/>
        <v>0</v>
      </c>
      <c r="R330" s="136" t="str">
        <f t="shared" si="53"/>
        <v>0h0</v>
      </c>
      <c r="S330" s="145">
        <f t="shared" si="56"/>
        <v>0</v>
      </c>
      <c r="T330" s="136" t="str">
        <f t="shared" si="54"/>
        <v>0h0</v>
      </c>
    </row>
    <row r="331" spans="2:20" x14ac:dyDescent="0.3">
      <c r="B331" s="135">
        <f t="shared" si="57"/>
        <v>46521</v>
      </c>
      <c r="C331" s="136" t="str">
        <f t="shared" si="51"/>
        <v>Friday</v>
      </c>
      <c r="D331" s="145" t="s">
        <v>88</v>
      </c>
      <c r="E331" s="136"/>
      <c r="F331" s="136"/>
      <c r="G331" s="136">
        <f t="shared" si="58"/>
        <v>0</v>
      </c>
      <c r="H331" s="136" t="str">
        <f t="shared" si="55"/>
        <v>0h0</v>
      </c>
      <c r="I331" s="145" t="s">
        <v>88</v>
      </c>
      <c r="J331" s="136"/>
      <c r="K331" s="136"/>
      <c r="L331" s="136">
        <f t="shared" si="59"/>
        <v>0</v>
      </c>
      <c r="M331" s="136" t="str">
        <f t="shared" si="52"/>
        <v>0h0</v>
      </c>
      <c r="N331" s="145" t="s">
        <v>88</v>
      </c>
      <c r="O331" s="136"/>
      <c r="P331" s="136"/>
      <c r="Q331" s="136">
        <f t="shared" si="60"/>
        <v>0</v>
      </c>
      <c r="R331" s="136" t="str">
        <f t="shared" si="53"/>
        <v>0h0</v>
      </c>
      <c r="S331" s="145">
        <f t="shared" si="56"/>
        <v>0</v>
      </c>
      <c r="T331" s="136" t="str">
        <f t="shared" si="54"/>
        <v>0h0</v>
      </c>
    </row>
    <row r="332" spans="2:20" x14ac:dyDescent="0.3">
      <c r="B332" s="135">
        <f t="shared" si="57"/>
        <v>46522</v>
      </c>
      <c r="C332" s="136" t="str">
        <f t="shared" si="51"/>
        <v>Saturday</v>
      </c>
      <c r="D332" s="145" t="s">
        <v>88</v>
      </c>
      <c r="E332" s="136"/>
      <c r="F332" s="136"/>
      <c r="G332" s="136">
        <f t="shared" si="58"/>
        <v>0</v>
      </c>
      <c r="H332" s="136" t="str">
        <f t="shared" si="55"/>
        <v>0h0</v>
      </c>
      <c r="I332" s="145" t="s">
        <v>88</v>
      </c>
      <c r="J332" s="136"/>
      <c r="K332" s="136"/>
      <c r="L332" s="136">
        <f t="shared" si="59"/>
        <v>0</v>
      </c>
      <c r="M332" s="136" t="str">
        <f t="shared" si="52"/>
        <v>0h0</v>
      </c>
      <c r="N332" s="145" t="s">
        <v>88</v>
      </c>
      <c r="O332" s="136"/>
      <c r="P332" s="136"/>
      <c r="Q332" s="136">
        <f t="shared" si="60"/>
        <v>0</v>
      </c>
      <c r="R332" s="136" t="str">
        <f t="shared" si="53"/>
        <v>0h0</v>
      </c>
      <c r="S332" s="145">
        <f t="shared" si="56"/>
        <v>0</v>
      </c>
      <c r="T332" s="136" t="str">
        <f t="shared" si="54"/>
        <v>0h0</v>
      </c>
    </row>
    <row r="333" spans="2:20" x14ac:dyDescent="0.3">
      <c r="B333" s="135">
        <f t="shared" si="57"/>
        <v>46523</v>
      </c>
      <c r="C333" s="136" t="str">
        <f t="shared" si="51"/>
        <v>Sunday</v>
      </c>
      <c r="D333" s="145" t="s">
        <v>88</v>
      </c>
      <c r="E333" s="136"/>
      <c r="F333" s="136"/>
      <c r="G333" s="136">
        <f t="shared" si="58"/>
        <v>0</v>
      </c>
      <c r="H333" s="136" t="str">
        <f t="shared" si="55"/>
        <v>0h0</v>
      </c>
      <c r="I333" s="145" t="s">
        <v>88</v>
      </c>
      <c r="J333" s="136"/>
      <c r="K333" s="136"/>
      <c r="L333" s="136">
        <f t="shared" si="59"/>
        <v>0</v>
      </c>
      <c r="M333" s="136" t="str">
        <f t="shared" si="52"/>
        <v>0h0</v>
      </c>
      <c r="N333" s="145" t="s">
        <v>88</v>
      </c>
      <c r="O333" s="136"/>
      <c r="P333" s="136"/>
      <c r="Q333" s="136">
        <f t="shared" si="60"/>
        <v>0</v>
      </c>
      <c r="R333" s="136" t="str">
        <f t="shared" si="53"/>
        <v>0h0</v>
      </c>
      <c r="S333" s="145">
        <f t="shared" si="56"/>
        <v>0</v>
      </c>
      <c r="T333" s="136" t="str">
        <f t="shared" si="54"/>
        <v>0h0</v>
      </c>
    </row>
    <row r="334" spans="2:20" x14ac:dyDescent="0.3">
      <c r="B334" s="135">
        <f t="shared" si="57"/>
        <v>46524</v>
      </c>
      <c r="C334" s="136" t="str">
        <f t="shared" si="51"/>
        <v>Monday</v>
      </c>
      <c r="D334" s="145" t="s">
        <v>88</v>
      </c>
      <c r="E334" s="136"/>
      <c r="F334" s="136"/>
      <c r="G334" s="136">
        <f t="shared" si="58"/>
        <v>0</v>
      </c>
      <c r="H334" s="136" t="str">
        <f t="shared" si="55"/>
        <v>0h0</v>
      </c>
      <c r="I334" s="145" t="s">
        <v>88</v>
      </c>
      <c r="J334" s="136"/>
      <c r="K334" s="136"/>
      <c r="L334" s="136">
        <f t="shared" si="59"/>
        <v>0</v>
      </c>
      <c r="M334" s="136" t="str">
        <f t="shared" si="52"/>
        <v>0h0</v>
      </c>
      <c r="N334" s="145" t="s">
        <v>88</v>
      </c>
      <c r="O334" s="136"/>
      <c r="P334" s="136"/>
      <c r="Q334" s="136">
        <f t="shared" si="60"/>
        <v>0</v>
      </c>
      <c r="R334" s="136" t="str">
        <f t="shared" si="53"/>
        <v>0h0</v>
      </c>
      <c r="S334" s="145">
        <f t="shared" si="56"/>
        <v>0</v>
      </c>
      <c r="T334" s="136" t="str">
        <f t="shared" si="54"/>
        <v>0h0</v>
      </c>
    </row>
    <row r="335" spans="2:20" x14ac:dyDescent="0.3">
      <c r="B335" s="135">
        <f t="shared" si="57"/>
        <v>46525</v>
      </c>
      <c r="C335" s="136" t="str">
        <f t="shared" si="51"/>
        <v>Tuesday</v>
      </c>
      <c r="D335" s="145" t="s">
        <v>88</v>
      </c>
      <c r="E335" s="136"/>
      <c r="F335" s="136"/>
      <c r="G335" s="136">
        <f t="shared" si="58"/>
        <v>0</v>
      </c>
      <c r="H335" s="136" t="str">
        <f t="shared" si="55"/>
        <v>0h0</v>
      </c>
      <c r="I335" s="145" t="s">
        <v>88</v>
      </c>
      <c r="J335" s="136"/>
      <c r="K335" s="136"/>
      <c r="L335" s="136">
        <f t="shared" si="59"/>
        <v>0</v>
      </c>
      <c r="M335" s="136" t="str">
        <f t="shared" si="52"/>
        <v>0h0</v>
      </c>
      <c r="N335" s="145" t="s">
        <v>88</v>
      </c>
      <c r="O335" s="136"/>
      <c r="P335" s="136"/>
      <c r="Q335" s="136">
        <f t="shared" si="60"/>
        <v>0</v>
      </c>
      <c r="R335" s="136" t="str">
        <f t="shared" si="53"/>
        <v>0h0</v>
      </c>
      <c r="S335" s="145">
        <f t="shared" si="56"/>
        <v>0</v>
      </c>
      <c r="T335" s="136" t="str">
        <f t="shared" si="54"/>
        <v>0h0</v>
      </c>
    </row>
    <row r="336" spans="2:20" x14ac:dyDescent="0.3">
      <c r="B336" s="135">
        <f t="shared" si="57"/>
        <v>46526</v>
      </c>
      <c r="C336" s="136" t="str">
        <f t="shared" si="51"/>
        <v>Wednesday</v>
      </c>
      <c r="D336" s="145" t="s">
        <v>88</v>
      </c>
      <c r="E336" s="136"/>
      <c r="F336" s="136"/>
      <c r="G336" s="136">
        <f t="shared" si="58"/>
        <v>0</v>
      </c>
      <c r="H336" s="136" t="str">
        <f t="shared" si="55"/>
        <v>0h0</v>
      </c>
      <c r="I336" s="145" t="s">
        <v>88</v>
      </c>
      <c r="J336" s="136"/>
      <c r="K336" s="136"/>
      <c r="L336" s="136">
        <f t="shared" si="59"/>
        <v>0</v>
      </c>
      <c r="M336" s="136" t="str">
        <f t="shared" si="52"/>
        <v>0h0</v>
      </c>
      <c r="N336" s="145" t="s">
        <v>88</v>
      </c>
      <c r="O336" s="136"/>
      <c r="P336" s="136"/>
      <c r="Q336" s="136">
        <f t="shared" si="60"/>
        <v>0</v>
      </c>
      <c r="R336" s="136" t="str">
        <f t="shared" si="53"/>
        <v>0h0</v>
      </c>
      <c r="S336" s="145">
        <f t="shared" si="56"/>
        <v>0</v>
      </c>
      <c r="T336" s="136" t="str">
        <f t="shared" si="54"/>
        <v>0h0</v>
      </c>
    </row>
    <row r="337" spans="2:20" x14ac:dyDescent="0.3">
      <c r="B337" s="135">
        <f t="shared" si="57"/>
        <v>46527</v>
      </c>
      <c r="C337" s="136" t="str">
        <f t="shared" si="51"/>
        <v>Thursday</v>
      </c>
      <c r="D337" s="145" t="s">
        <v>88</v>
      </c>
      <c r="E337" s="136"/>
      <c r="F337" s="136"/>
      <c r="G337" s="136">
        <f t="shared" si="58"/>
        <v>0</v>
      </c>
      <c r="H337" s="136" t="str">
        <f t="shared" si="55"/>
        <v>0h0</v>
      </c>
      <c r="I337" s="145" t="s">
        <v>88</v>
      </c>
      <c r="J337" s="136"/>
      <c r="K337" s="136"/>
      <c r="L337" s="136">
        <f t="shared" si="59"/>
        <v>0</v>
      </c>
      <c r="M337" s="136" t="str">
        <f t="shared" si="52"/>
        <v>0h0</v>
      </c>
      <c r="N337" s="145" t="s">
        <v>88</v>
      </c>
      <c r="O337" s="136"/>
      <c r="P337" s="136"/>
      <c r="Q337" s="136">
        <f t="shared" si="60"/>
        <v>0</v>
      </c>
      <c r="R337" s="136" t="str">
        <f t="shared" si="53"/>
        <v>0h0</v>
      </c>
      <c r="S337" s="145">
        <f t="shared" si="56"/>
        <v>0</v>
      </c>
      <c r="T337" s="136" t="str">
        <f t="shared" si="54"/>
        <v>0h0</v>
      </c>
    </row>
    <row r="338" spans="2:20" x14ac:dyDescent="0.3">
      <c r="B338" s="135">
        <f t="shared" si="57"/>
        <v>46528</v>
      </c>
      <c r="C338" s="136" t="str">
        <f t="shared" si="51"/>
        <v>Friday</v>
      </c>
      <c r="D338" s="145" t="s">
        <v>88</v>
      </c>
      <c r="E338" s="136"/>
      <c r="F338" s="136"/>
      <c r="G338" s="136">
        <f t="shared" si="58"/>
        <v>0</v>
      </c>
      <c r="H338" s="136" t="str">
        <f t="shared" si="55"/>
        <v>0h0</v>
      </c>
      <c r="I338" s="145" t="s">
        <v>88</v>
      </c>
      <c r="J338" s="136"/>
      <c r="K338" s="136"/>
      <c r="L338" s="136">
        <f t="shared" si="59"/>
        <v>0</v>
      </c>
      <c r="M338" s="136" t="str">
        <f t="shared" si="52"/>
        <v>0h0</v>
      </c>
      <c r="N338" s="145" t="s">
        <v>88</v>
      </c>
      <c r="O338" s="136"/>
      <c r="P338" s="136"/>
      <c r="Q338" s="136">
        <f t="shared" si="60"/>
        <v>0</v>
      </c>
      <c r="R338" s="136" t="str">
        <f t="shared" si="53"/>
        <v>0h0</v>
      </c>
      <c r="S338" s="145">
        <f t="shared" si="56"/>
        <v>0</v>
      </c>
      <c r="T338" s="136" t="str">
        <f t="shared" si="54"/>
        <v>0h0</v>
      </c>
    </row>
    <row r="339" spans="2:20" x14ac:dyDescent="0.3">
      <c r="B339" s="135">
        <f t="shared" si="57"/>
        <v>46529</v>
      </c>
      <c r="C339" s="136" t="str">
        <f t="shared" si="51"/>
        <v>Saturday</v>
      </c>
      <c r="D339" s="145" t="s">
        <v>88</v>
      </c>
      <c r="E339" s="136"/>
      <c r="F339" s="136"/>
      <c r="G339" s="136">
        <f t="shared" si="58"/>
        <v>0</v>
      </c>
      <c r="H339" s="136" t="str">
        <f t="shared" si="55"/>
        <v>0h0</v>
      </c>
      <c r="I339" s="145" t="s">
        <v>88</v>
      </c>
      <c r="J339" s="136"/>
      <c r="K339" s="136"/>
      <c r="L339" s="136">
        <f t="shared" si="59"/>
        <v>0</v>
      </c>
      <c r="M339" s="136" t="str">
        <f t="shared" si="52"/>
        <v>0h0</v>
      </c>
      <c r="N339" s="145" t="s">
        <v>88</v>
      </c>
      <c r="O339" s="136"/>
      <c r="P339" s="136"/>
      <c r="Q339" s="136">
        <f t="shared" si="60"/>
        <v>0</v>
      </c>
      <c r="R339" s="136" t="str">
        <f t="shared" si="53"/>
        <v>0h0</v>
      </c>
      <c r="S339" s="145">
        <f t="shared" si="56"/>
        <v>0</v>
      </c>
      <c r="T339" s="136" t="str">
        <f t="shared" si="54"/>
        <v>0h0</v>
      </c>
    </row>
    <row r="340" spans="2:20" x14ac:dyDescent="0.3">
      <c r="B340" s="135">
        <f t="shared" si="57"/>
        <v>46530</v>
      </c>
      <c r="C340" s="136" t="str">
        <f t="shared" si="51"/>
        <v>Sunday</v>
      </c>
      <c r="D340" s="145" t="s">
        <v>88</v>
      </c>
      <c r="E340" s="136"/>
      <c r="F340" s="136"/>
      <c r="G340" s="136">
        <f t="shared" si="58"/>
        <v>0</v>
      </c>
      <c r="H340" s="136" t="str">
        <f t="shared" si="55"/>
        <v>0h0</v>
      </c>
      <c r="I340" s="145" t="s">
        <v>88</v>
      </c>
      <c r="J340" s="136"/>
      <c r="K340" s="136"/>
      <c r="L340" s="136">
        <f t="shared" si="59"/>
        <v>0</v>
      </c>
      <c r="M340" s="136" t="str">
        <f t="shared" si="52"/>
        <v>0h0</v>
      </c>
      <c r="N340" s="145" t="s">
        <v>88</v>
      </c>
      <c r="O340" s="136"/>
      <c r="P340" s="136"/>
      <c r="Q340" s="136">
        <f t="shared" si="60"/>
        <v>0</v>
      </c>
      <c r="R340" s="136" t="str">
        <f t="shared" si="53"/>
        <v>0h0</v>
      </c>
      <c r="S340" s="145">
        <f t="shared" si="56"/>
        <v>0</v>
      </c>
      <c r="T340" s="136" t="str">
        <f t="shared" si="54"/>
        <v>0h0</v>
      </c>
    </row>
    <row r="341" spans="2:20" x14ac:dyDescent="0.3">
      <c r="B341" s="135">
        <f t="shared" si="57"/>
        <v>46531</v>
      </c>
      <c r="C341" s="136" t="str">
        <f t="shared" si="51"/>
        <v>Monday</v>
      </c>
      <c r="D341" s="145" t="s">
        <v>88</v>
      </c>
      <c r="E341" s="136"/>
      <c r="F341" s="136"/>
      <c r="G341" s="136">
        <f t="shared" si="58"/>
        <v>0</v>
      </c>
      <c r="H341" s="136" t="str">
        <f t="shared" si="55"/>
        <v>0h0</v>
      </c>
      <c r="I341" s="145" t="s">
        <v>88</v>
      </c>
      <c r="J341" s="136"/>
      <c r="K341" s="136"/>
      <c r="L341" s="136">
        <f t="shared" si="59"/>
        <v>0</v>
      </c>
      <c r="M341" s="136" t="str">
        <f t="shared" si="52"/>
        <v>0h0</v>
      </c>
      <c r="N341" s="145" t="s">
        <v>88</v>
      </c>
      <c r="O341" s="136"/>
      <c r="P341" s="136"/>
      <c r="Q341" s="136">
        <f t="shared" si="60"/>
        <v>0</v>
      </c>
      <c r="R341" s="136" t="str">
        <f t="shared" si="53"/>
        <v>0h0</v>
      </c>
      <c r="S341" s="145">
        <f t="shared" si="56"/>
        <v>0</v>
      </c>
      <c r="T341" s="136" t="str">
        <f t="shared" si="54"/>
        <v>0h0</v>
      </c>
    </row>
    <row r="342" spans="2:20" x14ac:dyDescent="0.3">
      <c r="B342" s="135">
        <f t="shared" si="57"/>
        <v>46532</v>
      </c>
      <c r="C342" s="136" t="str">
        <f t="shared" si="51"/>
        <v>Tuesday</v>
      </c>
      <c r="D342" s="145" t="s">
        <v>88</v>
      </c>
      <c r="E342" s="136"/>
      <c r="F342" s="136"/>
      <c r="G342" s="136">
        <f t="shared" si="58"/>
        <v>0</v>
      </c>
      <c r="H342" s="136" t="str">
        <f t="shared" si="55"/>
        <v>0h0</v>
      </c>
      <c r="I342" s="145" t="s">
        <v>88</v>
      </c>
      <c r="J342" s="136"/>
      <c r="K342" s="136"/>
      <c r="L342" s="136">
        <f t="shared" si="59"/>
        <v>0</v>
      </c>
      <c r="M342" s="136" t="str">
        <f t="shared" si="52"/>
        <v>0h0</v>
      </c>
      <c r="N342" s="145" t="s">
        <v>88</v>
      </c>
      <c r="O342" s="136"/>
      <c r="P342" s="136"/>
      <c r="Q342" s="136">
        <f t="shared" si="60"/>
        <v>0</v>
      </c>
      <c r="R342" s="136" t="str">
        <f t="shared" si="53"/>
        <v>0h0</v>
      </c>
      <c r="S342" s="145">
        <f t="shared" si="56"/>
        <v>0</v>
      </c>
      <c r="T342" s="136" t="str">
        <f t="shared" si="54"/>
        <v>0h0</v>
      </c>
    </row>
    <row r="343" spans="2:20" x14ac:dyDescent="0.3">
      <c r="B343" s="135">
        <f t="shared" si="57"/>
        <v>46533</v>
      </c>
      <c r="C343" s="136" t="str">
        <f t="shared" si="51"/>
        <v>Wednesday</v>
      </c>
      <c r="D343" s="145" t="s">
        <v>88</v>
      </c>
      <c r="E343" s="136"/>
      <c r="F343" s="136"/>
      <c r="G343" s="136">
        <f t="shared" si="58"/>
        <v>0</v>
      </c>
      <c r="H343" s="136" t="str">
        <f t="shared" si="55"/>
        <v>0h0</v>
      </c>
      <c r="I343" s="145" t="s">
        <v>88</v>
      </c>
      <c r="J343" s="136"/>
      <c r="K343" s="136"/>
      <c r="L343" s="136">
        <f t="shared" si="59"/>
        <v>0</v>
      </c>
      <c r="M343" s="136" t="str">
        <f t="shared" si="52"/>
        <v>0h0</v>
      </c>
      <c r="N343" s="145" t="s">
        <v>88</v>
      </c>
      <c r="O343" s="136"/>
      <c r="P343" s="136"/>
      <c r="Q343" s="136">
        <f t="shared" si="60"/>
        <v>0</v>
      </c>
      <c r="R343" s="136" t="str">
        <f t="shared" si="53"/>
        <v>0h0</v>
      </c>
      <c r="S343" s="145">
        <f t="shared" si="56"/>
        <v>0</v>
      </c>
      <c r="T343" s="136" t="str">
        <f t="shared" si="54"/>
        <v>0h0</v>
      </c>
    </row>
    <row r="344" spans="2:20" x14ac:dyDescent="0.3">
      <c r="B344" s="135">
        <f t="shared" si="57"/>
        <v>46534</v>
      </c>
      <c r="C344" s="136" t="str">
        <f t="shared" si="51"/>
        <v>Thursday</v>
      </c>
      <c r="D344" s="145" t="s">
        <v>88</v>
      </c>
      <c r="E344" s="136"/>
      <c r="F344" s="136"/>
      <c r="G344" s="136">
        <f t="shared" si="58"/>
        <v>0</v>
      </c>
      <c r="H344" s="136" t="str">
        <f t="shared" si="55"/>
        <v>0h0</v>
      </c>
      <c r="I344" s="145" t="s">
        <v>88</v>
      </c>
      <c r="J344" s="136"/>
      <c r="K344" s="136"/>
      <c r="L344" s="136">
        <f t="shared" si="59"/>
        <v>0</v>
      </c>
      <c r="M344" s="136" t="str">
        <f t="shared" si="52"/>
        <v>0h0</v>
      </c>
      <c r="N344" s="145" t="s">
        <v>88</v>
      </c>
      <c r="O344" s="136"/>
      <c r="P344" s="136"/>
      <c r="Q344" s="136">
        <f t="shared" si="60"/>
        <v>0</v>
      </c>
      <c r="R344" s="136" t="str">
        <f t="shared" si="53"/>
        <v>0h0</v>
      </c>
      <c r="S344" s="145">
        <f t="shared" si="56"/>
        <v>0</v>
      </c>
      <c r="T344" s="136" t="str">
        <f t="shared" si="54"/>
        <v>0h0</v>
      </c>
    </row>
    <row r="345" spans="2:20" x14ac:dyDescent="0.3">
      <c r="B345" s="135">
        <f t="shared" si="57"/>
        <v>46535</v>
      </c>
      <c r="C345" s="136" t="str">
        <f t="shared" si="51"/>
        <v>Friday</v>
      </c>
      <c r="D345" s="145" t="s">
        <v>88</v>
      </c>
      <c r="E345" s="136"/>
      <c r="F345" s="136"/>
      <c r="G345" s="136">
        <f t="shared" si="58"/>
        <v>0</v>
      </c>
      <c r="H345" s="136" t="str">
        <f t="shared" si="55"/>
        <v>0h0</v>
      </c>
      <c r="I345" s="145" t="s">
        <v>88</v>
      </c>
      <c r="J345" s="136"/>
      <c r="K345" s="136"/>
      <c r="L345" s="136">
        <f t="shared" si="59"/>
        <v>0</v>
      </c>
      <c r="M345" s="136" t="str">
        <f t="shared" si="52"/>
        <v>0h0</v>
      </c>
      <c r="N345" s="145" t="s">
        <v>88</v>
      </c>
      <c r="O345" s="136"/>
      <c r="P345" s="136"/>
      <c r="Q345" s="136">
        <f t="shared" si="60"/>
        <v>0</v>
      </c>
      <c r="R345" s="136" t="str">
        <f t="shared" si="53"/>
        <v>0h0</v>
      </c>
      <c r="S345" s="145">
        <f t="shared" si="56"/>
        <v>0</v>
      </c>
      <c r="T345" s="136" t="str">
        <f t="shared" si="54"/>
        <v>0h0</v>
      </c>
    </row>
    <row r="346" spans="2:20" x14ac:dyDescent="0.3">
      <c r="B346" s="135">
        <f t="shared" si="57"/>
        <v>46536</v>
      </c>
      <c r="C346" s="136" t="str">
        <f t="shared" si="51"/>
        <v>Saturday</v>
      </c>
      <c r="D346" s="145" t="s">
        <v>88</v>
      </c>
      <c r="E346" s="136"/>
      <c r="F346" s="136"/>
      <c r="G346" s="136">
        <f t="shared" si="58"/>
        <v>0</v>
      </c>
      <c r="H346" s="136" t="str">
        <f t="shared" si="55"/>
        <v>0h0</v>
      </c>
      <c r="I346" s="145" t="s">
        <v>88</v>
      </c>
      <c r="J346" s="136"/>
      <c r="K346" s="136"/>
      <c r="L346" s="136">
        <f t="shared" si="59"/>
        <v>0</v>
      </c>
      <c r="M346" s="136" t="str">
        <f t="shared" si="52"/>
        <v>0h0</v>
      </c>
      <c r="N346" s="145" t="s">
        <v>88</v>
      </c>
      <c r="O346" s="136"/>
      <c r="P346" s="136"/>
      <c r="Q346" s="136">
        <f t="shared" si="60"/>
        <v>0</v>
      </c>
      <c r="R346" s="136" t="str">
        <f t="shared" si="53"/>
        <v>0h0</v>
      </c>
      <c r="S346" s="145">
        <f t="shared" si="56"/>
        <v>0</v>
      </c>
      <c r="T346" s="136" t="str">
        <f t="shared" si="54"/>
        <v>0h0</v>
      </c>
    </row>
    <row r="347" spans="2:20" x14ac:dyDescent="0.3">
      <c r="B347" s="135">
        <f t="shared" si="57"/>
        <v>46537</v>
      </c>
      <c r="C347" s="136" t="str">
        <f t="shared" si="51"/>
        <v>Sunday</v>
      </c>
      <c r="D347" s="145" t="s">
        <v>88</v>
      </c>
      <c r="E347" s="136"/>
      <c r="F347" s="136"/>
      <c r="G347" s="136">
        <f t="shared" si="58"/>
        <v>0</v>
      </c>
      <c r="H347" s="136" t="str">
        <f t="shared" si="55"/>
        <v>0h0</v>
      </c>
      <c r="I347" s="145" t="s">
        <v>88</v>
      </c>
      <c r="J347" s="136"/>
      <c r="K347" s="136"/>
      <c r="L347" s="136">
        <f t="shared" si="59"/>
        <v>0</v>
      </c>
      <c r="M347" s="136" t="str">
        <f t="shared" si="52"/>
        <v>0h0</v>
      </c>
      <c r="N347" s="145" t="s">
        <v>88</v>
      </c>
      <c r="O347" s="136"/>
      <c r="P347" s="136"/>
      <c r="Q347" s="136">
        <f t="shared" si="60"/>
        <v>0</v>
      </c>
      <c r="R347" s="136" t="str">
        <f t="shared" si="53"/>
        <v>0h0</v>
      </c>
      <c r="S347" s="145">
        <f t="shared" si="56"/>
        <v>0</v>
      </c>
      <c r="T347" s="136" t="str">
        <f t="shared" si="54"/>
        <v>0h0</v>
      </c>
    </row>
    <row r="348" spans="2:20" x14ac:dyDescent="0.3">
      <c r="B348" s="135">
        <f t="shared" si="57"/>
        <v>46538</v>
      </c>
      <c r="C348" s="136" t="str">
        <f t="shared" si="51"/>
        <v>Monday</v>
      </c>
      <c r="D348" s="145" t="s">
        <v>88</v>
      </c>
      <c r="E348" s="136"/>
      <c r="F348" s="136"/>
      <c r="G348" s="136">
        <f t="shared" si="58"/>
        <v>0</v>
      </c>
      <c r="H348" s="136" t="str">
        <f t="shared" si="55"/>
        <v>0h0</v>
      </c>
      <c r="I348" s="145" t="s">
        <v>88</v>
      </c>
      <c r="J348" s="136"/>
      <c r="K348" s="136"/>
      <c r="L348" s="136">
        <f t="shared" si="59"/>
        <v>0</v>
      </c>
      <c r="M348" s="136" t="str">
        <f t="shared" si="52"/>
        <v>0h0</v>
      </c>
      <c r="N348" s="145" t="s">
        <v>88</v>
      </c>
      <c r="O348" s="136"/>
      <c r="P348" s="136"/>
      <c r="Q348" s="136">
        <f t="shared" si="60"/>
        <v>0</v>
      </c>
      <c r="R348" s="136" t="str">
        <f t="shared" si="53"/>
        <v>0h0</v>
      </c>
      <c r="S348" s="145">
        <f t="shared" si="56"/>
        <v>0</v>
      </c>
      <c r="T348" s="136" t="str">
        <f t="shared" si="54"/>
        <v>0h0</v>
      </c>
    </row>
    <row r="349" spans="2:20" x14ac:dyDescent="0.3">
      <c r="B349" s="135">
        <f t="shared" si="57"/>
        <v>46539</v>
      </c>
      <c r="C349" s="136" t="str">
        <f t="shared" si="51"/>
        <v>Tuesday</v>
      </c>
      <c r="D349" s="145" t="s">
        <v>88</v>
      </c>
      <c r="E349" s="136"/>
      <c r="F349" s="136"/>
      <c r="G349" s="136">
        <f t="shared" si="58"/>
        <v>0</v>
      </c>
      <c r="H349" s="136" t="str">
        <f t="shared" si="55"/>
        <v>0h0</v>
      </c>
      <c r="I349" s="145" t="s">
        <v>88</v>
      </c>
      <c r="J349" s="136"/>
      <c r="K349" s="136"/>
      <c r="L349" s="136">
        <f t="shared" si="59"/>
        <v>0</v>
      </c>
      <c r="M349" s="136" t="str">
        <f t="shared" si="52"/>
        <v>0h0</v>
      </c>
      <c r="N349" s="145" t="s">
        <v>88</v>
      </c>
      <c r="O349" s="136"/>
      <c r="P349" s="136"/>
      <c r="Q349" s="136">
        <f t="shared" si="60"/>
        <v>0</v>
      </c>
      <c r="R349" s="136" t="str">
        <f t="shared" si="53"/>
        <v>0h0</v>
      </c>
      <c r="S349" s="145">
        <f t="shared" si="56"/>
        <v>0</v>
      </c>
      <c r="T349" s="136" t="str">
        <f t="shared" si="54"/>
        <v>0h0</v>
      </c>
    </row>
    <row r="350" spans="2:20" x14ac:dyDescent="0.3">
      <c r="B350" s="135">
        <f t="shared" si="57"/>
        <v>46540</v>
      </c>
      <c r="C350" s="136" t="str">
        <f t="shared" si="51"/>
        <v>Wednesday</v>
      </c>
      <c r="D350" s="145" t="s">
        <v>88</v>
      </c>
      <c r="E350" s="136"/>
      <c r="F350" s="136"/>
      <c r="G350" s="136">
        <f t="shared" si="58"/>
        <v>0</v>
      </c>
      <c r="H350" s="136" t="str">
        <f t="shared" si="55"/>
        <v>0h0</v>
      </c>
      <c r="I350" s="145" t="s">
        <v>88</v>
      </c>
      <c r="J350" s="136"/>
      <c r="K350" s="136"/>
      <c r="L350" s="136">
        <f t="shared" si="59"/>
        <v>0</v>
      </c>
      <c r="M350" s="136" t="str">
        <f t="shared" si="52"/>
        <v>0h0</v>
      </c>
      <c r="N350" s="145" t="s">
        <v>88</v>
      </c>
      <c r="O350" s="136"/>
      <c r="P350" s="136"/>
      <c r="Q350" s="136">
        <f t="shared" si="60"/>
        <v>0</v>
      </c>
      <c r="R350" s="136" t="str">
        <f t="shared" si="53"/>
        <v>0h0</v>
      </c>
      <c r="S350" s="145">
        <f t="shared" si="56"/>
        <v>0</v>
      </c>
      <c r="T350" s="136" t="str">
        <f t="shared" si="54"/>
        <v>0h0</v>
      </c>
    </row>
    <row r="351" spans="2:20" x14ac:dyDescent="0.3">
      <c r="B351" s="135">
        <f t="shared" si="57"/>
        <v>46541</v>
      </c>
      <c r="C351" s="136" t="str">
        <f t="shared" si="51"/>
        <v>Thursday</v>
      </c>
      <c r="D351" s="145" t="s">
        <v>88</v>
      </c>
      <c r="E351" s="136"/>
      <c r="F351" s="136"/>
      <c r="G351" s="136">
        <f t="shared" si="58"/>
        <v>0</v>
      </c>
      <c r="H351" s="136" t="str">
        <f t="shared" si="55"/>
        <v>0h0</v>
      </c>
      <c r="I351" s="145" t="s">
        <v>88</v>
      </c>
      <c r="J351" s="136"/>
      <c r="K351" s="136"/>
      <c r="L351" s="136">
        <f t="shared" si="59"/>
        <v>0</v>
      </c>
      <c r="M351" s="136" t="str">
        <f t="shared" si="52"/>
        <v>0h0</v>
      </c>
      <c r="N351" s="145" t="s">
        <v>88</v>
      </c>
      <c r="O351" s="136"/>
      <c r="P351" s="136"/>
      <c r="Q351" s="136">
        <f t="shared" si="60"/>
        <v>0</v>
      </c>
      <c r="R351" s="136" t="str">
        <f t="shared" si="53"/>
        <v>0h0</v>
      </c>
      <c r="S351" s="145">
        <f t="shared" si="56"/>
        <v>0</v>
      </c>
      <c r="T351" s="136" t="str">
        <f t="shared" si="54"/>
        <v>0h0</v>
      </c>
    </row>
    <row r="352" spans="2:20" x14ac:dyDescent="0.3">
      <c r="B352" s="135">
        <f t="shared" si="57"/>
        <v>46542</v>
      </c>
      <c r="C352" s="136" t="str">
        <f t="shared" si="51"/>
        <v>Friday</v>
      </c>
      <c r="D352" s="145" t="s">
        <v>88</v>
      </c>
      <c r="E352" s="136"/>
      <c r="F352" s="136"/>
      <c r="G352" s="136">
        <f t="shared" si="58"/>
        <v>0</v>
      </c>
      <c r="H352" s="136" t="str">
        <f t="shared" si="55"/>
        <v>0h0</v>
      </c>
      <c r="I352" s="145" t="s">
        <v>88</v>
      </c>
      <c r="J352" s="136"/>
      <c r="K352" s="136"/>
      <c r="L352" s="136">
        <f t="shared" si="59"/>
        <v>0</v>
      </c>
      <c r="M352" s="136" t="str">
        <f t="shared" si="52"/>
        <v>0h0</v>
      </c>
      <c r="N352" s="145" t="s">
        <v>88</v>
      </c>
      <c r="O352" s="136"/>
      <c r="P352" s="136"/>
      <c r="Q352" s="136">
        <f t="shared" si="60"/>
        <v>0</v>
      </c>
      <c r="R352" s="136" t="str">
        <f t="shared" si="53"/>
        <v>0h0</v>
      </c>
      <c r="S352" s="145">
        <f t="shared" si="56"/>
        <v>0</v>
      </c>
      <c r="T352" s="136" t="str">
        <f t="shared" si="54"/>
        <v>0h0</v>
      </c>
    </row>
    <row r="353" spans="2:20" x14ac:dyDescent="0.3">
      <c r="B353" s="135">
        <f t="shared" si="57"/>
        <v>46543</v>
      </c>
      <c r="C353" s="136" t="str">
        <f t="shared" si="51"/>
        <v>Saturday</v>
      </c>
      <c r="D353" s="145" t="s">
        <v>88</v>
      </c>
      <c r="E353" s="136"/>
      <c r="F353" s="136"/>
      <c r="G353" s="136">
        <f t="shared" si="58"/>
        <v>0</v>
      </c>
      <c r="H353" s="136" t="str">
        <f t="shared" si="55"/>
        <v>0h0</v>
      </c>
      <c r="I353" s="145" t="s">
        <v>88</v>
      </c>
      <c r="J353" s="136"/>
      <c r="K353" s="136"/>
      <c r="L353" s="136">
        <f t="shared" si="59"/>
        <v>0</v>
      </c>
      <c r="M353" s="136" t="str">
        <f t="shared" si="52"/>
        <v>0h0</v>
      </c>
      <c r="N353" s="145" t="s">
        <v>88</v>
      </c>
      <c r="O353" s="136"/>
      <c r="P353" s="136"/>
      <c r="Q353" s="136">
        <f t="shared" si="60"/>
        <v>0</v>
      </c>
      <c r="R353" s="136" t="str">
        <f t="shared" si="53"/>
        <v>0h0</v>
      </c>
      <c r="S353" s="145">
        <f t="shared" si="56"/>
        <v>0</v>
      </c>
      <c r="T353" s="136" t="str">
        <f t="shared" si="54"/>
        <v>0h0</v>
      </c>
    </row>
    <row r="354" spans="2:20" x14ac:dyDescent="0.3">
      <c r="B354" s="135">
        <f t="shared" si="57"/>
        <v>46544</v>
      </c>
      <c r="C354" s="136" t="str">
        <f t="shared" si="51"/>
        <v>Sunday</v>
      </c>
      <c r="D354" s="145" t="s">
        <v>88</v>
      </c>
      <c r="E354" s="136"/>
      <c r="F354" s="136"/>
      <c r="G354" s="136">
        <f t="shared" si="58"/>
        <v>0</v>
      </c>
      <c r="H354" s="136" t="str">
        <f t="shared" si="55"/>
        <v>0h0</v>
      </c>
      <c r="I354" s="145" t="s">
        <v>88</v>
      </c>
      <c r="J354" s="136"/>
      <c r="K354" s="136"/>
      <c r="L354" s="136">
        <f t="shared" si="59"/>
        <v>0</v>
      </c>
      <c r="M354" s="136" t="str">
        <f t="shared" si="52"/>
        <v>0h0</v>
      </c>
      <c r="N354" s="145" t="s">
        <v>88</v>
      </c>
      <c r="O354" s="136"/>
      <c r="P354" s="136"/>
      <c r="Q354" s="136">
        <f t="shared" si="60"/>
        <v>0</v>
      </c>
      <c r="R354" s="136" t="str">
        <f t="shared" si="53"/>
        <v>0h0</v>
      </c>
      <c r="S354" s="145">
        <f t="shared" si="56"/>
        <v>0</v>
      </c>
      <c r="T354" s="136" t="str">
        <f t="shared" si="54"/>
        <v>0h0</v>
      </c>
    </row>
    <row r="355" spans="2:20" x14ac:dyDescent="0.3">
      <c r="B355" s="135">
        <f t="shared" si="57"/>
        <v>46545</v>
      </c>
      <c r="C355" s="136" t="str">
        <f t="shared" si="51"/>
        <v>Monday</v>
      </c>
      <c r="D355" s="145" t="s">
        <v>88</v>
      </c>
      <c r="E355" s="136"/>
      <c r="F355" s="136"/>
      <c r="G355" s="136">
        <f t="shared" si="58"/>
        <v>0</v>
      </c>
      <c r="H355" s="136" t="str">
        <f t="shared" si="55"/>
        <v>0h0</v>
      </c>
      <c r="I355" s="145" t="s">
        <v>88</v>
      </c>
      <c r="J355" s="136"/>
      <c r="K355" s="136"/>
      <c r="L355" s="136">
        <f t="shared" si="59"/>
        <v>0</v>
      </c>
      <c r="M355" s="136" t="str">
        <f t="shared" si="52"/>
        <v>0h0</v>
      </c>
      <c r="N355" s="145" t="s">
        <v>88</v>
      </c>
      <c r="O355" s="136"/>
      <c r="P355" s="136"/>
      <c r="Q355" s="136">
        <f t="shared" si="60"/>
        <v>0</v>
      </c>
      <c r="R355" s="136" t="str">
        <f t="shared" si="53"/>
        <v>0h0</v>
      </c>
      <c r="S355" s="145">
        <f t="shared" si="56"/>
        <v>0</v>
      </c>
      <c r="T355" s="136" t="str">
        <f t="shared" si="54"/>
        <v>0h0</v>
      </c>
    </row>
    <row r="356" spans="2:20" x14ac:dyDescent="0.3">
      <c r="B356" s="135">
        <f t="shared" si="57"/>
        <v>46546</v>
      </c>
      <c r="C356" s="136" t="str">
        <f t="shared" si="51"/>
        <v>Tuesday</v>
      </c>
      <c r="D356" s="145" t="s">
        <v>88</v>
      </c>
      <c r="E356" s="136"/>
      <c r="F356" s="136"/>
      <c r="G356" s="136">
        <f t="shared" si="58"/>
        <v>0</v>
      </c>
      <c r="H356" s="136" t="str">
        <f t="shared" si="55"/>
        <v>0h0</v>
      </c>
      <c r="I356" s="145" t="s">
        <v>88</v>
      </c>
      <c r="J356" s="136"/>
      <c r="K356" s="136"/>
      <c r="L356" s="136">
        <f t="shared" si="59"/>
        <v>0</v>
      </c>
      <c r="M356" s="136" t="str">
        <f t="shared" si="52"/>
        <v>0h0</v>
      </c>
      <c r="N356" s="145" t="s">
        <v>88</v>
      </c>
      <c r="O356" s="136"/>
      <c r="P356" s="136"/>
      <c r="Q356" s="136">
        <f t="shared" si="60"/>
        <v>0</v>
      </c>
      <c r="R356" s="136" t="str">
        <f t="shared" si="53"/>
        <v>0h0</v>
      </c>
      <c r="S356" s="145">
        <f t="shared" si="56"/>
        <v>0</v>
      </c>
      <c r="T356" s="136" t="str">
        <f t="shared" si="54"/>
        <v>0h0</v>
      </c>
    </row>
    <row r="357" spans="2:20" x14ac:dyDescent="0.3">
      <c r="B357" s="135">
        <f t="shared" si="57"/>
        <v>46547</v>
      </c>
      <c r="C357" s="136" t="str">
        <f t="shared" si="51"/>
        <v>Wednesday</v>
      </c>
      <c r="D357" s="145" t="s">
        <v>88</v>
      </c>
      <c r="E357" s="136"/>
      <c r="F357" s="136"/>
      <c r="G357" s="136">
        <f t="shared" si="58"/>
        <v>0</v>
      </c>
      <c r="H357" s="136" t="str">
        <f t="shared" si="55"/>
        <v>0h0</v>
      </c>
      <c r="I357" s="145" t="s">
        <v>88</v>
      </c>
      <c r="J357" s="136"/>
      <c r="K357" s="136"/>
      <c r="L357" s="136">
        <f t="shared" si="59"/>
        <v>0</v>
      </c>
      <c r="M357" s="136" t="str">
        <f t="shared" si="52"/>
        <v>0h0</v>
      </c>
      <c r="N357" s="145" t="s">
        <v>88</v>
      </c>
      <c r="O357" s="136"/>
      <c r="P357" s="136"/>
      <c r="Q357" s="136">
        <f t="shared" si="60"/>
        <v>0</v>
      </c>
      <c r="R357" s="136" t="str">
        <f t="shared" si="53"/>
        <v>0h0</v>
      </c>
      <c r="S357" s="145">
        <f t="shared" si="56"/>
        <v>0</v>
      </c>
      <c r="T357" s="136" t="str">
        <f t="shared" si="54"/>
        <v>0h0</v>
      </c>
    </row>
    <row r="358" spans="2:20" x14ac:dyDescent="0.3">
      <c r="B358" s="135">
        <f t="shared" si="57"/>
        <v>46548</v>
      </c>
      <c r="C358" s="136" t="str">
        <f t="shared" si="51"/>
        <v>Thursday</v>
      </c>
      <c r="D358" s="145" t="s">
        <v>88</v>
      </c>
      <c r="E358" s="136"/>
      <c r="F358" s="136"/>
      <c r="G358" s="136">
        <f t="shared" si="58"/>
        <v>0</v>
      </c>
      <c r="H358" s="136" t="str">
        <f t="shared" si="55"/>
        <v>0h0</v>
      </c>
      <c r="I358" s="145" t="s">
        <v>88</v>
      </c>
      <c r="J358" s="136"/>
      <c r="K358" s="136"/>
      <c r="L358" s="136">
        <f t="shared" si="59"/>
        <v>0</v>
      </c>
      <c r="M358" s="136" t="str">
        <f t="shared" si="52"/>
        <v>0h0</v>
      </c>
      <c r="N358" s="145" t="s">
        <v>88</v>
      </c>
      <c r="O358" s="136"/>
      <c r="P358" s="136"/>
      <c r="Q358" s="136">
        <f t="shared" si="60"/>
        <v>0</v>
      </c>
      <c r="R358" s="136" t="str">
        <f t="shared" si="53"/>
        <v>0h0</v>
      </c>
      <c r="S358" s="145">
        <f t="shared" si="56"/>
        <v>0</v>
      </c>
      <c r="T358" s="136" t="str">
        <f t="shared" si="54"/>
        <v>0h0</v>
      </c>
    </row>
    <row r="359" spans="2:20" x14ac:dyDescent="0.3">
      <c r="B359" s="135">
        <f t="shared" si="57"/>
        <v>46549</v>
      </c>
      <c r="C359" s="136" t="str">
        <f t="shared" si="51"/>
        <v>Friday</v>
      </c>
      <c r="D359" s="145" t="s">
        <v>88</v>
      </c>
      <c r="E359" s="136"/>
      <c r="F359" s="136"/>
      <c r="G359" s="136">
        <f t="shared" si="58"/>
        <v>0</v>
      </c>
      <c r="H359" s="136" t="str">
        <f t="shared" si="55"/>
        <v>0h0</v>
      </c>
      <c r="I359" s="145" t="s">
        <v>88</v>
      </c>
      <c r="J359" s="136"/>
      <c r="K359" s="136"/>
      <c r="L359" s="136">
        <f t="shared" si="59"/>
        <v>0</v>
      </c>
      <c r="M359" s="136" t="str">
        <f t="shared" si="52"/>
        <v>0h0</v>
      </c>
      <c r="N359" s="145" t="s">
        <v>88</v>
      </c>
      <c r="O359" s="136"/>
      <c r="P359" s="136"/>
      <c r="Q359" s="136">
        <f t="shared" si="60"/>
        <v>0</v>
      </c>
      <c r="R359" s="136" t="str">
        <f t="shared" si="53"/>
        <v>0h0</v>
      </c>
      <c r="S359" s="145">
        <f t="shared" si="56"/>
        <v>0</v>
      </c>
      <c r="T359" s="136" t="str">
        <f t="shared" si="54"/>
        <v>0h0</v>
      </c>
    </row>
    <row r="360" spans="2:20" x14ac:dyDescent="0.3">
      <c r="B360" s="135">
        <f t="shared" si="57"/>
        <v>46550</v>
      </c>
      <c r="C360" s="136" t="str">
        <f t="shared" si="51"/>
        <v>Saturday</v>
      </c>
      <c r="D360" s="145" t="s">
        <v>88</v>
      </c>
      <c r="E360" s="136"/>
      <c r="F360" s="136"/>
      <c r="G360" s="136">
        <f t="shared" si="58"/>
        <v>0</v>
      </c>
      <c r="H360" s="136" t="str">
        <f t="shared" si="55"/>
        <v>0h0</v>
      </c>
      <c r="I360" s="145" t="s">
        <v>88</v>
      </c>
      <c r="J360" s="136"/>
      <c r="K360" s="136"/>
      <c r="L360" s="136">
        <f t="shared" si="59"/>
        <v>0</v>
      </c>
      <c r="M360" s="136" t="str">
        <f t="shared" si="52"/>
        <v>0h0</v>
      </c>
      <c r="N360" s="145" t="s">
        <v>88</v>
      </c>
      <c r="O360" s="136"/>
      <c r="P360" s="136"/>
      <c r="Q360" s="136">
        <f t="shared" si="60"/>
        <v>0</v>
      </c>
      <c r="R360" s="136" t="str">
        <f t="shared" si="53"/>
        <v>0h0</v>
      </c>
      <c r="S360" s="145">
        <f t="shared" si="56"/>
        <v>0</v>
      </c>
      <c r="T360" s="136" t="str">
        <f t="shared" si="54"/>
        <v>0h0</v>
      </c>
    </row>
    <row r="361" spans="2:20" x14ac:dyDescent="0.3">
      <c r="B361" s="135">
        <f t="shared" si="57"/>
        <v>46551</v>
      </c>
      <c r="C361" s="136" t="str">
        <f t="shared" si="51"/>
        <v>Sunday</v>
      </c>
      <c r="D361" s="145" t="s">
        <v>88</v>
      </c>
      <c r="E361" s="136"/>
      <c r="F361" s="136"/>
      <c r="G361" s="136">
        <f t="shared" si="58"/>
        <v>0</v>
      </c>
      <c r="H361" s="136" t="str">
        <f t="shared" si="55"/>
        <v>0h0</v>
      </c>
      <c r="I361" s="145" t="s">
        <v>88</v>
      </c>
      <c r="J361" s="136"/>
      <c r="K361" s="136"/>
      <c r="L361" s="136">
        <f t="shared" si="59"/>
        <v>0</v>
      </c>
      <c r="M361" s="136" t="str">
        <f t="shared" si="52"/>
        <v>0h0</v>
      </c>
      <c r="N361" s="145" t="s">
        <v>88</v>
      </c>
      <c r="O361" s="136"/>
      <c r="P361" s="136"/>
      <c r="Q361" s="136">
        <f t="shared" si="60"/>
        <v>0</v>
      </c>
      <c r="R361" s="136" t="str">
        <f t="shared" si="53"/>
        <v>0h0</v>
      </c>
      <c r="S361" s="145">
        <f t="shared" si="56"/>
        <v>0</v>
      </c>
      <c r="T361" s="136" t="str">
        <f t="shared" si="54"/>
        <v>0h0</v>
      </c>
    </row>
    <row r="362" spans="2:20" x14ac:dyDescent="0.3">
      <c r="B362" s="135">
        <f t="shared" si="57"/>
        <v>46552</v>
      </c>
      <c r="C362" s="136" t="str">
        <f t="shared" si="51"/>
        <v>Monday</v>
      </c>
      <c r="D362" s="145" t="s">
        <v>88</v>
      </c>
      <c r="E362" s="136"/>
      <c r="F362" s="136"/>
      <c r="G362" s="136">
        <f t="shared" si="58"/>
        <v>0</v>
      </c>
      <c r="H362" s="136" t="str">
        <f t="shared" si="55"/>
        <v>0h0</v>
      </c>
      <c r="I362" s="145" t="s">
        <v>88</v>
      </c>
      <c r="J362" s="136"/>
      <c r="K362" s="136"/>
      <c r="L362" s="136">
        <f t="shared" si="59"/>
        <v>0</v>
      </c>
      <c r="M362" s="136" t="str">
        <f t="shared" si="52"/>
        <v>0h0</v>
      </c>
      <c r="N362" s="145" t="s">
        <v>88</v>
      </c>
      <c r="O362" s="136"/>
      <c r="P362" s="136"/>
      <c r="Q362" s="136">
        <f t="shared" si="60"/>
        <v>0</v>
      </c>
      <c r="R362" s="136" t="str">
        <f t="shared" si="53"/>
        <v>0h0</v>
      </c>
      <c r="S362" s="145">
        <f t="shared" si="56"/>
        <v>0</v>
      </c>
      <c r="T362" s="136" t="str">
        <f t="shared" si="54"/>
        <v>0h0</v>
      </c>
    </row>
    <row r="363" spans="2:20" x14ac:dyDescent="0.3">
      <c r="B363" s="135">
        <f t="shared" si="57"/>
        <v>46553</v>
      </c>
      <c r="C363" s="136" t="str">
        <f t="shared" si="51"/>
        <v>Tuesday</v>
      </c>
      <c r="D363" s="145" t="s">
        <v>88</v>
      </c>
      <c r="E363" s="136"/>
      <c r="F363" s="136"/>
      <c r="G363" s="136">
        <f t="shared" si="58"/>
        <v>0</v>
      </c>
      <c r="H363" s="136" t="str">
        <f t="shared" si="55"/>
        <v>0h0</v>
      </c>
      <c r="I363" s="145" t="s">
        <v>88</v>
      </c>
      <c r="J363" s="136"/>
      <c r="K363" s="136"/>
      <c r="L363" s="136">
        <f t="shared" si="59"/>
        <v>0</v>
      </c>
      <c r="M363" s="136" t="str">
        <f t="shared" si="52"/>
        <v>0h0</v>
      </c>
      <c r="N363" s="145" t="s">
        <v>88</v>
      </c>
      <c r="O363" s="136"/>
      <c r="P363" s="136"/>
      <c r="Q363" s="136">
        <f t="shared" si="60"/>
        <v>0</v>
      </c>
      <c r="R363" s="136" t="str">
        <f t="shared" si="53"/>
        <v>0h0</v>
      </c>
      <c r="S363" s="145">
        <f t="shared" si="56"/>
        <v>0</v>
      </c>
      <c r="T363" s="136" t="str">
        <f t="shared" si="54"/>
        <v>0h0</v>
      </c>
    </row>
    <row r="364" spans="2:20" x14ac:dyDescent="0.3">
      <c r="B364" s="135">
        <f t="shared" si="57"/>
        <v>46554</v>
      </c>
      <c r="C364" s="136" t="str">
        <f t="shared" si="51"/>
        <v>Wednesday</v>
      </c>
      <c r="D364" s="145" t="s">
        <v>88</v>
      </c>
      <c r="E364" s="136"/>
      <c r="F364" s="136"/>
      <c r="G364" s="136">
        <f t="shared" si="58"/>
        <v>0</v>
      </c>
      <c r="H364" s="136" t="str">
        <f t="shared" si="55"/>
        <v>0h0</v>
      </c>
      <c r="I364" s="145" t="s">
        <v>88</v>
      </c>
      <c r="J364" s="136"/>
      <c r="K364" s="136"/>
      <c r="L364" s="136">
        <f t="shared" si="59"/>
        <v>0</v>
      </c>
      <c r="M364" s="136" t="str">
        <f t="shared" si="52"/>
        <v>0h0</v>
      </c>
      <c r="N364" s="145" t="s">
        <v>88</v>
      </c>
      <c r="O364" s="136"/>
      <c r="P364" s="136"/>
      <c r="Q364" s="136">
        <f t="shared" si="60"/>
        <v>0</v>
      </c>
      <c r="R364" s="136" t="str">
        <f t="shared" si="53"/>
        <v>0h0</v>
      </c>
      <c r="S364" s="145">
        <f t="shared" si="56"/>
        <v>0</v>
      </c>
      <c r="T364" s="136" t="str">
        <f t="shared" si="54"/>
        <v>0h0</v>
      </c>
    </row>
    <row r="365" spans="2:20" x14ac:dyDescent="0.3">
      <c r="B365" s="135">
        <f t="shared" si="57"/>
        <v>46555</v>
      </c>
      <c r="C365" s="136" t="str">
        <f t="shared" si="51"/>
        <v>Thursday</v>
      </c>
      <c r="D365" s="145" t="s">
        <v>88</v>
      </c>
      <c r="E365" s="136"/>
      <c r="F365" s="136"/>
      <c r="G365" s="136">
        <f t="shared" si="58"/>
        <v>0</v>
      </c>
      <c r="H365" s="136" t="str">
        <f t="shared" si="55"/>
        <v>0h0</v>
      </c>
      <c r="I365" s="145" t="s">
        <v>88</v>
      </c>
      <c r="J365" s="136"/>
      <c r="K365" s="136"/>
      <c r="L365" s="136">
        <f t="shared" si="59"/>
        <v>0</v>
      </c>
      <c r="M365" s="136" t="str">
        <f t="shared" si="52"/>
        <v>0h0</v>
      </c>
      <c r="N365" s="145" t="s">
        <v>88</v>
      </c>
      <c r="O365" s="136"/>
      <c r="P365" s="136"/>
      <c r="Q365" s="136">
        <f t="shared" si="60"/>
        <v>0</v>
      </c>
      <c r="R365" s="136" t="str">
        <f t="shared" si="53"/>
        <v>0h0</v>
      </c>
      <c r="S365" s="145">
        <f t="shared" si="56"/>
        <v>0</v>
      </c>
      <c r="T365" s="136" t="str">
        <f t="shared" si="54"/>
        <v>0h0</v>
      </c>
    </row>
    <row r="366" spans="2:20" x14ac:dyDescent="0.3">
      <c r="B366" s="135">
        <f t="shared" si="57"/>
        <v>46556</v>
      </c>
      <c r="C366" s="136" t="str">
        <f t="shared" si="51"/>
        <v>Friday</v>
      </c>
      <c r="D366" s="145" t="s">
        <v>88</v>
      </c>
      <c r="E366" s="136"/>
      <c r="F366" s="136"/>
      <c r="G366" s="136">
        <f t="shared" si="58"/>
        <v>0</v>
      </c>
      <c r="H366" s="136" t="str">
        <f t="shared" si="55"/>
        <v>0h0</v>
      </c>
      <c r="I366" s="145" t="s">
        <v>88</v>
      </c>
      <c r="J366" s="136"/>
      <c r="K366" s="136"/>
      <c r="L366" s="136">
        <f t="shared" si="59"/>
        <v>0</v>
      </c>
      <c r="M366" s="136" t="str">
        <f t="shared" si="52"/>
        <v>0h0</v>
      </c>
      <c r="N366" s="145" t="s">
        <v>88</v>
      </c>
      <c r="O366" s="136"/>
      <c r="P366" s="136"/>
      <c r="Q366" s="136">
        <f t="shared" si="60"/>
        <v>0</v>
      </c>
      <c r="R366" s="136" t="str">
        <f t="shared" si="53"/>
        <v>0h0</v>
      </c>
      <c r="S366" s="145">
        <f t="shared" si="56"/>
        <v>0</v>
      </c>
      <c r="T366" s="136" t="str">
        <f t="shared" si="54"/>
        <v>0h0</v>
      </c>
    </row>
    <row r="367" spans="2:20" x14ac:dyDescent="0.3">
      <c r="B367" s="135">
        <f t="shared" si="57"/>
        <v>46557</v>
      </c>
      <c r="C367" s="136" t="str">
        <f t="shared" si="51"/>
        <v>Saturday</v>
      </c>
      <c r="D367" s="145" t="s">
        <v>88</v>
      </c>
      <c r="E367" s="136"/>
      <c r="F367" s="136"/>
      <c r="G367" s="136">
        <f t="shared" si="58"/>
        <v>0</v>
      </c>
      <c r="H367" s="136" t="str">
        <f t="shared" si="55"/>
        <v>0h0</v>
      </c>
      <c r="I367" s="145" t="s">
        <v>88</v>
      </c>
      <c r="J367" s="136"/>
      <c r="K367" s="136"/>
      <c r="L367" s="136">
        <f t="shared" si="59"/>
        <v>0</v>
      </c>
      <c r="M367" s="136" t="str">
        <f t="shared" si="52"/>
        <v>0h0</v>
      </c>
      <c r="N367" s="145" t="s">
        <v>88</v>
      </c>
      <c r="O367" s="136"/>
      <c r="P367" s="136"/>
      <c r="Q367" s="136">
        <f t="shared" si="60"/>
        <v>0</v>
      </c>
      <c r="R367" s="136" t="str">
        <f t="shared" si="53"/>
        <v>0h0</v>
      </c>
      <c r="S367" s="145">
        <f t="shared" si="56"/>
        <v>0</v>
      </c>
      <c r="T367" s="136" t="str">
        <f t="shared" si="54"/>
        <v>0h0</v>
      </c>
    </row>
    <row r="368" spans="2:20" x14ac:dyDescent="0.3">
      <c r="B368" s="135">
        <f t="shared" si="57"/>
        <v>46558</v>
      </c>
      <c r="C368" s="136" t="str">
        <f t="shared" si="51"/>
        <v>Sunday</v>
      </c>
      <c r="D368" s="145" t="s">
        <v>88</v>
      </c>
      <c r="E368" s="136"/>
      <c r="F368" s="136"/>
      <c r="G368" s="136">
        <f t="shared" si="58"/>
        <v>0</v>
      </c>
      <c r="H368" s="136" t="str">
        <f t="shared" si="55"/>
        <v>0h0</v>
      </c>
      <c r="I368" s="145" t="s">
        <v>88</v>
      </c>
      <c r="J368" s="136"/>
      <c r="K368" s="136"/>
      <c r="L368" s="136">
        <f t="shared" si="59"/>
        <v>0</v>
      </c>
      <c r="M368" s="136" t="str">
        <f t="shared" si="52"/>
        <v>0h0</v>
      </c>
      <c r="N368" s="145" t="s">
        <v>88</v>
      </c>
      <c r="O368" s="136"/>
      <c r="P368" s="136"/>
      <c r="Q368" s="136">
        <f t="shared" si="60"/>
        <v>0</v>
      </c>
      <c r="R368" s="136" t="str">
        <f t="shared" si="53"/>
        <v>0h0</v>
      </c>
      <c r="S368" s="145">
        <f t="shared" si="56"/>
        <v>0</v>
      </c>
      <c r="T368" s="136" t="str">
        <f t="shared" si="54"/>
        <v>0h0</v>
      </c>
    </row>
    <row r="369" spans="2:20" x14ac:dyDescent="0.3">
      <c r="B369" s="135">
        <f t="shared" si="57"/>
        <v>46559</v>
      </c>
      <c r="C369" s="136" t="str">
        <f t="shared" si="51"/>
        <v>Monday</v>
      </c>
      <c r="D369" s="145" t="s">
        <v>88</v>
      </c>
      <c r="E369" s="136"/>
      <c r="F369" s="136"/>
      <c r="G369" s="136">
        <f t="shared" si="58"/>
        <v>0</v>
      </c>
      <c r="H369" s="136" t="str">
        <f t="shared" si="55"/>
        <v>0h0</v>
      </c>
      <c r="I369" s="145" t="s">
        <v>88</v>
      </c>
      <c r="J369" s="136"/>
      <c r="K369" s="136"/>
      <c r="L369" s="136">
        <f t="shared" si="59"/>
        <v>0</v>
      </c>
      <c r="M369" s="136" t="str">
        <f t="shared" si="52"/>
        <v>0h0</v>
      </c>
      <c r="N369" s="145" t="s">
        <v>88</v>
      </c>
      <c r="O369" s="136"/>
      <c r="P369" s="136"/>
      <c r="Q369" s="136">
        <f t="shared" si="60"/>
        <v>0</v>
      </c>
      <c r="R369" s="136" t="str">
        <f t="shared" si="53"/>
        <v>0h0</v>
      </c>
      <c r="S369" s="145">
        <f t="shared" si="56"/>
        <v>0</v>
      </c>
      <c r="T369" s="136" t="str">
        <f t="shared" si="54"/>
        <v>0h0</v>
      </c>
    </row>
    <row r="370" spans="2:20" x14ac:dyDescent="0.3">
      <c r="B370" s="135">
        <f t="shared" si="57"/>
        <v>46560</v>
      </c>
      <c r="C370" s="136" t="str">
        <f t="shared" si="51"/>
        <v>Tuesday</v>
      </c>
      <c r="D370" s="145" t="s">
        <v>88</v>
      </c>
      <c r="E370" s="136"/>
      <c r="F370" s="136"/>
      <c r="G370" s="136">
        <f t="shared" si="58"/>
        <v>0</v>
      </c>
      <c r="H370" s="136" t="str">
        <f t="shared" si="55"/>
        <v>0h0</v>
      </c>
      <c r="I370" s="145" t="s">
        <v>88</v>
      </c>
      <c r="J370" s="136"/>
      <c r="K370" s="136"/>
      <c r="L370" s="136">
        <f t="shared" si="59"/>
        <v>0</v>
      </c>
      <c r="M370" s="136" t="str">
        <f t="shared" si="52"/>
        <v>0h0</v>
      </c>
      <c r="N370" s="145" t="s">
        <v>88</v>
      </c>
      <c r="O370" s="136"/>
      <c r="P370" s="136"/>
      <c r="Q370" s="136">
        <f t="shared" si="60"/>
        <v>0</v>
      </c>
      <c r="R370" s="136" t="str">
        <f t="shared" si="53"/>
        <v>0h0</v>
      </c>
      <c r="S370" s="145">
        <f t="shared" si="56"/>
        <v>0</v>
      </c>
      <c r="T370" s="136" t="str">
        <f t="shared" si="54"/>
        <v>0h0</v>
      </c>
    </row>
    <row r="371" spans="2:20" x14ac:dyDescent="0.3">
      <c r="B371" s="135">
        <f t="shared" si="57"/>
        <v>46561</v>
      </c>
      <c r="C371" s="136" t="str">
        <f t="shared" si="51"/>
        <v>Wednesday</v>
      </c>
      <c r="D371" s="145" t="s">
        <v>88</v>
      </c>
      <c r="E371" s="136"/>
      <c r="F371" s="136"/>
      <c r="G371" s="136">
        <f t="shared" si="58"/>
        <v>0</v>
      </c>
      <c r="H371" s="136" t="str">
        <f t="shared" si="55"/>
        <v>0h0</v>
      </c>
      <c r="I371" s="145" t="s">
        <v>88</v>
      </c>
      <c r="J371" s="136"/>
      <c r="K371" s="136"/>
      <c r="L371" s="136">
        <f t="shared" si="59"/>
        <v>0</v>
      </c>
      <c r="M371" s="136" t="str">
        <f t="shared" si="52"/>
        <v>0h0</v>
      </c>
      <c r="N371" s="145" t="s">
        <v>88</v>
      </c>
      <c r="O371" s="136"/>
      <c r="P371" s="136"/>
      <c r="Q371" s="136">
        <f t="shared" si="60"/>
        <v>0</v>
      </c>
      <c r="R371" s="136" t="str">
        <f t="shared" si="53"/>
        <v>0h0</v>
      </c>
      <c r="S371" s="145">
        <f t="shared" si="56"/>
        <v>0</v>
      </c>
      <c r="T371" s="136" t="str">
        <f t="shared" si="54"/>
        <v>0h0</v>
      </c>
    </row>
    <row r="372" spans="2:20" x14ac:dyDescent="0.3">
      <c r="B372" s="135">
        <f t="shared" si="57"/>
        <v>46562</v>
      </c>
      <c r="C372" s="137" t="str">
        <f t="shared" si="51"/>
        <v>Thursday</v>
      </c>
      <c r="D372" s="145" t="s">
        <v>88</v>
      </c>
      <c r="E372" s="136"/>
      <c r="F372" s="136"/>
      <c r="G372" s="136">
        <f t="shared" si="58"/>
        <v>0</v>
      </c>
      <c r="H372" s="136" t="str">
        <f t="shared" si="55"/>
        <v>0h0</v>
      </c>
      <c r="I372" s="145" t="s">
        <v>88</v>
      </c>
      <c r="J372" s="136"/>
      <c r="K372" s="136"/>
      <c r="L372" s="136">
        <f t="shared" si="59"/>
        <v>0</v>
      </c>
      <c r="M372" s="136" t="str">
        <f t="shared" si="52"/>
        <v>0h0</v>
      </c>
      <c r="N372" s="145" t="s">
        <v>88</v>
      </c>
      <c r="O372" s="136"/>
      <c r="P372" s="136"/>
      <c r="Q372" s="136">
        <f t="shared" si="60"/>
        <v>0</v>
      </c>
      <c r="R372" s="136" t="str">
        <f t="shared" si="53"/>
        <v>0h0</v>
      </c>
      <c r="S372" s="145">
        <f t="shared" si="56"/>
        <v>0</v>
      </c>
      <c r="T372" s="136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77734375" bestFit="1" customWidth="1"/>
  </cols>
  <sheetData>
    <row r="3" spans="3:7" x14ac:dyDescent="0.3">
      <c r="C3" s="187" t="s">
        <v>212</v>
      </c>
      <c r="D3" s="187"/>
      <c r="E3" s="187"/>
      <c r="F3" s="187"/>
      <c r="G3" s="187"/>
    </row>
    <row r="4" spans="3:7" x14ac:dyDescent="0.3">
      <c r="C4" s="138" t="s">
        <v>211</v>
      </c>
      <c r="D4" s="85" t="s">
        <v>210</v>
      </c>
      <c r="E4" s="85" t="s">
        <v>233</v>
      </c>
      <c r="F4" s="139" t="s">
        <v>234</v>
      </c>
      <c r="G4" s="85" t="s">
        <v>235</v>
      </c>
    </row>
    <row r="5" spans="3:7" x14ac:dyDescent="0.3">
      <c r="C5" s="140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63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63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41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41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40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63" t="str">
        <f t="shared" ca="1" si="0"/>
        <v>0h0</v>
      </c>
      <c r="E6" s="63" t="str">
        <f t="shared" ca="1" si="1"/>
        <v>0h0</v>
      </c>
      <c r="F6" s="141" t="str">
        <f t="shared" ca="1" si="2"/>
        <v>2h47</v>
      </c>
      <c r="G6" s="141" t="str">
        <f t="shared" ca="1" si="3"/>
        <v>0h0</v>
      </c>
    </row>
    <row r="7" spans="3:7" x14ac:dyDescent="0.3">
      <c r="C7" s="140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63" t="str">
        <f t="shared" ca="1" si="0"/>
        <v>0h0</v>
      </c>
      <c r="E7" s="63" t="str">
        <f t="shared" ca="1" si="1"/>
        <v>0h0</v>
      </c>
      <c r="F7" s="141" t="str">
        <f t="shared" ca="1" si="2"/>
        <v>0h0</v>
      </c>
      <c r="G7" s="141" t="str">
        <f t="shared" ca="1" si="3"/>
        <v>0h0</v>
      </c>
    </row>
    <row r="8" spans="3:7" x14ac:dyDescent="0.3">
      <c r="C8" s="140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63" t="str">
        <f t="shared" ca="1" si="0"/>
        <v>0h0</v>
      </c>
      <c r="E8" s="63" t="str">
        <f t="shared" ca="1" si="1"/>
        <v>0h0</v>
      </c>
      <c r="F8" s="141" t="str">
        <f t="shared" ca="1" si="2"/>
        <v>0h0</v>
      </c>
      <c r="G8" s="141" t="str">
        <f t="shared" ca="1" si="3"/>
        <v>0h0</v>
      </c>
    </row>
    <row r="9" spans="3:7" x14ac:dyDescent="0.3">
      <c r="C9" s="140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63" t="str">
        <f t="shared" ca="1" si="0"/>
        <v>0h0</v>
      </c>
      <c r="E9" s="63" t="str">
        <f t="shared" ca="1" si="1"/>
        <v>0h0</v>
      </c>
      <c r="F9" s="141" t="str">
        <f t="shared" ca="1" si="2"/>
        <v>0h0</v>
      </c>
      <c r="G9" s="141" t="str">
        <f t="shared" ca="1" si="3"/>
        <v>0h0</v>
      </c>
    </row>
    <row r="10" spans="3:7" x14ac:dyDescent="0.3">
      <c r="C10" s="140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63" t="str">
        <f t="shared" ca="1" si="0"/>
        <v>0h0</v>
      </c>
      <c r="E10" s="63" t="str">
        <f t="shared" ca="1" si="1"/>
        <v>0h0</v>
      </c>
      <c r="F10" s="141" t="str">
        <f t="shared" ca="1" si="2"/>
        <v>0h0</v>
      </c>
      <c r="G10" s="141" t="str">
        <f t="shared" ca="1" si="3"/>
        <v>0h0</v>
      </c>
    </row>
    <row r="11" spans="3:7" x14ac:dyDescent="0.3">
      <c r="C11" s="140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63" t="str">
        <f t="shared" ca="1" si="0"/>
        <v>0h0</v>
      </c>
      <c r="E11" s="63" t="str">
        <f t="shared" ca="1" si="1"/>
        <v>0h0</v>
      </c>
      <c r="F11" s="141" t="str">
        <f t="shared" ca="1" si="2"/>
        <v>0h0</v>
      </c>
      <c r="G11" s="141" t="str">
        <f t="shared" ca="1" si="3"/>
        <v>0h0</v>
      </c>
    </row>
    <row r="12" spans="3:7" x14ac:dyDescent="0.3">
      <c r="C12" s="140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63" t="str">
        <f t="shared" ca="1" si="0"/>
        <v>0h0</v>
      </c>
      <c r="E12" s="63" t="str">
        <f t="shared" ca="1" si="1"/>
        <v>0h0</v>
      </c>
      <c r="F12" s="141" t="str">
        <f t="shared" ca="1" si="2"/>
        <v>0h0</v>
      </c>
      <c r="G12" s="141" t="str">
        <f t="shared" ca="1" si="3"/>
        <v>0h0</v>
      </c>
    </row>
    <row r="13" spans="3:7" x14ac:dyDescent="0.3">
      <c r="C13" s="140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63" t="str">
        <f t="shared" ca="1" si="0"/>
        <v>0h0</v>
      </c>
      <c r="E13" s="63" t="str">
        <f t="shared" ca="1" si="1"/>
        <v>0h0</v>
      </c>
      <c r="F13" s="141" t="str">
        <f t="shared" ca="1" si="2"/>
        <v>0h0</v>
      </c>
      <c r="G13" s="141" t="str">
        <f t="shared" ca="1" si="3"/>
        <v>0h0</v>
      </c>
    </row>
    <row r="14" spans="3:7" x14ac:dyDescent="0.3">
      <c r="C14" s="140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63" t="str">
        <f t="shared" ca="1" si="0"/>
        <v>0h0</v>
      </c>
      <c r="E14" s="63" t="str">
        <f t="shared" ca="1" si="1"/>
        <v>0h0</v>
      </c>
      <c r="F14" s="141" t="str">
        <f t="shared" ca="1" si="2"/>
        <v>0h0</v>
      </c>
      <c r="G14" s="141" t="str">
        <f t="shared" ca="1" si="3"/>
        <v>0h0</v>
      </c>
    </row>
    <row r="15" spans="3:7" x14ac:dyDescent="0.3">
      <c r="C15" s="140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63" t="str">
        <f t="shared" ca="1" si="0"/>
        <v>0h0</v>
      </c>
      <c r="E15" s="63" t="str">
        <f t="shared" ca="1" si="1"/>
        <v>0h0</v>
      </c>
      <c r="F15" s="141" t="str">
        <f t="shared" ca="1" si="2"/>
        <v>0h0</v>
      </c>
      <c r="G15" s="141" t="str">
        <f t="shared" ca="1" si="3"/>
        <v>0h0</v>
      </c>
    </row>
    <row r="16" spans="3:7" x14ac:dyDescent="0.3">
      <c r="C16" s="140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63" t="str">
        <f t="shared" ca="1" si="0"/>
        <v>0h0</v>
      </c>
      <c r="E16" s="63" t="str">
        <f t="shared" ca="1" si="1"/>
        <v>0h0</v>
      </c>
      <c r="F16" s="141" t="str">
        <f t="shared" ca="1" si="2"/>
        <v>0h0</v>
      </c>
      <c r="G16" s="141" t="str">
        <f t="shared" ca="1" si="3"/>
        <v>0h0</v>
      </c>
    </row>
    <row r="17" spans="3:7" x14ac:dyDescent="0.3">
      <c r="C17" s="140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63" t="str">
        <f t="shared" ca="1" si="0"/>
        <v>0h0</v>
      </c>
      <c r="E17" s="63" t="str">
        <f t="shared" ca="1" si="1"/>
        <v>0h0</v>
      </c>
      <c r="F17" s="141" t="str">
        <f t="shared" ca="1" si="2"/>
        <v>0h0</v>
      </c>
      <c r="G17" s="141" t="str">
        <f t="shared" ca="1" si="3"/>
        <v>0h0</v>
      </c>
    </row>
    <row r="18" spans="3:7" x14ac:dyDescent="0.3">
      <c r="C18" s="140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63" t="str">
        <f t="shared" ca="1" si="0"/>
        <v>0h0</v>
      </c>
      <c r="E18" s="63" t="str">
        <f t="shared" ca="1" si="1"/>
        <v>0h0</v>
      </c>
      <c r="F18" s="141" t="str">
        <f t="shared" ca="1" si="2"/>
        <v>0h0</v>
      </c>
      <c r="G18" s="141" t="str">
        <f t="shared" ca="1" si="3"/>
        <v>0h0</v>
      </c>
    </row>
    <row r="19" spans="3:7" x14ac:dyDescent="0.3">
      <c r="C19" s="140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63" t="str">
        <f t="shared" ca="1" si="0"/>
        <v>0h0</v>
      </c>
      <c r="E19" s="63" t="str">
        <f t="shared" ca="1" si="1"/>
        <v>0h0</v>
      </c>
      <c r="F19" s="141" t="str">
        <f t="shared" ca="1" si="2"/>
        <v>0h0</v>
      </c>
      <c r="G19" s="141" t="str">
        <f t="shared" ca="1" si="3"/>
        <v>0h0</v>
      </c>
    </row>
    <row r="20" spans="3:7" x14ac:dyDescent="0.3">
      <c r="C20" s="140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63" t="str">
        <f t="shared" ca="1" si="0"/>
        <v>0h0</v>
      </c>
      <c r="E20" s="63" t="str">
        <f t="shared" ca="1" si="1"/>
        <v>0h0</v>
      </c>
      <c r="F20" s="141" t="str">
        <f t="shared" ca="1" si="2"/>
        <v>0h0</v>
      </c>
      <c r="G20" s="141" t="str">
        <f t="shared" ca="1" si="3"/>
        <v>0h0</v>
      </c>
    </row>
    <row r="21" spans="3:7" x14ac:dyDescent="0.3">
      <c r="C21" s="140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63" t="str">
        <f t="shared" ca="1" si="0"/>
        <v>0h0</v>
      </c>
      <c r="E21" s="63" t="str">
        <f t="shared" ca="1" si="1"/>
        <v>0h0</v>
      </c>
      <c r="F21" s="141" t="str">
        <f t="shared" ca="1" si="2"/>
        <v>0h0</v>
      </c>
      <c r="G21" s="141" t="str">
        <f t="shared" ca="1" si="3"/>
        <v>0h0</v>
      </c>
    </row>
    <row r="22" spans="3:7" x14ac:dyDescent="0.3">
      <c r="C22" s="140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63" t="str">
        <f t="shared" ca="1" si="0"/>
        <v>0h0</v>
      </c>
      <c r="E22" s="63" t="str">
        <f t="shared" ca="1" si="1"/>
        <v>0h0</v>
      </c>
      <c r="F22" s="141" t="str">
        <f t="shared" ca="1" si="2"/>
        <v>0h0</v>
      </c>
      <c r="G22" s="141" t="str">
        <f t="shared" ca="1" si="3"/>
        <v>0h0</v>
      </c>
    </row>
    <row r="23" spans="3:7" x14ac:dyDescent="0.3">
      <c r="C23" s="140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63" t="str">
        <f t="shared" ca="1" si="0"/>
        <v>0h0</v>
      </c>
      <c r="E23" s="63" t="str">
        <f t="shared" ca="1" si="1"/>
        <v>0h0</v>
      </c>
      <c r="F23" s="141" t="str">
        <f t="shared" ca="1" si="2"/>
        <v>0h0</v>
      </c>
      <c r="G23" s="141" t="str">
        <f t="shared" ca="1" si="3"/>
        <v>0h0</v>
      </c>
    </row>
    <row r="24" spans="3:7" x14ac:dyDescent="0.3">
      <c r="C24" s="140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63" t="str">
        <f t="shared" ca="1" si="0"/>
        <v>0h0</v>
      </c>
      <c r="E24" s="63" t="str">
        <f t="shared" ca="1" si="1"/>
        <v>0h0</v>
      </c>
      <c r="F24" s="141" t="str">
        <f t="shared" ca="1" si="2"/>
        <v>0h0</v>
      </c>
      <c r="G24" s="141" t="str">
        <f t="shared" ca="1" si="3"/>
        <v>0h0</v>
      </c>
    </row>
    <row r="25" spans="3:7" x14ac:dyDescent="0.3">
      <c r="C25" s="140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63" t="str">
        <f t="shared" ca="1" si="0"/>
        <v>0h0</v>
      </c>
      <c r="E25" s="63" t="str">
        <f t="shared" ca="1" si="1"/>
        <v>0h0</v>
      </c>
      <c r="F25" s="141" t="str">
        <f t="shared" ca="1" si="2"/>
        <v>0h0</v>
      </c>
      <c r="G25" s="141" t="str">
        <f t="shared" ca="1" si="3"/>
        <v>0h0</v>
      </c>
    </row>
    <row r="26" spans="3:7" x14ac:dyDescent="0.3">
      <c r="C26" s="140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63" t="str">
        <f t="shared" ca="1" si="0"/>
        <v>0h0</v>
      </c>
      <c r="E26" s="63" t="str">
        <f t="shared" ca="1" si="1"/>
        <v>0h0</v>
      </c>
      <c r="F26" s="141" t="str">
        <f t="shared" ca="1" si="2"/>
        <v>0h0</v>
      </c>
      <c r="G26" s="141" t="str">
        <f t="shared" ca="1" si="3"/>
        <v>0h0</v>
      </c>
    </row>
    <row r="27" spans="3:7" x14ac:dyDescent="0.3">
      <c r="C27" s="140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63" t="str">
        <f t="shared" ca="1" si="0"/>
        <v>0h0</v>
      </c>
      <c r="E27" s="63" t="str">
        <f t="shared" ca="1" si="1"/>
        <v>0h0</v>
      </c>
      <c r="F27" s="141" t="str">
        <f t="shared" ca="1" si="2"/>
        <v>0h0</v>
      </c>
      <c r="G27" s="141" t="str">
        <f t="shared" ca="1" si="3"/>
        <v>0h0</v>
      </c>
    </row>
    <row r="28" spans="3:7" x14ac:dyDescent="0.3">
      <c r="C28" s="140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63" t="str">
        <f t="shared" ca="1" si="0"/>
        <v>0h0</v>
      </c>
      <c r="E28" s="63" t="str">
        <f t="shared" ca="1" si="1"/>
        <v>0h0</v>
      </c>
      <c r="F28" s="141" t="str">
        <f t="shared" ca="1" si="2"/>
        <v>0h0</v>
      </c>
      <c r="G28" s="141" t="str">
        <f t="shared" ca="1" si="3"/>
        <v>0h0</v>
      </c>
    </row>
    <row r="29" spans="3:7" x14ac:dyDescent="0.3">
      <c r="C29" s="140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63" t="str">
        <f t="shared" ca="1" si="0"/>
        <v>0h0</v>
      </c>
      <c r="E29" s="63" t="str">
        <f t="shared" ca="1" si="1"/>
        <v>0h0</v>
      </c>
      <c r="F29" s="141" t="str">
        <f t="shared" ca="1" si="2"/>
        <v>0h0</v>
      </c>
      <c r="G29" s="141" t="str">
        <f t="shared" ca="1" si="3"/>
        <v>0h0</v>
      </c>
    </row>
    <row r="30" spans="3:7" x14ac:dyDescent="0.3">
      <c r="C30" s="140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63" t="str">
        <f t="shared" ca="1" si="0"/>
        <v>0h0</v>
      </c>
      <c r="E30" s="63" t="str">
        <f t="shared" ca="1" si="1"/>
        <v>0h0</v>
      </c>
      <c r="F30" s="141" t="str">
        <f t="shared" ca="1" si="2"/>
        <v>0h0</v>
      </c>
      <c r="G30" s="141" t="str">
        <f t="shared" ca="1" si="3"/>
        <v>0h0</v>
      </c>
    </row>
    <row r="31" spans="3:7" x14ac:dyDescent="0.3">
      <c r="C31" s="140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63" t="str">
        <f t="shared" ca="1" si="0"/>
        <v>0h0</v>
      </c>
      <c r="E31" s="63" t="str">
        <f t="shared" ca="1" si="1"/>
        <v>0h0</v>
      </c>
      <c r="F31" s="141" t="str">
        <f t="shared" ca="1" si="2"/>
        <v>0h0</v>
      </c>
      <c r="G31" s="141" t="str">
        <f t="shared" ca="1" si="3"/>
        <v>0h0</v>
      </c>
    </row>
    <row r="32" spans="3:7" x14ac:dyDescent="0.3">
      <c r="C32" s="140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63" t="str">
        <f t="shared" ca="1" si="0"/>
        <v>0h0</v>
      </c>
      <c r="E32" s="63" t="str">
        <f t="shared" ca="1" si="1"/>
        <v>0h0</v>
      </c>
      <c r="F32" s="141" t="str">
        <f t="shared" ca="1" si="2"/>
        <v>0h0</v>
      </c>
      <c r="G32" s="141" t="str">
        <f t="shared" ca="1" si="3"/>
        <v>0h0</v>
      </c>
    </row>
    <row r="33" spans="3:7" x14ac:dyDescent="0.3">
      <c r="C33" s="140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63" t="str">
        <f t="shared" ca="1" si="0"/>
        <v>0h0</v>
      </c>
      <c r="E33" s="63" t="str">
        <f t="shared" ca="1" si="1"/>
        <v>0h0</v>
      </c>
      <c r="F33" s="141" t="str">
        <f t="shared" ca="1" si="2"/>
        <v>0h0</v>
      </c>
      <c r="G33" s="141" t="str">
        <f t="shared" ca="1" si="3"/>
        <v>0h0</v>
      </c>
    </row>
    <row r="34" spans="3:7" x14ac:dyDescent="0.3">
      <c r="C34" s="140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63" t="str">
        <f t="shared" ca="1" si="0"/>
        <v>0h0</v>
      </c>
      <c r="E34" s="63" t="str">
        <f t="shared" ca="1" si="1"/>
        <v>0h0</v>
      </c>
      <c r="F34" s="141" t="str">
        <f t="shared" ca="1" si="2"/>
        <v>0h0</v>
      </c>
      <c r="G34" s="141" t="str">
        <f t="shared" ca="1" si="3"/>
        <v>0h0</v>
      </c>
    </row>
    <row r="35" spans="3:7" x14ac:dyDescent="0.3">
      <c r="C35" s="140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63" t="str">
        <f t="shared" ca="1" si="0"/>
        <v>0h0</v>
      </c>
      <c r="E35" s="63" t="str">
        <f t="shared" ca="1" si="1"/>
        <v>0h0</v>
      </c>
      <c r="F35" s="141" t="str">
        <f t="shared" ca="1" si="2"/>
        <v>0h0</v>
      </c>
      <c r="G35" s="141" t="str">
        <f t="shared" ca="1" si="3"/>
        <v>0h0</v>
      </c>
    </row>
    <row r="36" spans="3:7" x14ac:dyDescent="0.3">
      <c r="C36" s="140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63" t="str">
        <f t="shared" ca="1" si="0"/>
        <v>0h0</v>
      </c>
      <c r="E36" s="63" t="str">
        <f t="shared" ca="1" si="1"/>
        <v>0h0</v>
      </c>
      <c r="F36" s="141" t="str">
        <f t="shared" ca="1" si="2"/>
        <v>0h0</v>
      </c>
      <c r="G36" s="141" t="str">
        <f t="shared" ca="1" si="3"/>
        <v>0h0</v>
      </c>
    </row>
    <row r="37" spans="3:7" x14ac:dyDescent="0.3">
      <c r="C37" s="140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63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63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41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41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40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63" t="str">
        <f t="shared" ca="1" si="4"/>
        <v>0h0</v>
      </c>
      <c r="E38" s="63" t="str">
        <f t="shared" ca="1" si="5"/>
        <v>0h0</v>
      </c>
      <c r="F38" s="141" t="str">
        <f t="shared" ca="1" si="6"/>
        <v>0h0</v>
      </c>
      <c r="G38" s="141" t="str">
        <f t="shared" ca="1" si="7"/>
        <v>0h0</v>
      </c>
    </row>
    <row r="39" spans="3:7" x14ac:dyDescent="0.3">
      <c r="C39" s="140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63" t="str">
        <f t="shared" ca="1" si="4"/>
        <v>0h0</v>
      </c>
      <c r="E39" s="63" t="str">
        <f t="shared" ca="1" si="5"/>
        <v>0h0</v>
      </c>
      <c r="F39" s="141" t="str">
        <f t="shared" ca="1" si="6"/>
        <v>0h0</v>
      </c>
      <c r="G39" s="141" t="str">
        <f t="shared" ca="1" si="7"/>
        <v>0h0</v>
      </c>
    </row>
    <row r="40" spans="3:7" x14ac:dyDescent="0.3">
      <c r="C40" s="140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63" t="str">
        <f t="shared" ca="1" si="4"/>
        <v>0h0</v>
      </c>
      <c r="E40" s="63" t="str">
        <f t="shared" ca="1" si="5"/>
        <v>0h0</v>
      </c>
      <c r="F40" s="141" t="str">
        <f t="shared" ca="1" si="6"/>
        <v>0h0</v>
      </c>
      <c r="G40" s="141" t="str">
        <f t="shared" ca="1" si="7"/>
        <v>0h0</v>
      </c>
    </row>
    <row r="41" spans="3:7" x14ac:dyDescent="0.3">
      <c r="C41" s="140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63" t="str">
        <f t="shared" ca="1" si="4"/>
        <v>0h0</v>
      </c>
      <c r="E41" s="63" t="str">
        <f t="shared" ca="1" si="5"/>
        <v>0h0</v>
      </c>
      <c r="F41" s="141" t="str">
        <f t="shared" ca="1" si="6"/>
        <v>0h0</v>
      </c>
      <c r="G41" s="141" t="str">
        <f t="shared" ca="1" si="7"/>
        <v>0h0</v>
      </c>
    </row>
    <row r="42" spans="3:7" x14ac:dyDescent="0.3">
      <c r="C42" s="140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63" t="str">
        <f t="shared" ca="1" si="4"/>
        <v>0h0</v>
      </c>
      <c r="E42" s="63" t="str">
        <f t="shared" ca="1" si="5"/>
        <v>0h0</v>
      </c>
      <c r="F42" s="141" t="str">
        <f t="shared" ca="1" si="6"/>
        <v>0h0</v>
      </c>
      <c r="G42" s="141" t="str">
        <f t="shared" ca="1" si="7"/>
        <v>0h0</v>
      </c>
    </row>
    <row r="43" spans="3:7" x14ac:dyDescent="0.3">
      <c r="C43" s="140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63" t="str">
        <f t="shared" ca="1" si="4"/>
        <v>0h0</v>
      </c>
      <c r="E43" s="63" t="str">
        <f t="shared" ca="1" si="5"/>
        <v>0h0</v>
      </c>
      <c r="F43" s="141" t="str">
        <f t="shared" ca="1" si="6"/>
        <v>0h0</v>
      </c>
      <c r="G43" s="141" t="str">
        <f t="shared" ca="1" si="7"/>
        <v>0h0</v>
      </c>
    </row>
    <row r="44" spans="3:7" x14ac:dyDescent="0.3">
      <c r="C44" s="140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63" t="str">
        <f t="shared" ca="1" si="4"/>
        <v>0h0</v>
      </c>
      <c r="E44" s="63" t="str">
        <f t="shared" ca="1" si="5"/>
        <v>0h0</v>
      </c>
      <c r="F44" s="141" t="str">
        <f t="shared" ca="1" si="6"/>
        <v>0h0</v>
      </c>
      <c r="G44" s="141" t="str">
        <f t="shared" ca="1" si="7"/>
        <v>0h0</v>
      </c>
    </row>
    <row r="45" spans="3:7" x14ac:dyDescent="0.3">
      <c r="C45" s="140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63" t="str">
        <f t="shared" ca="1" si="4"/>
        <v>0h0</v>
      </c>
      <c r="E45" s="63" t="str">
        <f t="shared" ca="1" si="5"/>
        <v>0h0</v>
      </c>
      <c r="F45" s="141" t="str">
        <f t="shared" ca="1" si="6"/>
        <v>0h0</v>
      </c>
      <c r="G45" s="141" t="str">
        <f t="shared" ca="1" si="7"/>
        <v>0h0</v>
      </c>
    </row>
    <row r="46" spans="3:7" x14ac:dyDescent="0.3">
      <c r="C46" s="140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63" t="str">
        <f t="shared" ca="1" si="4"/>
        <v>0h0</v>
      </c>
      <c r="E46" s="63" t="str">
        <f t="shared" ca="1" si="5"/>
        <v>0h0</v>
      </c>
      <c r="F46" s="141" t="str">
        <f t="shared" ca="1" si="6"/>
        <v>0h0</v>
      </c>
      <c r="G46" s="141" t="str">
        <f t="shared" ca="1" si="7"/>
        <v>0h0</v>
      </c>
    </row>
    <row r="47" spans="3:7" x14ac:dyDescent="0.3">
      <c r="C47" s="140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63" t="str">
        <f t="shared" ca="1" si="4"/>
        <v>0h0</v>
      </c>
      <c r="E47" s="63" t="str">
        <f t="shared" ca="1" si="5"/>
        <v>0h0</v>
      </c>
      <c r="F47" s="141" t="str">
        <f t="shared" ca="1" si="6"/>
        <v>0h0</v>
      </c>
      <c r="G47" s="141" t="str">
        <f t="shared" ca="1" si="7"/>
        <v>0h0</v>
      </c>
    </row>
    <row r="48" spans="3:7" x14ac:dyDescent="0.3">
      <c r="C48" s="140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63" t="str">
        <f t="shared" ca="1" si="4"/>
        <v>0h0</v>
      </c>
      <c r="E48" s="63" t="str">
        <f t="shared" ca="1" si="5"/>
        <v>0h0</v>
      </c>
      <c r="F48" s="141" t="str">
        <f t="shared" ca="1" si="6"/>
        <v>0h0</v>
      </c>
      <c r="G48" s="141" t="str">
        <f t="shared" ca="1" si="7"/>
        <v>0h0</v>
      </c>
    </row>
    <row r="49" spans="3:7" x14ac:dyDescent="0.3">
      <c r="C49" s="140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63" t="str">
        <f t="shared" ca="1" si="4"/>
        <v>0h0</v>
      </c>
      <c r="E49" s="63" t="str">
        <f t="shared" ca="1" si="5"/>
        <v>0h0</v>
      </c>
      <c r="F49" s="141" t="str">
        <f t="shared" ca="1" si="6"/>
        <v>0h0</v>
      </c>
      <c r="G49" s="141" t="str">
        <f t="shared" ca="1" si="7"/>
        <v>0h0</v>
      </c>
    </row>
    <row r="50" spans="3:7" x14ac:dyDescent="0.3">
      <c r="C50" s="140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63" t="str">
        <f t="shared" ca="1" si="4"/>
        <v>0h0</v>
      </c>
      <c r="E50" s="63" t="str">
        <f t="shared" ca="1" si="5"/>
        <v>0h0</v>
      </c>
      <c r="F50" s="141" t="str">
        <f t="shared" ca="1" si="6"/>
        <v>0h0</v>
      </c>
      <c r="G50" s="141" t="str">
        <f t="shared" ca="1" si="7"/>
        <v>0h0</v>
      </c>
    </row>
    <row r="51" spans="3:7" x14ac:dyDescent="0.3">
      <c r="C51" s="140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63" t="str">
        <f t="shared" ca="1" si="4"/>
        <v>0h0</v>
      </c>
      <c r="E51" s="63" t="str">
        <f t="shared" ca="1" si="5"/>
        <v>0h0</v>
      </c>
      <c r="F51" s="141" t="str">
        <f t="shared" ca="1" si="6"/>
        <v>0h0</v>
      </c>
      <c r="G51" s="141" t="str">
        <f t="shared" ca="1" si="7"/>
        <v>0h0</v>
      </c>
    </row>
    <row r="52" spans="3:7" x14ac:dyDescent="0.3">
      <c r="C52" s="140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63" t="str">
        <f t="shared" ca="1" si="4"/>
        <v>0h0</v>
      </c>
      <c r="E52" s="63" t="str">
        <f t="shared" ca="1" si="5"/>
        <v>0h0</v>
      </c>
      <c r="F52" s="141" t="str">
        <f t="shared" ca="1" si="6"/>
        <v>0h0</v>
      </c>
      <c r="G52" s="141" t="str">
        <f t="shared" ca="1" si="7"/>
        <v>0h0</v>
      </c>
    </row>
    <row r="53" spans="3:7" x14ac:dyDescent="0.3">
      <c r="C53" s="140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63" t="str">
        <f t="shared" ca="1" si="4"/>
        <v>0h0</v>
      </c>
      <c r="E53" s="63" t="str">
        <f t="shared" ca="1" si="5"/>
        <v>0h0</v>
      </c>
      <c r="F53" s="141" t="str">
        <f t="shared" ca="1" si="6"/>
        <v>0h0</v>
      </c>
      <c r="G53" s="141" t="str">
        <f t="shared" ca="1" si="7"/>
        <v>0h0</v>
      </c>
    </row>
    <row r="54" spans="3:7" x14ac:dyDescent="0.3">
      <c r="C54" s="140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63" t="str">
        <f t="shared" ca="1" si="4"/>
        <v>0h0</v>
      </c>
      <c r="E54" s="63" t="str">
        <f t="shared" ca="1" si="5"/>
        <v>0h0</v>
      </c>
      <c r="F54" s="141" t="str">
        <f t="shared" ca="1" si="6"/>
        <v>0h0</v>
      </c>
      <c r="G54" s="141" t="str">
        <f t="shared" ca="1" si="7"/>
        <v>0h0</v>
      </c>
    </row>
    <row r="55" spans="3:7" x14ac:dyDescent="0.3">
      <c r="C55" s="140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63" t="str">
        <f t="shared" ca="1" si="4"/>
        <v>0h0</v>
      </c>
      <c r="E55" s="63" t="str">
        <f t="shared" ca="1" si="5"/>
        <v>0h0</v>
      </c>
      <c r="F55" s="141" t="str">
        <f t="shared" ca="1" si="6"/>
        <v>0h0</v>
      </c>
      <c r="G55" s="141" t="str">
        <f t="shared" ca="1" si="7"/>
        <v>0h0</v>
      </c>
    </row>
    <row r="56" spans="3:7" x14ac:dyDescent="0.3">
      <c r="C56" s="140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63" t="str">
        <f t="shared" ca="1" si="4"/>
        <v>0h0</v>
      </c>
      <c r="E56" s="63" t="str">
        <f t="shared" ca="1" si="5"/>
        <v>0h0</v>
      </c>
      <c r="F56" s="141" t="str">
        <f t="shared" ca="1" si="6"/>
        <v>0h0</v>
      </c>
      <c r="G56" s="141" t="str">
        <f t="shared" ca="1" si="7"/>
        <v>0h0</v>
      </c>
    </row>
    <row r="57" spans="3:7" x14ac:dyDescent="0.3">
      <c r="C57" s="142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63" t="str">
        <f t="shared" ca="1" si="4"/>
        <v>0h0</v>
      </c>
      <c r="E57" s="63" t="str">
        <f t="shared" ca="1" si="5"/>
        <v>0h0</v>
      </c>
      <c r="F57" s="143" t="str">
        <f t="shared" ca="1" si="6"/>
        <v>0h0</v>
      </c>
      <c r="G57" s="143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88" t="s">
        <v>13</v>
      </c>
      <c r="C2" s="188"/>
      <c r="D2" s="188"/>
      <c r="F2" s="188" t="s">
        <v>14</v>
      </c>
      <c r="G2" s="188"/>
      <c r="H2" s="188"/>
    </row>
    <row r="3" spans="2:8" x14ac:dyDescent="0.3">
      <c r="B3" s="63" t="s">
        <v>114</v>
      </c>
      <c r="C3" s="63" t="s">
        <v>115</v>
      </c>
      <c r="D3" s="65" t="s">
        <v>116</v>
      </c>
      <c r="F3" s="63" t="s">
        <v>114</v>
      </c>
      <c r="G3" s="63" t="s">
        <v>115</v>
      </c>
      <c r="H3" s="64" t="s">
        <v>116</v>
      </c>
    </row>
    <row r="4" spans="2:8" ht="57.6" x14ac:dyDescent="0.3">
      <c r="B4" s="3">
        <v>15</v>
      </c>
      <c r="C4" s="3" t="s">
        <v>112</v>
      </c>
      <c r="D4" s="66" t="s">
        <v>120</v>
      </c>
      <c r="F4" s="3">
        <v>15</v>
      </c>
      <c r="G4" s="3" t="s">
        <v>123</v>
      </c>
      <c r="H4" s="69" t="s">
        <v>125</v>
      </c>
    </row>
    <row r="5" spans="2:8" ht="158.4" x14ac:dyDescent="0.3">
      <c r="B5" s="3">
        <v>60</v>
      </c>
      <c r="C5" s="3" t="s">
        <v>113</v>
      </c>
      <c r="D5" s="66" t="s">
        <v>119</v>
      </c>
      <c r="F5" s="3">
        <v>15</v>
      </c>
      <c r="G5" s="3" t="s">
        <v>124</v>
      </c>
      <c r="H5" s="69" t="s">
        <v>126</v>
      </c>
    </row>
    <row r="6" spans="2:8" ht="69" customHeight="1" x14ac:dyDescent="0.3">
      <c r="B6" s="3">
        <v>45</v>
      </c>
      <c r="C6" s="3" t="s">
        <v>121</v>
      </c>
      <c r="D6" s="66" t="s">
        <v>118</v>
      </c>
    </row>
    <row r="7" spans="2:8" ht="29.4" thickBot="1" x14ac:dyDescent="0.35">
      <c r="B7" s="67">
        <v>15</v>
      </c>
      <c r="C7" s="67" t="s">
        <v>122</v>
      </c>
      <c r="D7" s="68" t="s">
        <v>117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2026-09-03T01:34:13Z</dcterms:modified>
</cp:coreProperties>
</file>