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36" documentId="13_ncr:1_{31399611-A72B-479F-B6BD-BAF938C2611F}" xr6:coauthVersionLast="47" xr6:coauthVersionMax="47" xr10:uidLastSave="{4275EAE5-F3D7-415E-81D6-D0352879E86D}"/>
  <bookViews>
    <workbookView xWindow="28680" yWindow="-120" windowWidth="29040" windowHeight="15720" firstSheet="1" activeTab="4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0" l="1"/>
  <c r="F26" i="5" l="1"/>
  <c r="F23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5" i="5"/>
  <c r="E10" i="10"/>
  <c r="F10" i="10"/>
  <c r="G10" i="10"/>
  <c r="H10" i="10"/>
  <c r="I10" i="10"/>
  <c r="J10" i="10"/>
  <c r="K10" i="10"/>
  <c r="M10" i="10"/>
  <c r="L10" i="10" s="1" a="1"/>
  <c r="L10" i="10" s="1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L8" i="10" s="1" a="1"/>
  <c r="L8" i="10" s="1"/>
  <c r="M9" i="10"/>
  <c r="L9" i="10" s="1" a="1"/>
  <c r="L9" i="10" s="1"/>
  <c r="E26" i="2"/>
  <c r="G3" i="10" s="1"/>
  <c r="M3" i="10"/>
  <c r="N3" i="10"/>
  <c r="E5" i="10"/>
  <c r="F5" i="10"/>
  <c r="G5" i="10"/>
  <c r="H5" i="10"/>
  <c r="I5" i="10"/>
  <c r="J5" i="10"/>
  <c r="K5" i="10"/>
  <c r="D49" i="11"/>
  <c r="C51" i="11" a="1"/>
  <c r="F16" i="11"/>
  <c r="C24" i="11" a="1"/>
  <c r="F31" i="11"/>
  <c r="D25" i="11"/>
  <c r="E30" i="11"/>
  <c r="C54" i="11" a="1"/>
  <c r="C26" i="11" a="1"/>
  <c r="C48" i="11" a="1"/>
  <c r="E52" i="11"/>
  <c r="G22" i="11"/>
  <c r="C47" i="11" a="1"/>
  <c r="E53" i="11"/>
  <c r="D24" i="11"/>
  <c r="C6" i="11" a="1"/>
  <c r="F39" i="11"/>
  <c r="E51" i="11"/>
  <c r="F28" i="11"/>
  <c r="F20" i="11"/>
  <c r="F5" i="11"/>
  <c r="C29" i="11" a="1"/>
  <c r="E56" i="11"/>
  <c r="F35" i="11"/>
  <c r="G23" i="11"/>
  <c r="D35" i="11"/>
  <c r="E46" i="11"/>
  <c r="F42" i="11"/>
  <c r="C30" i="11" a="1"/>
  <c r="G32" i="11"/>
  <c r="G33" i="11"/>
  <c r="E35" i="11"/>
  <c r="D51" i="11"/>
  <c r="D41" i="11"/>
  <c r="E24" i="11"/>
  <c r="C25" i="11" a="1"/>
  <c r="C12" i="11" a="1"/>
  <c r="E54" i="11"/>
  <c r="G30" i="11"/>
  <c r="C14" i="11" a="1"/>
  <c r="F33" i="11"/>
  <c r="E19" i="11"/>
  <c r="F23" i="11"/>
  <c r="G38" i="11"/>
  <c r="D56" i="11"/>
  <c r="C53" i="11" a="1"/>
  <c r="C28" i="11" a="1"/>
  <c r="D55" i="11"/>
  <c r="C52" i="11" a="1"/>
  <c r="D37" i="11"/>
  <c r="G55" i="11"/>
  <c r="E14" i="11"/>
  <c r="E20" i="11"/>
  <c r="C37" i="11" a="1"/>
  <c r="G25" i="11"/>
  <c r="E55" i="11"/>
  <c r="F51" i="11"/>
  <c r="G28" i="11"/>
  <c r="G41" i="11"/>
  <c r="F56" i="11"/>
  <c r="F26" i="11"/>
  <c r="G34" i="11"/>
  <c r="F46" i="11"/>
  <c r="E31" i="11"/>
  <c r="F57" i="11"/>
  <c r="C15" i="11" a="1"/>
  <c r="C41" i="11" a="1"/>
  <c r="G46" i="11"/>
  <c r="G51" i="11"/>
  <c r="E42" i="11"/>
  <c r="E50" i="11"/>
  <c r="D21" i="11"/>
  <c r="E34" i="11"/>
  <c r="C55" i="11" a="1"/>
  <c r="C13" i="11" a="1"/>
  <c r="G36" i="11"/>
  <c r="C42" i="11" a="1"/>
  <c r="C21" i="11" a="1"/>
  <c r="C45" i="11" a="1"/>
  <c r="G29" i="11"/>
  <c r="C10" i="11" a="1"/>
  <c r="D16" i="11"/>
  <c r="D15" i="11"/>
  <c r="E15" i="11"/>
  <c r="G54" i="11"/>
  <c r="F29" i="11"/>
  <c r="F38" i="11"/>
  <c r="C40" i="11" a="1"/>
  <c r="G5" i="11"/>
  <c r="E41" i="11"/>
  <c r="D17" i="11"/>
  <c r="G39" i="11"/>
  <c r="D28" i="11"/>
  <c r="E21" i="11"/>
  <c r="C19" i="11" a="1"/>
  <c r="F44" i="11"/>
  <c r="G45" i="11"/>
  <c r="G16" i="11"/>
  <c r="G15" i="11"/>
  <c r="D53" i="11"/>
  <c r="E25" i="11"/>
  <c r="F54" i="11"/>
  <c r="D54" i="11"/>
  <c r="G57" i="11"/>
  <c r="C22" i="11" a="1"/>
  <c r="F24" i="11"/>
  <c r="F30" i="11"/>
  <c r="G49" i="11"/>
  <c r="C20" i="11" a="1"/>
  <c r="C32" i="11" a="1"/>
  <c r="D34" i="11"/>
  <c r="D39" i="11"/>
  <c r="D43" i="11"/>
  <c r="G14" i="11"/>
  <c r="C38" i="11" a="1"/>
  <c r="G19" i="11"/>
  <c r="F34" i="11"/>
  <c r="C33" i="11" a="1"/>
  <c r="C8" i="11" a="1"/>
  <c r="E43" i="11"/>
  <c r="G48" i="11"/>
  <c r="E18" i="11"/>
  <c r="C7" i="11" a="1"/>
  <c r="F22" i="11"/>
  <c r="G42" i="11"/>
  <c r="F48" i="11"/>
  <c r="F41" i="11"/>
  <c r="D14" i="11"/>
  <c r="F36" i="11"/>
  <c r="E40" i="11"/>
  <c r="D40" i="11"/>
  <c r="F27" i="11"/>
  <c r="F18" i="11"/>
  <c r="D18" i="11"/>
  <c r="E27" i="11"/>
  <c r="F45" i="11"/>
  <c r="G21" i="11"/>
  <c r="D44" i="11"/>
  <c r="D19" i="11"/>
  <c r="F50" i="11"/>
  <c r="C50" i="11" a="1"/>
  <c r="F55" i="11"/>
  <c r="D42" i="11"/>
  <c r="E36" i="11"/>
  <c r="C43" i="11" a="1"/>
  <c r="F19" i="11"/>
  <c r="G20" i="11"/>
  <c r="G27" i="11"/>
  <c r="F17" i="11"/>
  <c r="C34" i="11" a="1"/>
  <c r="D47" i="11"/>
  <c r="G24" i="11"/>
  <c r="F47" i="11"/>
  <c r="C16" i="11" a="1"/>
  <c r="C35" i="11" a="1"/>
  <c r="D46" i="11"/>
  <c r="C56" i="11" a="1"/>
  <c r="E5" i="11"/>
  <c r="F43" i="11"/>
  <c r="D26" i="11"/>
  <c r="E49" i="11"/>
  <c r="C11" i="11" a="1"/>
  <c r="E57" i="11"/>
  <c r="C44" i="11" a="1"/>
  <c r="E38" i="11"/>
  <c r="C5" i="11" a="1"/>
  <c r="D45" i="11"/>
  <c r="F14" i="11"/>
  <c r="C18" i="11" a="1"/>
  <c r="E26" i="11"/>
  <c r="E48" i="11"/>
  <c r="C46" i="11" a="1"/>
  <c r="G53" i="11"/>
  <c r="G40" i="11"/>
  <c r="D30" i="11"/>
  <c r="C27" i="11" a="1"/>
  <c r="C9" i="11" a="1"/>
  <c r="D52" i="11"/>
  <c r="E23" i="11"/>
  <c r="C57" i="11" a="1"/>
  <c r="F21" i="11"/>
  <c r="C39" i="11" a="1"/>
  <c r="F40" i="11"/>
  <c r="D32" i="11"/>
  <c r="E33" i="11"/>
  <c r="D50" i="11"/>
  <c r="F32" i="11"/>
  <c r="G47" i="11"/>
  <c r="C36" i="11" a="1"/>
  <c r="D29" i="11"/>
  <c r="E44" i="11"/>
  <c r="D23" i="11"/>
  <c r="D5" i="11"/>
  <c r="D38" i="11"/>
  <c r="G35" i="11"/>
  <c r="G52" i="11"/>
  <c r="D31" i="11"/>
  <c r="D33" i="11"/>
  <c r="F25" i="11"/>
  <c r="E39" i="11"/>
  <c r="G31" i="11"/>
  <c r="G44" i="11"/>
  <c r="E28" i="11"/>
  <c r="E47" i="11"/>
  <c r="D48" i="11"/>
  <c r="E32" i="11"/>
  <c r="C49" i="11" a="1"/>
  <c r="G18" i="11"/>
  <c r="G37" i="11"/>
  <c r="E22" i="11"/>
  <c r="D20" i="11"/>
  <c r="F15" i="11"/>
  <c r="G43" i="11"/>
  <c r="G50" i="11"/>
  <c r="E45" i="11"/>
  <c r="F37" i="11"/>
  <c r="G26" i="11"/>
  <c r="C31" i="11" a="1"/>
  <c r="G17" i="11"/>
  <c r="D36" i="11"/>
  <c r="C17" i="11" a="1"/>
  <c r="E16" i="11"/>
  <c r="F53" i="11"/>
  <c r="E37" i="11"/>
  <c r="C23" i="11" a="1"/>
  <c r="F49" i="11"/>
  <c r="F52" i="11"/>
  <c r="G56" i="11"/>
  <c r="E17" i="11"/>
  <c r="D27" i="11"/>
  <c r="E29" i="11"/>
  <c r="D22" i="11"/>
  <c r="D57" i="11"/>
  <c r="L3" i="10" l="1" a="1"/>
  <c r="L3" i="10" s="1"/>
  <c r="L6" i="10" a="1"/>
  <c r="L6" i="10" s="1"/>
  <c r="L7" i="10" a="1"/>
  <c r="L7" i="10" s="1"/>
  <c r="L5" i="10" a="1"/>
  <c r="L5" i="10" s="1"/>
  <c r="L4" i="10" a="1"/>
  <c r="L4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9" i="11"/>
  <c r="D8" i="11"/>
  <c r="G10" i="11"/>
  <c r="F8" i="11"/>
  <c r="D9" i="11"/>
  <c r="D10" i="11"/>
  <c r="F13" i="11"/>
  <c r="D12" i="11"/>
  <c r="D11" i="11"/>
  <c r="G13" i="11"/>
  <c r="G12" i="11"/>
  <c r="E12" i="11"/>
  <c r="F10" i="11"/>
  <c r="E8" i="11"/>
  <c r="E11" i="11"/>
  <c r="F12" i="11"/>
  <c r="E13" i="11"/>
  <c r="F11" i="11"/>
  <c r="D13" i="11"/>
  <c r="G9" i="11"/>
  <c r="E9" i="11"/>
  <c r="G11" i="11"/>
  <c r="G8" i="11"/>
  <c r="E10" i="11"/>
  <c r="E10" i="7" l="1"/>
  <c r="E18" i="7"/>
  <c r="E14" i="7"/>
  <c r="E17" i="7"/>
  <c r="D17" i="7"/>
  <c r="F7" i="11"/>
  <c r="E7" i="11"/>
  <c r="G7" i="11"/>
  <c r="D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16" i="7"/>
  <c r="E15" i="7"/>
  <c r="B10" i="8" l="1"/>
  <c r="C9" i="8"/>
  <c r="A8" i="1"/>
  <c r="B8" i="1" s="1"/>
  <c r="D10" i="7"/>
  <c r="D4" i="7"/>
  <c r="D15" i="7"/>
  <c r="D16" i="7"/>
  <c r="D14" i="7"/>
  <c r="D18" i="7"/>
  <c r="D13" i="7"/>
  <c r="D9" i="7"/>
  <c r="D3" i="7"/>
  <c r="D8" i="7"/>
  <c r="D7" i="7"/>
  <c r="D12" i="7"/>
  <c r="D11" i="7"/>
  <c r="D6" i="7"/>
  <c r="D5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H8" i="10"/>
  <c r="F8" i="10"/>
  <c r="E29" i="2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1" i="7"/>
  <c r="E12" i="7"/>
  <c r="E13" i="7"/>
  <c r="B11" i="8" l="1"/>
  <c r="C10" i="8"/>
  <c r="J29" i="2"/>
  <c r="K29" i="2" s="1"/>
  <c r="A9" i="1"/>
  <c r="B9" i="1" s="1"/>
  <c r="J27" i="2"/>
  <c r="K27" i="2" s="1"/>
  <c r="B12" i="8" l="1"/>
  <c r="C11" i="8"/>
  <c r="A10" i="1"/>
  <c r="B10" i="1" s="1"/>
  <c r="E9" i="7"/>
  <c r="E8" i="7"/>
  <c r="E7" i="7"/>
  <c r="E6" i="7"/>
  <c r="E5" i="7"/>
  <c r="E4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D28" i="2"/>
  <c r="C28" i="2"/>
  <c r="E7" i="10" s="1"/>
  <c r="B14" i="8" l="1"/>
  <c r="C13" i="8"/>
  <c r="A12" i="1"/>
  <c r="B12" i="1" s="1"/>
  <c r="J32" i="2"/>
  <c r="K32" i="2" s="1"/>
  <c r="J28" i="2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A368" i="1"/>
  <c r="B368" i="1" l="1"/>
  <c r="B371" i="8"/>
  <c r="C370" i="8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<sst xmlns="http://schemas.openxmlformats.org/spreadsheetml/2006/main" count="5222" uniqueCount="325">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</sst>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9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4" borderId="0" xfId="0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 wrapText="1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12, 2026 to Oct 18,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1.167</c:v>
                </c:pt>
                <c:pt idx="1">
                  <c:v>0</c:v>
                </c:pt>
                <c:pt idx="2">
                  <c:v>0.33333333333333331</c:v>
                </c:pt>
                <c:pt idx="3">
                  <c:v>0</c:v>
                </c:pt>
                <c:pt idx="4">
                  <c:v>0.33333333333333331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07" headerRowBorderDxfId="106" tableBorderDxfId="105" totalsRowBorderDxfId="104">
  <autoFilter ref="B4:K7" xr:uid="{A0D32330-27B6-422A-9D1F-1FC5BAE5E4DB}"/>
  <tableColumns count="10">
    <tableColumn id="1" xr3:uid="{19F98066-679F-4EEC-9A8C-22860A587D58}" name="Language" dataDxfId="103"/>
    <tableColumn id="2" xr3:uid="{9BE73F99-3CBD-49DC-86AA-136DA5596E56}" name="Current Level" dataDxfId="102"/>
    <tableColumn id="3" xr3:uid="{D1CA6F26-E592-4F65-8835-ED17E93DB151}" name="Objective" dataDxfId="101"/>
    <tableColumn id="4" xr3:uid="{F859D955-4AE2-43E1-84D7-DDB739CAE75B}" name="Daily Intensity [h]" dataDxfId="100"/>
    <tableColumn id="5" xr3:uid="{D6D3DADB-90B1-49DA-9D0F-69E54089656D}" name="Estimated Time (Best) [months]" dataDxfId="99" dataCellStyle="Good"/>
    <tableColumn id="6" xr3:uid="{7BF26971-99B7-4341-9936-055654ADE3C7}" name="Estimated Time (Expected) [months]" dataDxfId="98" dataCellStyle="Good"/>
    <tableColumn id="7" xr3:uid="{2E85D0AD-3119-4874-89FE-74923BCA0E5B}" name="Actual Average Daily Intensity [h]" dataDxfId="97" dataCellStyle="Good"/>
    <tableColumn id="8" xr3:uid="{2E862DF0-5B48-469F-9CE4-BDBEF11C9796}" name="Actual Weekly Intensity [h]" dataDxfId="96" dataCellStyle="Good"/>
    <tableColumn id="9" xr3:uid="{E007EA51-E3B8-4B5E-B04D-776D525232C7}" name="Termination Date (Best)" dataDxfId="95" dataCellStyle="Good">
      <calculatedColumnFormula>EDATE(Logbook!#REF!,'Detailed Planning'!F5)</calculatedColumnFormula>
    </tableColumn>
    <tableColumn id="10" xr3:uid="{71F0CAF6-D6C3-43DE-A41C-85D4DA3C78E2}" name="Termination Date (Expected)" dataDxfId="94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3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0" dataDxfId="89">
  <autoFilter ref="A1:L368" xr:uid="{B8EDE20C-CB7F-4EF3-B4C7-DEE7F6A4F11C}"/>
  <tableColumns count="12">
    <tableColumn id="1" xr3:uid="{AC74041C-0D51-466A-8989-E76B8DEFD438}" name="Date" dataDxfId="88"/>
    <tableColumn id="2" xr3:uid="{0AD3397B-F72F-4A30-A7C9-1258DE821AD0}" name="Day" dataDxfId="87">
      <calculatedColumnFormula>CHOOSE(WEEKDAY(A2,2),"Monday","Tuesday","Wednesday","Thursday","Friday","Saturday","Sunday")</calculatedColumnFormula>
    </tableColumn>
    <tableColumn id="3" xr3:uid="{5962303B-7BAF-451A-AFDE-BEBC012C72A8}" name="Gym Training" dataDxfId="86"/>
    <tableColumn id="4" xr3:uid="{24CAEC62-68E5-4280-AAAB-EE68058C65AC}" name="Deutsch Lernen" dataDxfId="85"/>
    <tableColumn id="5" xr3:uid="{29713649-9C40-4A41-AA9B-38F1D74948C1}" name="Deutsch Flashcards (20 min)" dataDxfId="84"/>
    <tableColumn id="6" xr3:uid="{37486B5C-4C23-43D9-8735-09EB742C21A8}" name="Tasks" dataDxfId="83"/>
    <tableColumn id="7" xr3:uid="{3034ABE1-AAEC-417D-AA07-BA607F90D21A}" name="Career Development" dataDxfId="82"/>
    <tableColumn id="8" xr3:uid="{B60BDB65-58C4-4074-A625-D7DC35E6DEB0}" name="Calisthenics" dataDxfId="81"/>
    <tableColumn id="9" xr3:uid="{E419CAC6-0EDA-4339-9D8B-745FCBCD1397}" name="Kung Fu Training" dataDxfId="80"/>
    <tableColumn id="10" xr3:uid="{CC58E3C5-5764-4B28-A387-5DAB2E7CE225}" name="Guitar Practice" dataDxfId="79"/>
    <tableColumn id="11" xr3:uid="{C6972EC0-9D21-4990-9D11-F65D73DE82EF}" name="No Scrolling" dataDxfId="78"/>
    <tableColumn id="12" xr3:uid="{16D58CC7-4101-4A5E-9AB5-2C4C10C8DB88}" name="No Videogames" dataDxfId="7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76" dataDxfId="75" tableBorderDxfId="74">
  <autoFilter ref="C2:N10" xr:uid="{7362C473-E08F-4975-BA6B-A1DBE7616197}"/>
  <tableColumns count="12">
    <tableColumn id="1" xr3:uid="{F9B0BAAF-006E-476C-B218-FD4598D0501D}" name="Activity" dataDxfId="73"/>
    <tableColumn id="2" xr3:uid="{660ADDE9-88BA-4530-B394-7F5384C7B677}" name="Count" dataDxfId="72"/>
    <tableColumn id="3" xr3:uid="{C0DC861A-3B3F-4C70-9AE6-F67AA6D3D0C6}" name="Monday" dataDxfId="71"/>
    <tableColumn id="4" xr3:uid="{DA5B8548-6DD9-445D-9722-197202CA6AD9}" name="Tuesday" dataDxfId="70"/>
    <tableColumn id="5" xr3:uid="{3722C7D1-49D8-4742-B0CD-BF746C712E01}" name="Wednesday" dataDxfId="69"/>
    <tableColumn id="6" xr3:uid="{2387A70D-C48D-4A82-9C54-7259B7D6C857}" name="Thursday" dataDxfId="68"/>
    <tableColumn id="7" xr3:uid="{FA6FA3AE-EA62-41B3-8671-2919F7110155}" name="Friday" dataDxfId="67"/>
    <tableColumn id="8" xr3:uid="{326131E1-9AFE-4C5F-8C82-58C6BAA02C46}" name="Saturday" dataDxfId="66"/>
    <tableColumn id="9" xr3:uid="{7B473873-766C-48EF-AB58-9EC3902C799C}" name="Sunday" dataDxfId="65"/>
    <tableColumn id="10" xr3:uid="{4E7596FA-D42A-4A12-B855-35E0C1EF8F08}" name="Weekly Hours" dataDxfId="0">
      <calculatedColumnFormula array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calculatedColumnFormula>
    </tableColumn>
    <tableColumn id="11" xr3:uid="{EB378DAD-B8B8-4DD9-B8E2-5A8C60B22432}" name="Week Start" dataDxfId="64">
      <calculatedColumnFormula>TODAY()-WEEKDAY(TODAY(),2)+1</calculatedColumnFormula>
    </tableColumn>
    <tableColumn id="12" xr3:uid="{06B03854-E6C1-4AA5-A148-1ED7A029477F}" name="Week End" dataDxfId="63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113" dataDxfId="112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111"/>
    <tableColumn id="2" xr3:uid="{01AABBA1-86AF-4CDD-8059-B6B90931FA25}" name="Frequency" dataDxfId="110"/>
    <tableColumn id="4" xr3:uid="{7E9972C0-1274-4C43-9D4F-294C74FAC42E}" name="Previous Check" dataDxfId="109"/>
    <tableColumn id="3" xr3:uid="{FF1D2EE6-735A-4AB4-9038-F2B4580252C7}" name="Next Check" dataDxfId="108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6" totalsRowShown="0" headerRowDxfId="62" dataDxfId="61">
  <autoFilter ref="B1:G26" xr:uid="{6D30F8FA-BB4E-4693-A0C5-CD0454701FBA}"/>
  <sortState xmlns:xlrd2="http://schemas.microsoft.com/office/spreadsheetml/2017/richdata2" ref="B2:G26">
    <sortCondition descending="1" ref="F1:F26"/>
  </sortState>
  <tableColumns count="6">
    <tableColumn id="1" xr3:uid="{05477FFA-5BEC-45BA-8CF7-36BEDCF32429}" name="Task" dataDxfId="60"/>
    <tableColumn id="2" xr3:uid="{0BA13A88-2DB2-42F4-9C09-E56CF8590AED}" name="Importance (1-5)" dataDxfId="59"/>
    <tableColumn id="3" xr3:uid="{1A6917C2-468C-48ED-9177-AA8E25AD4AF8}" name="Deadline" dataDxfId="58"/>
    <tableColumn id="4" xr3:uid="{FEAE9DBB-3AC6-424C-9191-E939A3B53451}" name="Progress (1-5)" dataDxfId="57"/>
    <tableColumn id="5" xr3:uid="{999FE4F4-1750-4966-B8AA-6A4C8C62DCC5}" name="Priority" dataDxfId="56">
      <calculatedColumnFormula>C2 + MAX(0, (30-_xlfn.DAYS(D2, TODAY()))) + (10-E2)</calculatedColumnFormula>
    </tableColumn>
    <tableColumn id="6" xr3:uid="{75E8F6A4-CE29-4B38-8EFC-46F951A46AE3}" name="Status Description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0" dataDxfId="49" tableBorderDxfId="48">
  <autoFilter ref="B5:T372" xr:uid="{C1733386-F110-479C-91BD-D01624C166EE}"/>
  <tableColumns count="19">
    <tableColumn id="1" xr3:uid="{41928414-AA25-436C-AAD6-22A01EE0E28C}" name="Date" dataDxfId="47">
      <calculatedColumnFormula>B5+1</calculatedColumnFormula>
    </tableColumn>
    <tableColumn id="2" xr3:uid="{4E6FFDB2-BBDB-43B2-9B0E-996E1538EDD7}" name="Day" dataDxfId="46">
      <calculatedColumnFormula>CHOOSE(WEEKDAY(B6,2),"Monday","Tuesday","Wednesday","Thursday","Friday","Saturday","Sunday")</calculatedColumnFormula>
    </tableColumn>
    <tableColumn id="3" xr3:uid="{9C53ADA4-3AA7-4C7C-A4EC-893CCA42B44A}" name="Subject 1" dataDxfId="45"/>
    <tableColumn id="4" xr3:uid="{7F81F37E-4302-47B2-98F3-A8FFCCC83FBE}" name="Pomodoro Blocks 1" dataDxfId="44"/>
    <tableColumn id="5" xr3:uid="{1EEC1A94-6317-47E5-ABA0-E4296EB62F93}" name="Excedent Time 1 (min)" dataDxfId="43"/>
    <tableColumn id="6" xr3:uid="{133235D3-4023-4EDE-AE36-45FEE50FB1DA}" name="Overall Time 1 (min)" dataDxfId="42">
      <calculatedColumnFormula>E6*25+F6</calculatedColumnFormula>
    </tableColumn>
    <tableColumn id="7" xr3:uid="{9C0BE3F7-F6F1-4A5D-9874-533DB8BCA2C6}" name="Overall Time 1" dataDxfId="41">
      <calculatedColumnFormula>ROUNDDOWN(G6/60, 0)&amp;"h"&amp;ROUNDUP((G6/60-ROUNDDOWN(G6/60, 0))*60,0)</calculatedColumnFormula>
    </tableColumn>
    <tableColumn id="8" xr3:uid="{7C9F0561-DC13-4232-B4ED-B9CB1CC7C643}" name="Subject 2" dataDxfId="40"/>
    <tableColumn id="9" xr3:uid="{F542C03E-286C-4558-AFE1-9BFA959E2955}" name="Pomodoro Blocks 2" dataDxfId="39"/>
    <tableColumn id="10" xr3:uid="{16036902-CB81-45CC-A15E-3EF8281D91E5}" name="Excedent Time 2 (min)" dataDxfId="38"/>
    <tableColumn id="11" xr3:uid="{04E369B2-AA3D-408C-9652-BB8EEDDF8322}" name="Overall Time 2 (min)" dataDxfId="37">
      <calculatedColumnFormula>J6*25+K6</calculatedColumnFormula>
    </tableColumn>
    <tableColumn id="12" xr3:uid="{405B021F-0D68-4328-8AE7-815743A5DD92}" name="Overall Time 2" dataDxfId="36">
      <calculatedColumnFormula>ROUNDDOWN(L6/60, 0)&amp;"h"&amp;ROUNDUP((L6/60-ROUNDDOWN(L6/60, 0))*60,0)</calculatedColumnFormula>
    </tableColumn>
    <tableColumn id="13" xr3:uid="{8703B6E6-D7D8-4876-BBCB-24D9E2989676}" name="Subject 3" dataDxfId="35"/>
    <tableColumn id="14" xr3:uid="{16561968-5E16-46E0-8E87-4D9431C26168}" name="Pomodoro Blocks 3" dataDxfId="34"/>
    <tableColumn id="15" xr3:uid="{A70712B3-3FA6-42E6-A9EE-84AA5E243007}" name="Excedent Time 3 (min)" dataDxfId="33"/>
    <tableColumn id="16" xr3:uid="{C13303DA-307A-4952-BB47-8F8B5D2273B4}" name="Overall Time 3 (min)" dataDxfId="32">
      <calculatedColumnFormula>O6*25+P6</calculatedColumnFormula>
    </tableColumn>
    <tableColumn id="17" xr3:uid="{72CF339A-A5BA-4C00-8717-BB1F06A8F79E}" name="Overall Time 3" dataDxfId="31">
      <calculatedColumnFormula>ROUNDDOWN(Q6/60, 0)&amp;"h"&amp;ROUNDUP((Q6/60-ROUNDDOWN(Q6/60, 0))*60,0)</calculatedColumnFormula>
    </tableColumn>
    <tableColumn id="18" xr3:uid="{DD71BA26-8370-4383-8FA7-7BFEF06508AE}" name="Global Time (min)" dataDxfId="30">
      <calculatedColumnFormula>G6+L6+Q6</calculatedColumnFormula>
    </tableColumn>
    <tableColumn id="19" xr3:uid="{1D56DAB2-9ACF-47FE-B3A0-73AF0F0285CB}" name="Global Time" dataDxfId="29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4" dataDxfId="22" headerRowBorderDxfId="23" tableBorderDxfId="21" totalsRowBorderDxfId="20">
  <autoFilter ref="C4:G57" xr:uid="{76A67491-F779-41C3-BCF7-1F55E2C88DAF}"/>
  <tableColumns count="5">
    <tableColumn id="1" xr3:uid="{1F3C6D5E-3795-43E1-BE20-E8220F65D680}" name="Week Range" dataDxfId="19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8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7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6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5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4" headerRowBorderDxfId="13" tableBorderDxfId="12" totalsRowBorderDxfId="11">
  <autoFilter ref="B3:D7" xr:uid="{6A82D3A0-C9C6-4CC5-93AF-387804D1534E}"/>
  <tableColumns count="3">
    <tableColumn id="2" xr3:uid="{C82188A7-91BB-4892-990F-80EEDD116086}" name="Duration [min]" dataDxfId="10"/>
    <tableColumn id="3" xr3:uid="{257FEA3E-E906-47EB-888B-4DEEEF6D8878}" name="Block" dataDxfId="9"/>
    <tableColumn id="4" xr3:uid="{527EA0BB-9801-4FAC-8F42-CA26BDEE1F3B}" name="Description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7" headerRowBorderDxfId="6" tableBorderDxfId="5" totalsRowBorderDxfId="4">
  <autoFilter ref="F3:H5" xr:uid="{8364237B-DD86-44AF-942F-8B66E19DA637}"/>
  <tableColumns count="3">
    <tableColumn id="1" xr3:uid="{62BF850A-C29F-410C-A5B4-15F22457F59F}" name="Duration [min]" dataDxfId="3"/>
    <tableColumn id="2" xr3:uid="{3C68A4B7-0799-4829-93E5-5A00844CC609}" name="Block" dataDxfId="2"/>
    <tableColumn id="3" xr3:uid="{B46AE227-4594-4C8D-9283-576CF7CBEDA5}" name="Descriptio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2" t="s">
        <v>247</v>
      </c>
      <c r="B1" s="192"/>
      <c r="C1" s="192"/>
      <c r="D1" s="192"/>
      <c r="E1" s="192"/>
      <c r="F1" s="192"/>
      <c r="G1" s="192"/>
      <c r="H1" s="192"/>
      <c r="I1" s="192"/>
      <c r="J1" s="192"/>
    </row>
    <row r="2" spans="1:10" ht="22.2" customHeight="1" x14ac:dyDescent="0.3">
      <c r="A2" s="193" t="s">
        <v>248</v>
      </c>
      <c r="B2" s="193"/>
      <c r="C2" s="193"/>
      <c r="D2" s="193"/>
      <c r="E2" s="193"/>
      <c r="F2" s="193"/>
      <c r="G2" s="193"/>
      <c r="H2" s="193"/>
      <c r="I2" s="193"/>
      <c r="J2" s="193"/>
    </row>
    <row r="4" spans="1:10" ht="24" customHeight="1" x14ac:dyDescent="0.3">
      <c r="A4" s="194" t="s">
        <v>249</v>
      </c>
      <c r="B4" s="194"/>
      <c r="C4" s="194"/>
      <c r="D4" s="194"/>
      <c r="E4" s="194"/>
      <c r="F4" s="194"/>
      <c r="G4" s="194"/>
      <c r="H4" s="194"/>
      <c r="I4" s="194"/>
      <c r="J4" s="194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5"/>
      <c r="B21" s="195"/>
      <c r="C21" s="195"/>
      <c r="D21" s="195"/>
      <c r="E21" s="195"/>
      <c r="F21" s="195"/>
      <c r="G21" s="195"/>
      <c r="H21" s="195"/>
      <c r="I21" s="195"/>
      <c r="J21" s="195"/>
    </row>
    <row r="22" spans="1:10" ht="21" customHeight="1" x14ac:dyDescent="0.3">
      <c r="A22" s="195"/>
      <c r="B22" s="195"/>
      <c r="C22" s="195"/>
      <c r="D22" s="195"/>
      <c r="E22" s="195"/>
      <c r="F22" s="195"/>
      <c r="G22" s="195"/>
      <c r="H22" s="195"/>
      <c r="I22" s="195"/>
      <c r="J22" s="195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6" t="s">
        <v>64</v>
      </c>
      <c r="C2" s="197"/>
      <c r="D2" s="197"/>
      <c r="E2" s="197"/>
      <c r="F2" s="197"/>
      <c r="G2" s="197"/>
      <c r="H2" s="197"/>
      <c r="I2" s="197"/>
      <c r="J2" s="197"/>
      <c r="K2" s="197"/>
      <c r="L2" s="198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86" zoomScaleNormal="115" workbookViewId="0">
      <pane ySplit="1" topLeftCell="A40" activePane="bottomLeft" state="frozen"/>
      <selection pane="bottomLeft" activeCell="D71" sqref="D7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201" t="s">
        <v>155</v>
      </c>
      <c r="H10" s="201"/>
      <c r="I10" s="201"/>
    </row>
    <row r="11" spans="2:11" ht="15.6" x14ac:dyDescent="0.3">
      <c r="B11" s="199" t="s">
        <v>69</v>
      </c>
      <c r="C11" s="200"/>
      <c r="D11" s="200"/>
      <c r="E11" s="200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9" t="s">
        <v>79</v>
      </c>
      <c r="C16" s="200"/>
      <c r="D16" s="200"/>
      <c r="E16" s="200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9" t="s">
        <v>178</v>
      </c>
      <c r="C21" s="200"/>
      <c r="D21" s="200"/>
      <c r="E21" s="200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9" t="s">
        <v>196</v>
      </c>
      <c r="C25" s="200"/>
      <c r="D25" s="200"/>
      <c r="E25" s="200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304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305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306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9" t="s">
        <v>38</v>
      </c>
      <c r="C72" s="200"/>
      <c r="D72" s="200"/>
      <c r="E72" s="200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9" t="s">
        <v>83</v>
      </c>
      <c r="C79" s="200"/>
      <c r="D79" s="200"/>
      <c r="E79" s="200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202" t="s">
        <v>25</v>
      </c>
      <c r="K3" s="203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tabSelected="1" zoomScale="79" zoomScaleNormal="56" workbookViewId="0">
      <pane xSplit="2" ySplit="1" topLeftCell="C59" activePane="bottomRight" state="frozen"/>
      <selection pane="topRight" activeCell="C1" sqref="C1"/>
      <selection pane="bottomLeft" activeCell="A2" sqref="A2"/>
      <selection pane="bottomRight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232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232</v>
      </c>
      <c r="J78" s="141" t="s">
        <v>231</v>
      </c>
      <c r="K78" s="141" t="s">
        <v>231</v>
      </c>
      <c r="L78" s="141" t="s">
        <v>232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232</v>
      </c>
      <c r="J80" s="141" t="s">
        <v>231</v>
      </c>
      <c r="K80" s="141" t="s">
        <v>231</v>
      </c>
      <c r="L80" s="141" t="s">
        <v>232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231</v>
      </c>
      <c r="G81" s="141" t="s">
        <v>231</v>
      </c>
      <c r="H81" s="141" t="s">
        <v>232</v>
      </c>
      <c r="I81" s="141" t="s">
        <v>231</v>
      </c>
      <c r="J81" s="141" t="s">
        <v>231</v>
      </c>
      <c r="K81" s="141" t="s">
        <v>232</v>
      </c>
      <c r="L81" s="141" t="s">
        <v>232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232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232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232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232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232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232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232</v>
      </c>
      <c r="E85" s="141" t="s">
        <v>231</v>
      </c>
      <c r="F85" s="141" t="s">
        <v>231</v>
      </c>
      <c r="G85" s="141" t="s">
        <v>231</v>
      </c>
      <c r="H85" s="141" t="s">
        <v>232</v>
      </c>
      <c r="I85" s="141" t="s">
        <v>232</v>
      </c>
      <c r="J85" s="141" t="s">
        <v>231</v>
      </c>
      <c r="K85" s="141" t="s">
        <v>231</v>
      </c>
      <c r="L85" s="141" t="s">
        <v>232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232</v>
      </c>
      <c r="D87" s="141" t="s">
        <v>231</v>
      </c>
      <c r="E87" s="141" t="s">
        <v>232</v>
      </c>
      <c r="F87" s="141" t="s">
        <v>232</v>
      </c>
      <c r="G87" s="141" t="s">
        <v>231</v>
      </c>
      <c r="H87" s="141" t="s">
        <v>232</v>
      </c>
      <c r="I87" s="141" t="s">
        <v>231</v>
      </c>
      <c r="J87" s="141" t="s">
        <v>231</v>
      </c>
      <c r="K87" s="141" t="s">
        <v>232</v>
      </c>
      <c r="L87" s="141" t="s">
        <v>232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91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1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f>
        <v>1.167</v>
      </c>
      <c r="M3" s="148">
        <f ca="1">TODAY()-WEEKDAY(TODAY(),2)+1</f>
        <v>46307</v>
      </c>
      <c r="N3" s="148">
        <f ca="1">TODAY()-WEEKDAY(TODAY(),2)+7</f>
        <v>46313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12, 2026 to Oct 18,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SUMPRODUCT((Table7[Date]&gt;=$M4)*(Table7[Date]&lt;=MIN($N4,TODAY()))*_xlfn.SWITCH($C4,"Gym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Scrolling]="☐"),0)*CHOOSE(WEEKDAY(Table7[Date],2),$E4,$F4,$G4,$H4,$I4,$J4,$K4))</f>
        <v>0</v>
      </c>
      <c r="M4" s="148">
        <f t="shared" ref="M4:M9" ca="1" si="0">TODAY()-WEEKDAY(TODAY(),2)+1</f>
        <v>46307</v>
      </c>
      <c r="N4" s="148">
        <f t="shared" ref="N4:N9" ca="1" si="1">TODAY()-WEEKDAY(TODAY(),2)+7</f>
        <v>46313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SUMPRODUCT((Table7[Date]&gt;=$M5)*(Table7[Date]&lt;=MIN($N5,TODAY()))*_xlfn.SWITCH($C5,"Gym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Scrolling]="☐"),0)*CHOOSE(WEEKDAY(Table7[Date],2),$E5,$F5,$G5,$H5,$I5,$J5,$K5))</f>
        <v>0.33333333333333331</v>
      </c>
      <c r="M5" s="148">
        <f t="shared" ca="1" si="0"/>
        <v>46307</v>
      </c>
      <c r="N5" s="148">
        <f t="shared" ca="1" si="1"/>
        <v>46313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SUMPRODUCT((Table7[Date]&gt;=$M6)*(Table7[Date]&lt;=MIN($N6,TODAY()))*_xlfn.SWITCH($C6,"Gym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Scrolling]="☐"),0)*CHOOSE(WEEKDAY(Table7[Date],2),$E6,$F6,$G6,$H6,$I6,$J6,$K6))</f>
        <v>0</v>
      </c>
      <c r="M6" s="148">
        <f t="shared" ca="1" si="0"/>
        <v>46307</v>
      </c>
      <c r="N6" s="148">
        <f t="shared" ca="1" si="1"/>
        <v>46313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v>0.33333333333333331</v>
      </c>
      <c r="G7" s="164">
        <v>0.33333333333333331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SUMPRODUCT((Table7[Date]&gt;=$M7)*(Table7[Date]&lt;=MIN($N7,TODAY()))*_xlfn.SWITCH($C7,"Gym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Scrolling]="☐"),0)*CHOOSE(WEEKDAY(Table7[Date],2),$E7,$F7,$G7,$H7,$I7,$J7,$K7))</f>
        <v>0.33333333333333331</v>
      </c>
      <c r="M7" s="148">
        <f t="shared" ca="1" si="0"/>
        <v>46307</v>
      </c>
      <c r="N7" s="148">
        <f t="shared" ca="1" si="1"/>
        <v>46313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0</v>
      </c>
      <c r="E8" s="164">
        <v>2</v>
      </c>
      <c r="F8" s="164">
        <f>_xlfn.NUMBERVALUE(LEFT(Schedule!D29,FIND(" ",Schedule!D29)-1),",",".")</f>
        <v>2</v>
      </c>
      <c r="G8" s="164">
        <v>2</v>
      </c>
      <c r="H8" s="164">
        <f>_xlfn.NUMBERVALUE(LEFT(Schedule!F29,FIND(" ",Schedule!F29)-1),",",".")</f>
        <v>2</v>
      </c>
      <c r="I8" s="164">
        <v>2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SUMPRODUCT((Table7[Date]&gt;=$M8)*(Table7[Date]&lt;=MIN($N8,TODAY()))*_xlfn.SWITCH($C8,"Gym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Scrolling]="☐"),0)*CHOOSE(WEEKDAY(Table7[Date],2),$E8,$F8,$G8,$H8,$I8,$J8,$K8))</f>
        <v>0</v>
      </c>
      <c r="M8" s="148">
        <f t="shared" ca="1" si="0"/>
        <v>46307</v>
      </c>
      <c r="N8" s="148">
        <f t="shared" ca="1" si="1"/>
        <v>46313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SUMPRODUCT((Table7[Date]&gt;=$M9)*(Table7[Date]&lt;=MIN($N9,TODAY()))*_xlfn.SWITCH($C9,"Gym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Scrolling]="☐"),0)*CHOOSE(WEEKDAY(Table7[Date],2),$E9,$F9,$G9,$H9,$I9,$J9,$K9))</f>
        <v>0</v>
      </c>
      <c r="M9" s="148">
        <f t="shared" ca="1" si="0"/>
        <v>46307</v>
      </c>
      <c r="N9" s="148">
        <f t="shared" ca="1" si="1"/>
        <v>46313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SUMPRODUCT((Table7[Date]&gt;=$M10)*(Table7[Date]&lt;=MIN($N10,TODAY()))*_xlfn.SWITCH($C10,"Gym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Scrolling]="☐"),0)*CHOOSE(WEEKDAY(Table7[Date],2),$E10,$F10,$G10,$H10,$I10,$J10,$K10))</f>
        <v>1</v>
      </c>
      <c r="M10" s="170">
        <f ca="1">TODAY()-WEEKDAY(TODAY(),2)+1</f>
        <v>46307</v>
      </c>
      <c r="N10" s="170">
        <f ca="1">TODAY()-WEEKDAY(TODAY(),2)+7</f>
        <v>46313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9" sqref="E9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237</v>
      </c>
      <c r="C3" s="55" t="s">
        <v>141</v>
      </c>
      <c r="D3" s="56">
        <f ca="1">$B$1048562+_xlfn.CEILING.MATH((TODAY()-$B$1048562)/5, 1)*5-5</f>
        <v>46304</v>
      </c>
      <c r="E3" s="56">
        <f ca="1">$B$1048562+_xlfn.CEILING.MATH((TODAY()-$B$1048562)/5, 1)*5</f>
        <v>46309</v>
      </c>
    </row>
    <row r="4" spans="2:5" x14ac:dyDescent="0.3">
      <c r="B4" s="55" t="s">
        <v>238</v>
      </c>
      <c r="C4" s="55" t="s">
        <v>144</v>
      </c>
      <c r="D4" s="56">
        <f ca="1">IF(DAY(TODAY())&gt;15,
   DATE(YEAR(TODAY()),MONTH(TODAY()),15),
   DATE(YEAR(TODAY()),MONTH(TODAY())-1,15))</f>
        <v>46280</v>
      </c>
      <c r="E4" s="56">
        <f ca="1">IF(DAY(TODAY())&lt;=15,
   DATE(YEAR(TODAY()),MONTH(TODAY()),15),
   DATE(YEAR(TODAY()),MONTH(TODAY())+1,15))</f>
        <v>46310</v>
      </c>
    </row>
    <row r="5" spans="2:5" x14ac:dyDescent="0.3">
      <c r="B5" s="55" t="s">
        <v>128</v>
      </c>
      <c r="C5" s="55" t="s">
        <v>142</v>
      </c>
      <c r="D5" s="56">
        <f ca="1">TODAY()+MOD(6-WEEKDAY(TODAY(),2),7)-7</f>
        <v>46305</v>
      </c>
      <c r="E5" s="56">
        <f ca="1">TODAY()+MOD(6-WEEKDAY(TODAY(),2),7)</f>
        <v>46312</v>
      </c>
    </row>
    <row r="6" spans="2:5" x14ac:dyDescent="0.3">
      <c r="B6" s="55" t="s">
        <v>129</v>
      </c>
      <c r="C6" s="55" t="s">
        <v>142</v>
      </c>
      <c r="D6" s="56">
        <f ca="1">TODAY()+MOD(6-WEEKDAY(TODAY(),2),7)-7</f>
        <v>46305</v>
      </c>
      <c r="E6" s="56">
        <f ca="1">TODAY()+MOD(6-WEEKDAY(TODAY(),2),7)</f>
        <v>46312</v>
      </c>
    </row>
    <row r="7" spans="2:5" x14ac:dyDescent="0.3">
      <c r="B7" s="55" t="s">
        <v>145</v>
      </c>
      <c r="C7" s="55" t="s">
        <v>147</v>
      </c>
      <c r="D7" s="56">
        <f ca="1">TODAY()+MOD(7-WEEKDAY(TODAY(),2),7)-7</f>
        <v>46306</v>
      </c>
      <c r="E7" s="56">
        <f ca="1">TODAY()+MOD(7-WEEKDAY(TODAY(),2),7)</f>
        <v>46313</v>
      </c>
    </row>
    <row r="8" spans="2:5" x14ac:dyDescent="0.3">
      <c r="B8" s="55" t="s">
        <v>146</v>
      </c>
      <c r="C8" s="55" t="s">
        <v>147</v>
      </c>
      <c r="D8" s="56">
        <f ca="1">TODAY()+MOD(7-WEEKDAY(TODAY(),2),7)-7</f>
        <v>46306</v>
      </c>
      <c r="E8" s="56">
        <f ca="1">TODAY()+MOD(7-WEEKDAY(TODAY(),2),7)</f>
        <v>46313</v>
      </c>
    </row>
    <row r="9" spans="2:5" x14ac:dyDescent="0.3">
      <c r="B9" s="55" t="s">
        <v>250</v>
      </c>
      <c r="C9" s="55" t="s">
        <v>153</v>
      </c>
      <c r="D9" s="56">
        <f ca="1">$B$1048576+_xlfn.CEILING.MATH((TODAY()-$B$1048576)/21, 1)*21-21</f>
        <v>46295</v>
      </c>
      <c r="E9" s="56">
        <f ca="1">$B$1048576+_xlfn.CEILING.MATH((TODAY()-$B$1048576)/21, 1)*21</f>
        <v>46316</v>
      </c>
    </row>
    <row r="10" spans="2:5" x14ac:dyDescent="0.3">
      <c r="B10" s="55" t="s">
        <v>131</v>
      </c>
      <c r="C10" s="55" t="s">
        <v>192</v>
      </c>
      <c r="D10" s="56">
        <f ca="1">IF(DAY(TODAY())&gt;23,
   DATE(YEAR(TODAY()),MONTH(TODAY()),23),
   DATE(YEAR(TODAY()),MONTH(TODAY())-1,23))</f>
        <v>46288</v>
      </c>
      <c r="E10" s="56">
        <f ca="1">IF(DAY(TODAY())&lt;=23,
   DATE(YEAR(TODAY()),MONTH(TODAY()),23),
   DATE(YEAR(TODAY()),MONTH(TODAY())+1,23))</f>
        <v>46318</v>
      </c>
    </row>
    <row r="11" spans="2:5" x14ac:dyDescent="0.3">
      <c r="B11" s="55" t="s">
        <v>130</v>
      </c>
      <c r="C11" s="55" t="s">
        <v>143</v>
      </c>
      <c r="D11" s="56">
        <f ca="1">$B$1048565+_xlfn.CEILING.MATH((TODAY()-$B$1048565)/14, 1)*14-14</f>
        <v>46305</v>
      </c>
      <c r="E11" s="56">
        <f ca="1">$B$1048565+_xlfn.CEILING.MATH((TODAY()-$B$1048565)/14, 1)*14</f>
        <v>46319</v>
      </c>
    </row>
    <row r="12" spans="2:5" x14ac:dyDescent="0.3">
      <c r="B12" s="55" t="s">
        <v>135</v>
      </c>
      <c r="C12" s="55" t="s">
        <v>143</v>
      </c>
      <c r="D12" s="56">
        <f ca="1">$B$1048569+_xlfn.CEILING.MATH((TODAY()-$B$1048569)/14, 1)*14-14</f>
        <v>46305</v>
      </c>
      <c r="E12" s="56">
        <f ca="1">$B$1048569+_xlfn.CEILING.MATH((TODAY()-$B$1048569)/14, 1)*14</f>
        <v>46319</v>
      </c>
    </row>
    <row r="13" spans="2:5" x14ac:dyDescent="0.3">
      <c r="B13" s="55" t="s">
        <v>139</v>
      </c>
      <c r="C13" s="55" t="s">
        <v>154</v>
      </c>
      <c r="D13" s="56">
        <f ca="1">$B$1048571+_xlfn.CEILING.MATH((TODAY()-$B$1048571)/28, 1)*28-28</f>
        <v>46293</v>
      </c>
      <c r="E13" s="56">
        <f ca="1">$B$1048571+_xlfn.CEILING.MATH((TODAY()-$B$1048571)/28, 1)*28</f>
        <v>46321</v>
      </c>
    </row>
    <row r="14" spans="2:5" x14ac:dyDescent="0.3">
      <c r="B14" s="55" t="s">
        <v>136</v>
      </c>
      <c r="C14" s="55" t="s">
        <v>152</v>
      </c>
      <c r="D14" s="56">
        <f ca="1">$B$1048570+_xlfn.CEILING.MATH((TODAY()-$B$1048570)/40, 1)*40-40</f>
        <v>46287</v>
      </c>
      <c r="E14" s="56">
        <f ca="1">$B$1048570+_xlfn.CEILING.MATH((TODAY()-$B$1048570)/40, 1)*40</f>
        <v>46327</v>
      </c>
    </row>
    <row r="15" spans="2:5" x14ac:dyDescent="0.3">
      <c r="B15" s="55" t="s">
        <v>324</v>
      </c>
      <c r="C15" s="55" t="s">
        <v>190</v>
      </c>
      <c r="D15" s="56">
        <f ca="1">IF(DAY(TODAY())&gt;5,
   DATE(YEAR(TODAY()),MONTH(TODAY()),5),
   DATE(YEAR(TODAY()),MONTH(TODAY())-1,5))</f>
        <v>46300</v>
      </c>
      <c r="E15" s="56">
        <f ca="1">IF(DAY(TODAY())&lt;=5,
   DATE(YEAR(TODAY()),MONTH(TODAY()),5),
   DATE(YEAR(TODAY()),MONTH(TODAY())+1,5))</f>
        <v>46331</v>
      </c>
    </row>
    <row r="16" spans="2:5" x14ac:dyDescent="0.3">
      <c r="B16" s="55" t="s">
        <v>149</v>
      </c>
      <c r="C16" s="55" t="s">
        <v>190</v>
      </c>
      <c r="D16" s="56">
        <f ca="1">IF(DAY(TODAY())&gt;5,
   DATE(YEAR(TODAY()),MONTH(TODAY()),5),
   DATE(YEAR(TODAY()),MONTH(TODAY())-1,5))</f>
        <v>46300</v>
      </c>
      <c r="E16" s="56">
        <f ca="1">IF(DAY(TODAY())&lt;=5,
   DATE(YEAR(TODAY()),MONTH(TODAY()),5),
   DATE(YEAR(TODAY()),MONTH(TODAY())+1,5))</f>
        <v>46331</v>
      </c>
    </row>
    <row r="17" spans="2:5" x14ac:dyDescent="0.3">
      <c r="B17" s="55" t="s">
        <v>235</v>
      </c>
      <c r="C17" s="55" t="s">
        <v>236</v>
      </c>
      <c r="D17" s="56">
        <f ca="1">IF(DAY(TODAY())&gt;10,
   DATE(YEAR(TODAY()),MONTH(TODAY()),10),
   DATE(YEAR(TODAY()),MONTH(TODAY())-1,10))</f>
        <v>46305</v>
      </c>
      <c r="E17" s="56">
        <f ca="1">IF(DAY(TODAY())&lt;=10,
   DATE(YEAR(TODAY()),MONTH(TODAY()),10),
   DATE(YEAR(TODAY()),MONTH(TODAY())+1,10))</f>
        <v>46336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6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6" ca="1" si="0">C2 + MAX(0, (30-_xlfn.DAYS(D2, TODAY()))) + (10-E2)</f>
        <v>123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123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122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119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116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115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114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113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113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113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108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108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108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106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106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106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100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100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93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92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92</v>
      </c>
      <c r="G22" s="64"/>
    </row>
    <row r="23" spans="2:7" x14ac:dyDescent="0.3">
      <c r="B23" s="55" t="s">
        <v>321</v>
      </c>
      <c r="C23" s="55">
        <v>5</v>
      </c>
      <c r="D23" s="56">
        <v>46300</v>
      </c>
      <c r="E23" s="55">
        <v>0</v>
      </c>
      <c r="F23" s="55">
        <f t="shared" ca="1" si="0"/>
        <v>53</v>
      </c>
      <c r="G23" s="64"/>
    </row>
    <row r="24" spans="2:7" x14ac:dyDescent="0.3">
      <c r="B24" s="189" t="s">
        <v>315</v>
      </c>
      <c r="C24" s="189">
        <v>5</v>
      </c>
      <c r="D24" s="190">
        <v>46300</v>
      </c>
      <c r="E24" s="189">
        <v>5</v>
      </c>
      <c r="F24" s="189">
        <f t="shared" ca="1" si="0"/>
        <v>48</v>
      </c>
      <c r="G24" s="191" t="s">
        <v>314</v>
      </c>
    </row>
    <row r="25" spans="2:7" x14ac:dyDescent="0.3">
      <c r="B25" s="188" t="s">
        <v>296</v>
      </c>
      <c r="C25" s="55">
        <v>5</v>
      </c>
      <c r="D25" s="56">
        <v>46314</v>
      </c>
      <c r="E25" s="55">
        <v>0</v>
      </c>
      <c r="F25" s="55">
        <f t="shared" ca="1" si="0"/>
        <v>39</v>
      </c>
      <c r="G25" s="64" t="s">
        <v>297</v>
      </c>
    </row>
    <row r="26" spans="2:7" x14ac:dyDescent="0.3">
      <c r="B26" s="55" t="s">
        <v>322</v>
      </c>
      <c r="C26" s="55">
        <v>3</v>
      </c>
      <c r="D26" s="56">
        <v>46357</v>
      </c>
      <c r="E26" s="55">
        <v>0</v>
      </c>
      <c r="F26" s="55">
        <f t="shared" ca="1" si="0"/>
        <v>13</v>
      </c>
      <c r="G26" s="64" t="s">
        <v>323</v>
      </c>
    </row>
  </sheetData>
  <conditionalFormatting sqref="F2:G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  <c r="BS2" s="204"/>
      <c r="BT2" s="204"/>
      <c r="BU2" s="204"/>
      <c r="BV2" s="204"/>
      <c r="BW2" s="204"/>
      <c r="BX2" s="204"/>
      <c r="BY2" s="204"/>
      <c r="BZ2" s="204"/>
      <c r="CA2" s="204"/>
      <c r="CB2" s="204"/>
      <c r="CC2" s="204"/>
      <c r="CD2" s="204"/>
      <c r="CE2" s="204"/>
      <c r="CF2" s="204"/>
      <c r="CG2" s="204"/>
      <c r="CH2" s="204"/>
      <c r="CI2" s="204"/>
      <c r="CJ2" s="204"/>
      <c r="CK2" s="204"/>
      <c r="CL2" s="204"/>
      <c r="CM2" s="204"/>
      <c r="CN2" s="204"/>
      <c r="CO2" s="204"/>
      <c r="CP2" s="204"/>
      <c r="CQ2" s="204"/>
      <c r="CR2" s="204"/>
      <c r="CS2" s="204"/>
      <c r="CT2" s="204"/>
      <c r="CU2" s="204"/>
      <c r="CV2" s="204"/>
      <c r="CW2" s="204"/>
      <c r="CX2" s="204"/>
      <c r="CY2" s="204"/>
      <c r="CZ2" s="204"/>
      <c r="DA2" s="204"/>
      <c r="DB2" s="204"/>
      <c r="DC2" s="204"/>
      <c r="DD2" s="204"/>
      <c r="DE2" s="204"/>
      <c r="DF2" s="204"/>
      <c r="DG2" s="204"/>
      <c r="DH2" s="204"/>
      <c r="DI2" s="204"/>
      <c r="DJ2" s="204"/>
      <c r="DK2" s="204"/>
      <c r="DL2" s="204"/>
      <c r="DM2" s="204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4"/>
      <c r="GA2" s="204"/>
      <c r="GB2" s="204"/>
      <c r="GC2" s="204"/>
      <c r="GD2" s="204"/>
      <c r="GE2" s="204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6" t="s">
        <v>202</v>
      </c>
      <c r="E4" s="205"/>
      <c r="F4" s="205"/>
      <c r="G4" s="205"/>
      <c r="H4" s="205"/>
      <c r="I4" s="205" t="s">
        <v>203</v>
      </c>
      <c r="J4" s="205"/>
      <c r="K4" s="205"/>
      <c r="L4" s="205"/>
      <c r="M4" s="205"/>
      <c r="N4" s="205" t="s">
        <v>204</v>
      </c>
      <c r="O4" s="205"/>
      <c r="P4" s="205"/>
      <c r="Q4" s="205"/>
      <c r="R4" s="205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4" priority="16" stopIfTrue="1">
      <formula>IF(OR($C$6="Tuesday", $C$6="Wednesday"), IF(ROUNDDOWN(G6/60,0)&gt;=2,TRUE,FALSE),IF(ROUNDDOWN(G6/60,0)&gt;=3,TRUE,FALSE))</formula>
    </cfRule>
    <cfRule type="expression" dxfId="53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2" priority="48" stopIfTrue="1">
      <formula>IF(OR(C6="Tuesday", C6="Wednesday"), IF(ROUNDDOWN(S6/60,0)&gt;=2,TRUE,FALSE),IF(ROUNDDOWN(S6/60,0)&gt;=3,TRUE,FALSE))</formula>
    </cfRule>
    <cfRule type="expression" dxfId="51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7" t="s">
        <v>201</v>
      </c>
      <c r="D3" s="207"/>
      <c r="E3" s="207"/>
      <c r="F3" s="207"/>
      <c r="G3" s="207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8" priority="4">
      <formula>TRUE</formula>
    </cfRule>
  </conditionalFormatting>
  <conditionalFormatting sqref="D5:D57">
    <cfRule type="expression" dxfId="27" priority="3" stopIfTrue="1">
      <formula>VALUE(LEFT(D5,FIND("h",D5)-1))&gt;=21</formula>
    </cfRule>
  </conditionalFormatting>
  <conditionalFormatting sqref="E5:E57">
    <cfRule type="expression" dxfId="26" priority="1" stopIfTrue="1">
      <formula>VALUE(LEFT(E5,FIND("h",E5)-1))&gt;=2</formula>
    </cfRule>
    <cfRule type="expression" dxfId="25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8" t="s">
        <v>13</v>
      </c>
      <c r="C2" s="208"/>
      <c r="D2" s="208"/>
      <c r="F2" s="208" t="s">
        <v>14</v>
      </c>
      <c r="G2" s="208"/>
      <c r="H2" s="208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2026-10-13T22:26:54Z</dcterms:modified>
</cp:coreProperties>
</file>