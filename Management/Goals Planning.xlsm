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53" documentId="13_ncr:1_{05ACA443-BE19-4A9D-8148-A66D2A9AFB64}" xr6:coauthVersionLast="47" xr6:coauthVersionMax="47" xr10:uidLastSave="{13C2CD24-F01F-4F4E-BA90-351EEDC2FC1E}"/>
  <bookViews>
    <workbookView xWindow="28680" yWindow="-120" windowWidth="29040" windowHeight="15720" firstSheet="1" activeTab="6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5" l="1"/>
  <c r="F23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5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C22" i="11" a="1"/>
  <c r="D49" i="11"/>
  <c r="C23" i="11" a="1"/>
  <c r="C16" i="11" a="1"/>
  <c r="G37" i="11"/>
  <c r="G26" i="11"/>
  <c r="G42" i="11"/>
  <c r="C48" i="11" a="1"/>
  <c r="F54" i="11"/>
  <c r="E57" i="11"/>
  <c r="G52" i="11"/>
  <c r="F49" i="11"/>
  <c r="F32" i="11"/>
  <c r="F53" i="11"/>
  <c r="F27" i="11"/>
  <c r="D38" i="11"/>
  <c r="C38" i="11" a="1"/>
  <c r="C51" i="11" a="1"/>
  <c r="D14" i="11"/>
  <c r="D31" i="11"/>
  <c r="D29" i="11"/>
  <c r="G56" i="11"/>
  <c r="D48" i="11"/>
  <c r="F48" i="11"/>
  <c r="D15" i="11"/>
  <c r="F31" i="11"/>
  <c r="C54" i="11" a="1"/>
  <c r="F14" i="11"/>
  <c r="F52" i="11"/>
  <c r="F41" i="11"/>
  <c r="D32" i="11"/>
  <c r="G23" i="11"/>
  <c r="D34" i="11"/>
  <c r="F20" i="11"/>
  <c r="E56" i="11"/>
  <c r="E52" i="11"/>
  <c r="C5" i="11" a="1"/>
  <c r="C18" i="11" a="1"/>
  <c r="C9" i="11" a="1"/>
  <c r="E41" i="11"/>
  <c r="D41" i="11"/>
  <c r="E24" i="11"/>
  <c r="E54" i="11"/>
  <c r="D35" i="11"/>
  <c r="F36" i="11"/>
  <c r="F39" i="11"/>
  <c r="F19" i="11"/>
  <c r="E37" i="11"/>
  <c r="E34" i="11"/>
  <c r="G55" i="11"/>
  <c r="C37" i="11" a="1"/>
  <c r="F33" i="11"/>
  <c r="E53" i="11"/>
  <c r="E35" i="11"/>
  <c r="G27" i="11"/>
  <c r="C12" i="11" a="1"/>
  <c r="G54" i="11"/>
  <c r="E21" i="11"/>
  <c r="G45" i="11"/>
  <c r="F51" i="11"/>
  <c r="C30" i="11" a="1"/>
  <c r="C28" i="11" a="1"/>
  <c r="D42" i="11"/>
  <c r="E39" i="11"/>
  <c r="E27" i="11"/>
  <c r="G46" i="11"/>
  <c r="E42" i="11"/>
  <c r="D53" i="11"/>
  <c r="G38" i="11"/>
  <c r="F46" i="11"/>
  <c r="G24" i="11"/>
  <c r="C24" i="11" a="1"/>
  <c r="C33" i="11" a="1"/>
  <c r="E40" i="11"/>
  <c r="G14" i="11"/>
  <c r="D21" i="11"/>
  <c r="F56" i="11"/>
  <c r="C15" i="11" a="1"/>
  <c r="G18" i="11"/>
  <c r="C14" i="11" a="1"/>
  <c r="C52" i="11" a="1"/>
  <c r="D40" i="11"/>
  <c r="E15" i="11"/>
  <c r="C45" i="11" a="1"/>
  <c r="D54" i="11"/>
  <c r="C13" i="11" a="1"/>
  <c r="C57" i="11" a="1"/>
  <c r="E20" i="11"/>
  <c r="G29" i="11"/>
  <c r="F18" i="11"/>
  <c r="F45" i="11"/>
  <c r="E18" i="11"/>
  <c r="C32" i="11" a="1"/>
  <c r="D16" i="11"/>
  <c r="F40" i="11"/>
  <c r="E17" i="11"/>
  <c r="D44" i="11"/>
  <c r="E26" i="11"/>
  <c r="G53" i="11"/>
  <c r="D19" i="11"/>
  <c r="F34" i="11"/>
  <c r="C40" i="11" a="1"/>
  <c r="D36" i="11"/>
  <c r="C47" i="11" a="1"/>
  <c r="F22" i="11"/>
  <c r="G31" i="11"/>
  <c r="E47" i="11"/>
  <c r="C27" i="11" a="1"/>
  <c r="F38" i="11"/>
  <c r="C43" i="11" a="1"/>
  <c r="E5" i="11"/>
  <c r="C6" i="11" a="1"/>
  <c r="C46" i="11" a="1"/>
  <c r="G20" i="11"/>
  <c r="E33" i="11"/>
  <c r="C49" i="11" a="1"/>
  <c r="F55" i="11"/>
  <c r="C39" i="11" a="1"/>
  <c r="D20" i="11"/>
  <c r="E55" i="11"/>
  <c r="F57" i="11"/>
  <c r="C31" i="11" a="1"/>
  <c r="F47" i="11"/>
  <c r="F17" i="11"/>
  <c r="E23" i="11"/>
  <c r="G43" i="11"/>
  <c r="F37" i="11"/>
  <c r="F44" i="11"/>
  <c r="C7" i="11" a="1"/>
  <c r="E44" i="11"/>
  <c r="D23" i="11"/>
  <c r="C17" i="11" a="1"/>
  <c r="E22" i="11"/>
  <c r="D47" i="11"/>
  <c r="C44" i="11" a="1"/>
  <c r="D45" i="11"/>
  <c r="D30" i="11"/>
  <c r="G35" i="11"/>
  <c r="G5" i="11"/>
  <c r="D5" i="11"/>
  <c r="C34" i="11" a="1"/>
  <c r="C56" i="11" a="1"/>
  <c r="F43" i="11"/>
  <c r="F42" i="11"/>
  <c r="E36" i="11"/>
  <c r="F16" i="11"/>
  <c r="D17" i="11"/>
  <c r="D27" i="11"/>
  <c r="E16" i="11"/>
  <c r="C11" i="11" a="1"/>
  <c r="G50" i="11"/>
  <c r="G33" i="11"/>
  <c r="E28" i="11"/>
  <c r="D25" i="11"/>
  <c r="C26" i="11" a="1"/>
  <c r="G39" i="11"/>
  <c r="E49" i="11"/>
  <c r="E29" i="11"/>
  <c r="F25" i="11"/>
  <c r="G15" i="11"/>
  <c r="F24" i="11"/>
  <c r="F5" i="11"/>
  <c r="F35" i="11"/>
  <c r="G22" i="11"/>
  <c r="D33" i="11"/>
  <c r="D37" i="11"/>
  <c r="G47" i="11"/>
  <c r="F30" i="11"/>
  <c r="C50" i="11" a="1"/>
  <c r="C25" i="11" a="1"/>
  <c r="G30" i="11"/>
  <c r="E46" i="11"/>
  <c r="D57" i="11"/>
  <c r="E51" i="11"/>
  <c r="C35" i="11" a="1"/>
  <c r="D28" i="11"/>
  <c r="E32" i="11"/>
  <c r="E14" i="11"/>
  <c r="G25" i="11"/>
  <c r="E19" i="11"/>
  <c r="D24" i="11"/>
  <c r="D51" i="11"/>
  <c r="E38" i="11"/>
  <c r="F23" i="11"/>
  <c r="F21" i="11"/>
  <c r="C19" i="11" a="1"/>
  <c r="G16" i="11"/>
  <c r="G28" i="11"/>
  <c r="G32" i="11"/>
  <c r="D55" i="11"/>
  <c r="C36" i="11" a="1"/>
  <c r="C53" i="11" a="1"/>
  <c r="E45" i="11"/>
  <c r="G51" i="11"/>
  <c r="E50" i="11"/>
  <c r="E25" i="11"/>
  <c r="D56" i="11"/>
  <c r="E31" i="11"/>
  <c r="E30" i="11"/>
  <c r="G49" i="11"/>
  <c r="D52" i="11"/>
  <c r="D43" i="11"/>
  <c r="C21" i="11" a="1"/>
  <c r="C20" i="11" a="1"/>
  <c r="F26" i="11"/>
  <c r="C41" i="11" a="1"/>
  <c r="D46" i="11"/>
  <c r="C42" i="11" a="1"/>
  <c r="G36" i="11"/>
  <c r="E43" i="11"/>
  <c r="G48" i="11"/>
  <c r="G19" i="11"/>
  <c r="G57" i="11"/>
  <c r="D39" i="11"/>
  <c r="D22" i="11"/>
  <c r="G34" i="11"/>
  <c r="F15" i="11"/>
  <c r="D18" i="11"/>
  <c r="G21" i="11"/>
  <c r="F29" i="11"/>
  <c r="C55" i="11" a="1"/>
  <c r="C8" i="11" a="1"/>
  <c r="D26" i="11"/>
  <c r="F28" i="11"/>
  <c r="D50" i="11"/>
  <c r="E48" i="11"/>
  <c r="G44" i="11"/>
  <c r="F50" i="11"/>
  <c r="C10" i="11" a="1"/>
  <c r="G40" i="11"/>
  <c r="C29" i="11" a="1"/>
  <c r="G41" i="11"/>
  <c r="G17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8" i="11"/>
  <c r="G12" i="11"/>
  <c r="G9" i="11"/>
  <c r="D10" i="11"/>
  <c r="E13" i="11"/>
  <c r="E8" i="11"/>
  <c r="F12" i="11"/>
  <c r="F9" i="11"/>
  <c r="D11" i="11"/>
  <c r="E11" i="11"/>
  <c r="F10" i="11"/>
  <c r="D12" i="11"/>
  <c r="E12" i="11"/>
  <c r="D13" i="11"/>
  <c r="E9" i="11"/>
  <c r="F13" i="11"/>
  <c r="D9" i="11"/>
  <c r="G10" i="11"/>
  <c r="G8" i="11"/>
  <c r="G13" i="11"/>
  <c r="F11" i="11"/>
  <c r="G11" i="11"/>
  <c r="E10" i="11"/>
  <c r="D8" i="11"/>
  <c r="E13" i="7" l="1"/>
  <c r="E18" i="7"/>
  <c r="E15" i="7"/>
  <c r="E8" i="7"/>
  <c r="D8" i="7"/>
  <c r="G7" i="11"/>
  <c r="E7" i="11"/>
  <c r="D7" i="11"/>
  <c r="F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17" i="7"/>
  <c r="E16" i="7"/>
  <c r="B10" i="8" l="1"/>
  <c r="C9" i="8"/>
  <c r="A8" i="1"/>
  <c r="B8" i="1" s="1"/>
  <c r="D13" i="7"/>
  <c r="D11" i="7"/>
  <c r="D16" i="7"/>
  <c r="D17" i="7"/>
  <c r="D15" i="7"/>
  <c r="D18" i="7"/>
  <c r="D14" i="7"/>
  <c r="D12" i="7"/>
  <c r="D3" i="7"/>
  <c r="D10" i="7"/>
  <c r="D9" i="7"/>
  <c r="D7" i="7"/>
  <c r="D6" i="7"/>
  <c r="D5" i="7"/>
  <c r="D4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6" i="7"/>
  <c r="E7" i="7"/>
  <c r="E14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12" i="7"/>
  <c r="E10" i="7"/>
  <c r="E9" i="7"/>
  <c r="E5" i="7"/>
  <c r="E4" i="7"/>
  <c r="E11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<sst xmlns="http://schemas.openxmlformats.org/spreadsheetml/2006/main" count="5222" uniqueCount="325">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</sst>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9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4" borderId="0" xfId="0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 wrapText="1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5, 2026 to Oct 11,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0.83299999999999996</c:v>
                </c:pt>
                <c:pt idx="1">
                  <c:v>2</c:v>
                </c:pt>
                <c:pt idx="2">
                  <c:v>0.33333333333333331</c:v>
                </c:pt>
                <c:pt idx="3">
                  <c:v>0</c:v>
                </c:pt>
                <c:pt idx="4">
                  <c:v>0.33333333333333331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07" headerRowBorderDxfId="106" tableBorderDxfId="105" totalsRowBorderDxfId="104">
  <autoFilter ref="B4:K7" xr:uid="{A0D32330-27B6-422A-9D1F-1FC5BAE5E4DB}"/>
  <tableColumns count="10">
    <tableColumn id="1" xr3:uid="{19F98066-679F-4EEC-9A8C-22860A587D58}" name="Language" dataDxfId="103"/>
    <tableColumn id="2" xr3:uid="{9BE73F99-3CBD-49DC-86AA-136DA5596E56}" name="Current Level" dataDxfId="102"/>
    <tableColumn id="3" xr3:uid="{D1CA6F26-E592-4F65-8835-ED17E93DB151}" name="Objective" dataDxfId="101"/>
    <tableColumn id="4" xr3:uid="{F859D955-4AE2-43E1-84D7-DDB739CAE75B}" name="Daily Intensity [h]" dataDxfId="100"/>
    <tableColumn id="5" xr3:uid="{D6D3DADB-90B1-49DA-9D0F-69E54089656D}" name="Estimated Time (Best) [months]" dataDxfId="99" dataCellStyle="Good"/>
    <tableColumn id="6" xr3:uid="{7BF26971-99B7-4341-9936-055654ADE3C7}" name="Estimated Time (Expected) [months]" dataDxfId="98" dataCellStyle="Good"/>
    <tableColumn id="7" xr3:uid="{2E85D0AD-3119-4874-89FE-74923BCA0E5B}" name="Actual Average Daily Intensity [h]" dataDxfId="97" dataCellStyle="Good"/>
    <tableColumn id="8" xr3:uid="{2E862DF0-5B48-469F-9CE4-BDBEF11C9796}" name="Actual Weekly Intensity [h]" dataDxfId="96" dataCellStyle="Good"/>
    <tableColumn id="9" xr3:uid="{E007EA51-E3B8-4B5E-B04D-776D525232C7}" name="Termination Date (Best)" dataDxfId="95" dataCellStyle="Good">
      <calculatedColumnFormula>EDATE(Logbook!#REF!,'Detailed Planning'!F5)</calculatedColumnFormula>
    </tableColumn>
    <tableColumn id="10" xr3:uid="{71F0CAF6-D6C3-43DE-A41C-85D4DA3C78E2}" name="Termination Date (Expected)" dataDxfId="94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3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0" dataDxfId="89">
  <autoFilter ref="A1:L368" xr:uid="{B8EDE20C-CB7F-4EF3-B4C7-DEE7F6A4F11C}"/>
  <tableColumns count="12">
    <tableColumn id="1" xr3:uid="{AC74041C-0D51-466A-8989-E76B8DEFD438}" name="Date" dataDxfId="88"/>
    <tableColumn id="2" xr3:uid="{0AD3397B-F72F-4A30-A7C9-1258DE821AD0}" name="Day" dataDxfId="87">
      <calculatedColumnFormula>CHOOSE(WEEKDAY(A2,2),"Monday","Tuesday","Wednesday","Thursday","Friday","Saturday","Sunday")</calculatedColumnFormula>
    </tableColumn>
    <tableColumn id="3" xr3:uid="{5962303B-7BAF-451A-AFDE-BEBC012C72A8}" name="Gym Training" dataDxfId="86"/>
    <tableColumn id="4" xr3:uid="{24CAEC62-68E5-4280-AAAB-EE68058C65AC}" name="Deutsch Lernen" dataDxfId="85"/>
    <tableColumn id="5" xr3:uid="{29713649-9C40-4A41-AA9B-38F1D74948C1}" name="Deutsch Flashcards (20 min)" dataDxfId="84"/>
    <tableColumn id="6" xr3:uid="{37486B5C-4C23-43D9-8735-09EB742C21A8}" name="Tasks" dataDxfId="83"/>
    <tableColumn id="7" xr3:uid="{3034ABE1-AAEC-417D-AA07-BA607F90D21A}" name="Career Development" dataDxfId="82"/>
    <tableColumn id="8" xr3:uid="{B60BDB65-58C4-4074-A625-D7DC35E6DEB0}" name="Calisthenics" dataDxfId="81"/>
    <tableColumn id="9" xr3:uid="{E419CAC6-0EDA-4339-9D8B-745FCBCD1397}" name="Kung Fu Training" dataDxfId="80"/>
    <tableColumn id="10" xr3:uid="{CC58E3C5-5764-4B28-A387-5DAB2E7CE225}" name="Guitar Practice" dataDxfId="79"/>
    <tableColumn id="11" xr3:uid="{C6972EC0-9D21-4990-9D11-F65D73DE82EF}" name="No Scrolling" dataDxfId="78"/>
    <tableColumn id="12" xr3:uid="{16D58CC7-4101-4A5E-9AB5-2C4C10C8DB88}" name="No Videogames" dataDxfId="7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76" dataDxfId="75" tableBorderDxfId="74">
  <autoFilter ref="C2:N10" xr:uid="{7362C473-E08F-4975-BA6B-A1DBE7616197}"/>
  <tableColumns count="12">
    <tableColumn id="1" xr3:uid="{F9B0BAAF-006E-476C-B218-FD4598D0501D}" name="Activity" dataDxfId="73"/>
    <tableColumn id="2" xr3:uid="{660ADDE9-88BA-4530-B394-7F5384C7B677}" name="Count" dataDxfId="72"/>
    <tableColumn id="3" xr3:uid="{C0DC861A-3B3F-4C70-9AE6-F67AA6D3D0C6}" name="Monday" dataDxfId="71"/>
    <tableColumn id="4" xr3:uid="{DA5B8548-6DD9-445D-9722-197202CA6AD9}" name="Tuesday" dataDxfId="70"/>
    <tableColumn id="5" xr3:uid="{3722C7D1-49D8-4742-B0CD-BF746C712E01}" name="Wednesday" dataDxfId="69"/>
    <tableColumn id="6" xr3:uid="{2387A70D-C48D-4A82-9C54-7259B7D6C857}" name="Thursday" dataDxfId="68"/>
    <tableColumn id="7" xr3:uid="{FA6FA3AE-EA62-41B3-8671-2919F7110155}" name="Friday" dataDxfId="67"/>
    <tableColumn id="8" xr3:uid="{326131E1-9AFE-4C5F-8C82-58C6BAA02C46}" name="Saturday" dataDxfId="66"/>
    <tableColumn id="9" xr3:uid="{7B473873-766C-48EF-AB58-9EC3902C799C}" name="Sunday" dataDxfId="65"/>
    <tableColumn id="10" xr3:uid="{4E7596FA-D42A-4A12-B855-35E0C1EF8F08}" name="Weekly Hours" dataDxfId="64"/>
    <tableColumn id="11" xr3:uid="{EB378DAD-B8B8-4DD9-B8E2-5A8C60B22432}" name="Week Start" dataDxfId="63">
      <calculatedColumnFormula>TODAY()-WEEKDAY(TODAY(),2)+1</calculatedColumnFormula>
    </tableColumn>
    <tableColumn id="12" xr3:uid="{06B03854-E6C1-4AA5-A148-1ED7A029477F}" name="Week End" dataDxfId="62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113" dataDxfId="112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111"/>
    <tableColumn id="2" xr3:uid="{01AABBA1-86AF-4CDD-8059-B6B90931FA25}" name="Frequency" dataDxfId="110"/>
    <tableColumn id="4" xr3:uid="{7E9972C0-1274-4C43-9D4F-294C74FAC42E}" name="Previous Check" dataDxfId="109"/>
    <tableColumn id="3" xr3:uid="{FF1D2EE6-735A-4AB4-9038-F2B4580252C7}" name="Next Check" dataDxfId="108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6" totalsRowShown="0" headerRowDxfId="61" dataDxfId="60">
  <autoFilter ref="B1:G26" xr:uid="{6D30F8FA-BB4E-4693-A0C5-CD0454701FBA}"/>
  <sortState xmlns:xlrd2="http://schemas.microsoft.com/office/spreadsheetml/2017/richdata2" ref="B2:G26">
    <sortCondition descending="1" ref="F1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2" t="s">
        <v>247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ht="22.2" customHeight="1" x14ac:dyDescent="0.3">
      <c r="A2" s="193" t="s">
        <v>248</v>
      </c>
      <c r="B2" s="193"/>
      <c r="C2" s="193"/>
      <c r="D2" s="193"/>
      <c r="E2" s="193"/>
      <c r="F2" s="193"/>
      <c r="G2" s="193"/>
      <c r="H2" s="193"/>
      <c r="I2" s="193"/>
      <c r="J2" s="193"/>
    </row>
    <row r="4" spans="1:10" ht="24" customHeight="1" x14ac:dyDescent="0.3">
      <c r="A4" s="194" t="s">
        <v>249</v>
      </c>
      <c r="B4" s="194"/>
      <c r="C4" s="194"/>
      <c r="D4" s="194"/>
      <c r="E4" s="194"/>
      <c r="F4" s="194"/>
      <c r="G4" s="194"/>
      <c r="H4" s="194"/>
      <c r="I4" s="194"/>
      <c r="J4" s="194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5"/>
      <c r="B21" s="195"/>
      <c r="C21" s="195"/>
      <c r="D21" s="195"/>
      <c r="E21" s="195"/>
      <c r="F21" s="195"/>
      <c r="G21" s="195"/>
      <c r="H21" s="195"/>
      <c r="I21" s="195"/>
      <c r="J21" s="195"/>
    </row>
    <row r="22" spans="1:10" ht="21" customHeight="1" x14ac:dyDescent="0.3">
      <c r="A22" s="195"/>
      <c r="B22" s="195"/>
      <c r="C22" s="195"/>
      <c r="D22" s="195"/>
      <c r="E22" s="195"/>
      <c r="F22" s="195"/>
      <c r="G22" s="195"/>
      <c r="H22" s="195"/>
      <c r="I22" s="195"/>
      <c r="J22" s="19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6" t="s">
        <v>64</v>
      </c>
      <c r="C2" s="197"/>
      <c r="D2" s="197"/>
      <c r="E2" s="197"/>
      <c r="F2" s="197"/>
      <c r="G2" s="197"/>
      <c r="H2" s="197"/>
      <c r="I2" s="197"/>
      <c r="J2" s="197"/>
      <c r="K2" s="197"/>
      <c r="L2" s="198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86" zoomScaleNormal="115" workbookViewId="0">
      <pane ySplit="1" topLeftCell="A40" activePane="bottomLeft" state="frozen"/>
      <selection pane="bottomLeft" activeCell="D71" sqref="D7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201" t="s">
        <v>155</v>
      </c>
      <c r="H10" s="201"/>
      <c r="I10" s="201"/>
    </row>
    <row r="11" spans="2:11" ht="15.6" x14ac:dyDescent="0.3">
      <c r="B11" s="199" t="s">
        <v>69</v>
      </c>
      <c r="C11" s="200"/>
      <c r="D11" s="200"/>
      <c r="E11" s="200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9" t="s">
        <v>79</v>
      </c>
      <c r="C16" s="200"/>
      <c r="D16" s="200"/>
      <c r="E16" s="200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9" t="s">
        <v>178</v>
      </c>
      <c r="C21" s="200"/>
      <c r="D21" s="200"/>
      <c r="E21" s="200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9" t="s">
        <v>196</v>
      </c>
      <c r="C25" s="200"/>
      <c r="D25" s="200"/>
      <c r="E25" s="200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304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305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306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9" t="s">
        <v>38</v>
      </c>
      <c r="C72" s="200"/>
      <c r="D72" s="200"/>
      <c r="E72" s="200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9" t="s">
        <v>83</v>
      </c>
      <c r="C79" s="200"/>
      <c r="D79" s="200"/>
      <c r="E79" s="200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202" t="s">
        <v>25</v>
      </c>
      <c r="K3" s="203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232</v>
      </c>
      <c r="J81" s="141" t="s">
        <v>231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91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1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0.83299999999999996</v>
      </c>
      <c r="M3" s="148">
        <f ca="1">TODAY()-WEEKDAY(TODAY(),2)+1</f>
        <v>46300</v>
      </c>
      <c r="N3" s="148">
        <f ca="1">TODAY()-WEEKDAY(TODAY(),2)+7</f>
        <v>46306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5, 2026 to Oct 11,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1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2</v>
      </c>
      <c r="M4" s="148">
        <f t="shared" ref="M4:M9" ca="1" si="0">TODAY()-WEEKDAY(TODAY(),2)+1</f>
        <v>46300</v>
      </c>
      <c r="N4" s="148">
        <f t="shared" ref="N4:N9" ca="1" si="1">TODAY()-WEEKDAY(TODAY(),2)+7</f>
        <v>46306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0.33333333333333331</v>
      </c>
      <c r="M5" s="148">
        <f t="shared" ca="1" si="0"/>
        <v>46300</v>
      </c>
      <c r="N5" s="148">
        <f t="shared" ca="1" si="1"/>
        <v>46306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46300</v>
      </c>
      <c r="N6" s="148">
        <f t="shared" ca="1" si="1"/>
        <v>46306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0.33333333333333331</v>
      </c>
      <c r="M7" s="148">
        <f t="shared" ca="1" si="0"/>
        <v>46300</v>
      </c>
      <c r="N7" s="148">
        <f t="shared" ca="1" si="1"/>
        <v>46306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2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46300</v>
      </c>
      <c r="N8" s="148">
        <f t="shared" ca="1" si="1"/>
        <v>46306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46300</v>
      </c>
      <c r="N9" s="148">
        <f t="shared" ca="1" si="1"/>
        <v>46306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6</v>
      </c>
      <c r="M10" s="170">
        <f ca="1">TODAY()-WEEKDAY(TODAY(),2)+1</f>
        <v>46300</v>
      </c>
      <c r="N10" s="170">
        <f ca="1">TODAY()-WEEKDAY(TODAY(),2)+7</f>
        <v>46306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tabSelected="1"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237</v>
      </c>
      <c r="C3" s="55" t="s">
        <v>141</v>
      </c>
      <c r="D3" s="56">
        <f ca="1">$B$1048562+_xlfn.CEILING.MATH((TODAY()-$B$1048562)/5, 1)*5-5</f>
        <v>46299</v>
      </c>
      <c r="E3" s="56">
        <f ca="1">$B$1048562+_xlfn.CEILING.MATH((TODAY()-$B$1048562)/5, 1)*5</f>
        <v>46304</v>
      </c>
    </row>
    <row r="4" spans="2:5" x14ac:dyDescent="0.3">
      <c r="B4" s="55" t="s">
        <v>128</v>
      </c>
      <c r="C4" s="55" t="s">
        <v>142</v>
      </c>
      <c r="D4" s="56">
        <f ca="1">TODAY()+MOD(6-WEEKDAY(TODAY(),2),7)-7</f>
        <v>46298</v>
      </c>
      <c r="E4" s="56">
        <f ca="1">TODAY()+MOD(6-WEEKDAY(TODAY(),2),7)</f>
        <v>46305</v>
      </c>
    </row>
    <row r="5" spans="2:5" x14ac:dyDescent="0.3">
      <c r="B5" s="55" t="s">
        <v>129</v>
      </c>
      <c r="C5" s="55" t="s">
        <v>142</v>
      </c>
      <c r="D5" s="56">
        <f ca="1">TODAY()+MOD(6-WEEKDAY(TODAY(),2),7)-7</f>
        <v>46298</v>
      </c>
      <c r="E5" s="56">
        <f ca="1">TODAY()+MOD(6-WEEKDAY(TODAY(),2),7)</f>
        <v>46305</v>
      </c>
    </row>
    <row r="6" spans="2:5" x14ac:dyDescent="0.3">
      <c r="B6" s="55" t="s">
        <v>130</v>
      </c>
      <c r="C6" s="55" t="s">
        <v>143</v>
      </c>
      <c r="D6" s="56">
        <f ca="1">$B$1048565+_xlfn.CEILING.MATH((TODAY()-$B$1048565)/14, 1)*14-14</f>
        <v>46291</v>
      </c>
      <c r="E6" s="56">
        <f ca="1">$B$1048565+_xlfn.CEILING.MATH((TODAY()-$B$1048565)/14, 1)*14</f>
        <v>46305</v>
      </c>
    </row>
    <row r="7" spans="2:5" x14ac:dyDescent="0.3">
      <c r="B7" s="55" t="s">
        <v>135</v>
      </c>
      <c r="C7" s="55" t="s">
        <v>143</v>
      </c>
      <c r="D7" s="56">
        <f ca="1">$B$1048569+_xlfn.CEILING.MATH((TODAY()-$B$1048569)/14, 1)*14-14</f>
        <v>46291</v>
      </c>
      <c r="E7" s="56">
        <f ca="1">$B$1048569+_xlfn.CEILING.MATH((TODAY()-$B$1048569)/14, 1)*14</f>
        <v>46305</v>
      </c>
    </row>
    <row r="8" spans="2:5" x14ac:dyDescent="0.3">
      <c r="B8" s="55" t="s">
        <v>235</v>
      </c>
      <c r="C8" s="55" t="s">
        <v>236</v>
      </c>
      <c r="D8" s="56">
        <f ca="1">IF(DAY(TODAY())&gt;10,
   DATE(YEAR(TODAY()),MONTH(TODAY()),10),
   DATE(YEAR(TODAY()),MONTH(TODAY())-1,10))</f>
        <v>46275</v>
      </c>
      <c r="E8" s="56">
        <f ca="1">IF(DAY(TODAY())&lt;=10,
   DATE(YEAR(TODAY()),MONTH(TODAY()),10),
   DATE(YEAR(TODAY()),MONTH(TODAY())+1,10))</f>
        <v>46305</v>
      </c>
    </row>
    <row r="9" spans="2:5" x14ac:dyDescent="0.3">
      <c r="B9" s="55" t="s">
        <v>145</v>
      </c>
      <c r="C9" s="55" t="s">
        <v>147</v>
      </c>
      <c r="D9" s="56">
        <f ca="1">TODAY()+MOD(7-WEEKDAY(TODAY(),2),7)-7</f>
        <v>46299</v>
      </c>
      <c r="E9" s="56">
        <f ca="1">TODAY()+MOD(7-WEEKDAY(TODAY(),2),7)</f>
        <v>46306</v>
      </c>
    </row>
    <row r="10" spans="2:5" x14ac:dyDescent="0.3">
      <c r="B10" s="55" t="s">
        <v>146</v>
      </c>
      <c r="C10" s="55" t="s">
        <v>147</v>
      </c>
      <c r="D10" s="56">
        <f ca="1">TODAY()+MOD(7-WEEKDAY(TODAY(),2),7)-7</f>
        <v>46299</v>
      </c>
      <c r="E10" s="56">
        <f ca="1">TODAY()+MOD(7-WEEKDAY(TODAY(),2),7)</f>
        <v>46306</v>
      </c>
    </row>
    <row r="11" spans="2:5" x14ac:dyDescent="0.3">
      <c r="B11" s="55" t="s">
        <v>238</v>
      </c>
      <c r="C11" s="55" t="s">
        <v>144</v>
      </c>
      <c r="D11" s="56">
        <f ca="1">IF(DAY(TODAY())&gt;15,
   DATE(YEAR(TODAY()),MONTH(TODAY()),15),
   DATE(YEAR(TODAY()),MONTH(TODAY())-1,15))</f>
        <v>46280</v>
      </c>
      <c r="E11" s="56">
        <f ca="1">IF(DAY(TODAY())&lt;=15,
   DATE(YEAR(TODAY()),MONTH(TODAY()),15),
   DATE(YEAR(TODAY()),MONTH(TODAY())+1,15))</f>
        <v>46310</v>
      </c>
    </row>
    <row r="12" spans="2:5" x14ac:dyDescent="0.3">
      <c r="B12" s="55" t="s">
        <v>250</v>
      </c>
      <c r="C12" s="55" t="s">
        <v>153</v>
      </c>
      <c r="D12" s="56">
        <f ca="1">$B$1048576+_xlfn.CEILING.MATH((TODAY()-$B$1048576)/21, 1)*21-21</f>
        <v>46295</v>
      </c>
      <c r="E12" s="56">
        <f ca="1">$B$1048576+_xlfn.CEILING.MATH((TODAY()-$B$1048576)/21, 1)*21</f>
        <v>46316</v>
      </c>
    </row>
    <row r="13" spans="2:5" x14ac:dyDescent="0.3">
      <c r="B13" s="55" t="s">
        <v>131</v>
      </c>
      <c r="C13" s="55" t="s">
        <v>192</v>
      </c>
      <c r="D13" s="56">
        <f ca="1">IF(DAY(TODAY())&gt;23,
   DATE(YEAR(TODAY()),MONTH(TODAY()),23),
   DATE(YEAR(TODAY()),MONTH(TODAY())-1,23))</f>
        <v>46288</v>
      </c>
      <c r="E13" s="56">
        <f ca="1">IF(DAY(TODAY())&lt;=23,
   DATE(YEAR(TODAY()),MONTH(TODAY()),23),
   DATE(YEAR(TODAY()),MONTH(TODAY())+1,23))</f>
        <v>46318</v>
      </c>
    </row>
    <row r="14" spans="2:5" x14ac:dyDescent="0.3">
      <c r="B14" s="55" t="s">
        <v>139</v>
      </c>
      <c r="C14" s="55" t="s">
        <v>154</v>
      </c>
      <c r="D14" s="56">
        <f ca="1">$B$1048571+_xlfn.CEILING.MATH((TODAY()-$B$1048571)/28, 1)*28-28</f>
        <v>46293</v>
      </c>
      <c r="E14" s="56">
        <f ca="1">$B$1048571+_xlfn.CEILING.MATH((TODAY()-$B$1048571)/28, 1)*28</f>
        <v>46321</v>
      </c>
    </row>
    <row r="15" spans="2:5" x14ac:dyDescent="0.3">
      <c r="B15" s="55" t="s">
        <v>136</v>
      </c>
      <c r="C15" s="55" t="s">
        <v>152</v>
      </c>
      <c r="D15" s="56">
        <f ca="1">$B$1048570+_xlfn.CEILING.MATH((TODAY()-$B$1048570)/40, 1)*40-40</f>
        <v>46287</v>
      </c>
      <c r="E15" s="56">
        <f ca="1">$B$1048570+_xlfn.CEILING.MATH((TODAY()-$B$1048570)/40, 1)*40</f>
        <v>46327</v>
      </c>
    </row>
    <row r="16" spans="2:5" x14ac:dyDescent="0.3">
      <c r="B16" s="55" t="s">
        <v>324</v>
      </c>
      <c r="C16" s="55" t="s">
        <v>190</v>
      </c>
      <c r="D16" s="56">
        <f ca="1">IF(DAY(TODAY())&gt;5,
   DATE(YEAR(TODAY()),MONTH(TODAY()),5),
   DATE(YEAR(TODAY()),MONTH(TODAY())-1,5))</f>
        <v>46300</v>
      </c>
      <c r="E16" s="56">
        <f ca="1">IF(DAY(TODAY())&lt;=5,
   DATE(YEAR(TODAY()),MONTH(TODAY()),5),
   DATE(YEAR(TODAY()),MONTH(TODAY())+1,5))</f>
        <v>46331</v>
      </c>
    </row>
    <row r="17" spans="2:5" x14ac:dyDescent="0.3">
      <c r="B17" s="55" t="s">
        <v>149</v>
      </c>
      <c r="C17" s="55" t="s">
        <v>190</v>
      </c>
      <c r="D17" s="56">
        <f ca="1">IF(DAY(TODAY())&gt;5,
   DATE(YEAR(TODAY()),MONTH(TODAY()),5),
   DATE(YEAR(TODAY()),MONTH(TODAY())-1,5))</f>
        <v>46300</v>
      </c>
      <c r="E17" s="56">
        <f ca="1">IF(DAY(TODAY())&lt;=5,
   DATE(YEAR(TODAY()),MONTH(TODAY()),5),
   DATE(YEAR(TODAY()),MONTH(TODAY())+1,5))</f>
        <v>46331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6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6" ca="1" si="0">C2 + MAX(0, (30-_xlfn.DAYS(D2, TODAY()))) + (10-E2)</f>
        <v>118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118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117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114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111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110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109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108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108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108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103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103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103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101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101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101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95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95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88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87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87</v>
      </c>
      <c r="G22" s="64"/>
    </row>
    <row r="23" spans="2:7" x14ac:dyDescent="0.3">
      <c r="B23" s="55" t="s">
        <v>321</v>
      </c>
      <c r="C23" s="55">
        <v>5</v>
      </c>
      <c r="D23" s="56">
        <v>46300</v>
      </c>
      <c r="E23" s="55">
        <v>0</v>
      </c>
      <c r="F23" s="55">
        <f t="shared" ca="1" si="0"/>
        <v>48</v>
      </c>
      <c r="G23" s="64"/>
    </row>
    <row r="24" spans="2:7" x14ac:dyDescent="0.3">
      <c r="B24" s="189" t="s">
        <v>315</v>
      </c>
      <c r="C24" s="189">
        <v>5</v>
      </c>
      <c r="D24" s="190">
        <v>46300</v>
      </c>
      <c r="E24" s="189">
        <v>5</v>
      </c>
      <c r="F24" s="189">
        <f t="shared" ca="1" si="0"/>
        <v>43</v>
      </c>
      <c r="G24" s="191" t="s">
        <v>314</v>
      </c>
    </row>
    <row r="25" spans="2:7" x14ac:dyDescent="0.3">
      <c r="B25" s="188" t="s">
        <v>296</v>
      </c>
      <c r="C25" s="55">
        <v>5</v>
      </c>
      <c r="D25" s="56">
        <v>46314</v>
      </c>
      <c r="E25" s="55">
        <v>0</v>
      </c>
      <c r="F25" s="55">
        <f t="shared" ca="1" si="0"/>
        <v>34</v>
      </c>
      <c r="G25" s="64" t="s">
        <v>297</v>
      </c>
    </row>
    <row r="26" spans="2:7" x14ac:dyDescent="0.3">
      <c r="B26" s="55" t="s">
        <v>322</v>
      </c>
      <c r="C26" s="55">
        <v>3</v>
      </c>
      <c r="D26" s="56">
        <v>46357</v>
      </c>
      <c r="E26" s="55">
        <v>0</v>
      </c>
      <c r="F26" s="55">
        <f t="shared" ca="1" si="0"/>
        <v>13</v>
      </c>
      <c r="G26" s="64" t="s">
        <v>323</v>
      </c>
    </row>
  </sheetData>
  <conditionalFormatting sqref="F2:G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204"/>
      <c r="BU2" s="204"/>
      <c r="BV2" s="204"/>
      <c r="BW2" s="204"/>
      <c r="BX2" s="204"/>
      <c r="BY2" s="204"/>
      <c r="BZ2" s="204"/>
      <c r="CA2" s="204"/>
      <c r="CB2" s="204"/>
      <c r="CC2" s="204"/>
      <c r="CD2" s="204"/>
      <c r="CE2" s="204"/>
      <c r="CF2" s="204"/>
      <c r="CG2" s="204"/>
      <c r="CH2" s="204"/>
      <c r="CI2" s="204"/>
      <c r="CJ2" s="204"/>
      <c r="CK2" s="204"/>
      <c r="CL2" s="204"/>
      <c r="CM2" s="204"/>
      <c r="CN2" s="204"/>
      <c r="CO2" s="204"/>
      <c r="CP2" s="204"/>
      <c r="CQ2" s="204"/>
      <c r="CR2" s="204"/>
      <c r="CS2" s="204"/>
      <c r="CT2" s="204"/>
      <c r="CU2" s="204"/>
      <c r="CV2" s="204"/>
      <c r="CW2" s="204"/>
      <c r="CX2" s="204"/>
      <c r="CY2" s="204"/>
      <c r="CZ2" s="204"/>
      <c r="DA2" s="204"/>
      <c r="DB2" s="204"/>
      <c r="DC2" s="204"/>
      <c r="DD2" s="204"/>
      <c r="DE2" s="204"/>
      <c r="DF2" s="204"/>
      <c r="DG2" s="204"/>
      <c r="DH2" s="204"/>
      <c r="DI2" s="204"/>
      <c r="DJ2" s="204"/>
      <c r="DK2" s="204"/>
      <c r="DL2" s="204"/>
      <c r="DM2" s="204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4"/>
      <c r="GA2" s="204"/>
      <c r="GB2" s="204"/>
      <c r="GC2" s="204"/>
      <c r="GD2" s="204"/>
      <c r="GE2" s="204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6" t="s">
        <v>202</v>
      </c>
      <c r="E4" s="205"/>
      <c r="F4" s="205"/>
      <c r="G4" s="205"/>
      <c r="H4" s="205"/>
      <c r="I4" s="205" t="s">
        <v>203</v>
      </c>
      <c r="J4" s="205"/>
      <c r="K4" s="205"/>
      <c r="L4" s="205"/>
      <c r="M4" s="205"/>
      <c r="N4" s="205" t="s">
        <v>204</v>
      </c>
      <c r="O4" s="205"/>
      <c r="P4" s="205"/>
      <c r="Q4" s="205"/>
      <c r="R4" s="205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7" t="s">
        <v>201</v>
      </c>
      <c r="D3" s="207"/>
      <c r="E3" s="207"/>
      <c r="F3" s="207"/>
      <c r="G3" s="207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8" t="s">
        <v>13</v>
      </c>
      <c r="C2" s="208"/>
      <c r="D2" s="208"/>
      <c r="F2" s="208" t="s">
        <v>14</v>
      </c>
      <c r="G2" s="208"/>
      <c r="H2" s="208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2026-10-08T13:11:45Z</dcterms:modified>
</cp:coreProperties>
</file>