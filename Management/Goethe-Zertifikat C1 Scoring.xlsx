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ciww-my.sharepoint.com/personal/daniel_lozanobarrero_aciworldwide_com/Documents/Documents/My-Notes/Management/"/>
    </mc:Choice>
  </mc:AlternateContent>
  <xr:revisionPtr revIDLastSave="311" documentId="11_F25DC773A252ABDACC104884B95956845ADE58ED" xr6:coauthVersionLast="47" xr6:coauthVersionMax="47" xr10:uidLastSave="{C29E7A0F-089F-4C4E-8B60-46238B0D3B77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1" l="1"/>
  <c r="P37" i="1"/>
  <c r="M37" i="1"/>
  <c r="P23" i="1"/>
  <c r="P24" i="1"/>
  <c r="P25" i="1"/>
  <c r="P26" i="1"/>
  <c r="P27" i="1"/>
  <c r="P28" i="1"/>
  <c r="P29" i="1"/>
  <c r="P30" i="1"/>
  <c r="P31" i="1"/>
  <c r="P32" i="1"/>
  <c r="P22" i="1"/>
  <c r="P38" i="1" s="1"/>
  <c r="H23" i="1"/>
  <c r="H38" i="1" s="1"/>
  <c r="H24" i="1"/>
  <c r="H25" i="1"/>
  <c r="H26" i="1"/>
  <c r="H27" i="1"/>
  <c r="H28" i="1"/>
  <c r="H29" i="1"/>
  <c r="H30" i="1"/>
  <c r="H31" i="1"/>
  <c r="H32" i="1"/>
  <c r="H22" i="1"/>
  <c r="S5" i="1" l="1"/>
  <c r="P5" i="1"/>
  <c r="M5" i="1"/>
  <c r="H15" i="1"/>
  <c r="H14" i="1"/>
  <c r="H13" i="1"/>
  <c r="H12" i="1"/>
  <c r="H11" i="1"/>
  <c r="H10" i="1"/>
  <c r="H9" i="1"/>
  <c r="H8" i="1"/>
  <c r="H7" i="1"/>
  <c r="H6" i="1"/>
  <c r="H37" i="1" s="1"/>
  <c r="H5" i="1"/>
  <c r="Q37" i="1"/>
  <c r="R37" i="1"/>
  <c r="E38" i="1"/>
  <c r="F38" i="1"/>
  <c r="G38" i="1"/>
  <c r="N38" i="1"/>
  <c r="O38" i="1"/>
  <c r="D38" i="1"/>
  <c r="E37" i="1"/>
  <c r="F37" i="1"/>
  <c r="G37" i="1"/>
  <c r="I37" i="1"/>
  <c r="J37" i="1"/>
  <c r="K37" i="1"/>
  <c r="L37" i="1"/>
  <c r="N37" i="1"/>
  <c r="O37" i="1"/>
  <c r="D37" i="1"/>
</calcChain>
</file>

<file path=xl/sharedStrings.xml><?xml version="1.0" encoding="utf-8"?>
<sst xmlns="http://schemas.openxmlformats.org/spreadsheetml/2006/main" count="35" uniqueCount="14">
  <si>
    <t>LESEN</t>
  </si>
  <si>
    <t>HÖREN</t>
  </si>
  <si>
    <t>SCHREIBEN</t>
  </si>
  <si>
    <t>SPRECHEN</t>
  </si>
  <si>
    <t>Teil 1</t>
  </si>
  <si>
    <t>Teil 2</t>
  </si>
  <si>
    <t>Teil 3</t>
  </si>
  <si>
    <t>Teil 4</t>
  </si>
  <si>
    <t>Max. Punkte</t>
  </si>
  <si>
    <t>16 (Aussprache)</t>
  </si>
  <si>
    <t>Dursch. Punktzahl</t>
  </si>
  <si>
    <t>Dursch. Zeit</t>
  </si>
  <si>
    <t>Vorges. Zeit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</si>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</sst>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[m]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indexed="64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indexed="64"/>
      </top>
      <bottom/>
      <diagonal/>
    </border>
    <border>
      <left style="dashed">
        <color auto="1"/>
      </left>
      <right style="medium">
        <color indexed="64"/>
      </right>
      <top/>
      <bottom style="dashed">
        <color indexed="64"/>
      </bottom>
      <diagonal/>
    </border>
    <border>
      <left style="dashed">
        <color auto="1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2" borderId="20" xfId="0" applyNumberFormat="1" applyFill="1" applyBorder="1" applyAlignment="1">
      <alignment horizontal="center" vertical="center"/>
    </xf>
    <xf numFmtId="168" fontId="0" fillId="2" borderId="18" xfId="0" applyNumberFormat="1" applyFill="1" applyBorder="1" applyAlignment="1">
      <alignment horizontal="center" vertical="center"/>
    </xf>
    <xf numFmtId="168" fontId="0" fillId="2" borderId="19" xfId="0" applyNumberFormat="1" applyFill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68" fontId="0" fillId="2" borderId="29" xfId="0" applyNumberFormat="1" applyFill="1" applyBorder="1" applyAlignment="1">
      <alignment horizontal="center" vertical="center"/>
    </xf>
    <xf numFmtId="168" fontId="1" fillId="2" borderId="19" xfId="0" applyNumberFormat="1" applyFon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8" fontId="0" fillId="0" borderId="36" xfId="0" applyNumberFormat="1" applyBorder="1" applyAlignment="1">
      <alignment horizontal="center" vertical="center"/>
    </xf>
    <xf numFmtId="168" fontId="0" fillId="0" borderId="21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68" fontId="0" fillId="0" borderId="15" xfId="0" applyNumberFormat="1" applyBorder="1" applyAlignment="1">
      <alignment horizontal="center" vertical="center"/>
    </xf>
    <xf numFmtId="168" fontId="0" fillId="0" borderId="32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8" fontId="0" fillId="2" borderId="17" xfId="0" applyNumberFormat="1" applyFill="1" applyBorder="1" applyAlignment="1">
      <alignment horizontal="center" vertical="center"/>
    </xf>
    <xf numFmtId="168" fontId="0" fillId="0" borderId="17" xfId="0" applyNumberFormat="1" applyBorder="1" applyAlignment="1">
      <alignment horizontal="center" vertical="center"/>
    </xf>
    <xf numFmtId="168" fontId="0" fillId="0" borderId="19" xfId="0" applyNumberFormat="1" applyBorder="1" applyAlignment="1">
      <alignment horizontal="center" vertical="center"/>
    </xf>
    <xf numFmtId="168" fontId="1" fillId="2" borderId="30" xfId="0" applyNumberFormat="1" applyFont="1" applyFill="1" applyBorder="1" applyAlignment="1">
      <alignment horizontal="center" vertical="center"/>
    </xf>
    <xf numFmtId="0" fontId="0" fillId="0" borderId="37" xfId="0" applyBorder="1"/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38" xfId="0" applyBorder="1"/>
    <xf numFmtId="0" fontId="0" fillId="0" borderId="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7" xfId="0" applyBorder="1"/>
    <xf numFmtId="0" fontId="0" fillId="0" borderId="46" xfId="0" applyBorder="1"/>
    <xf numFmtId="0" fontId="0" fillId="0" borderId="39" xfId="0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2" xfId="0" applyBorder="1"/>
    <xf numFmtId="164" fontId="0" fillId="0" borderId="38" xfId="0" applyNumberFormat="1" applyBorder="1" applyAlignment="1">
      <alignment horizontal="center" vertical="center"/>
    </xf>
    <xf numFmtId="0" fontId="0" fillId="0" borderId="51" xfId="0" applyBorder="1"/>
  </cellXfs>
  <cellStyles count="1">
    <cellStyle name="Normal" xfId="0" builtinId="0"/>
  </cellStyles>
  <dxfs count="24">
    <dxf>
      <font>
        <color rgb="FF9C0006"/>
      </font>
      <fill>
        <patternFill patternType="solid">
          <fgColor indexed="64"/>
          <bgColor rgb="FFF8696B"/>
        </patternFill>
      </fill>
    </dxf>
    <dxf>
      <font>
        <color rgb="FF006100"/>
      </font>
      <fill>
        <patternFill patternType="solid">
          <fgColor indexed="64"/>
          <bgColor rgb="FF63BE7B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ont>
        <color rgb="FF375623"/>
      </font>
      <fill>
        <patternFill patternType="solid">
          <fgColor indexed="64"/>
          <bgColor rgb="FFA9D18E"/>
        </patternFill>
      </fill>
    </dxf>
    <dxf>
      <font>
        <color rgb="FF7F6000"/>
      </font>
      <fill>
        <patternFill patternType="solid">
          <fgColor indexed="64"/>
          <bgColor rgb="FFFFEB84"/>
        </patternFill>
      </fill>
    </dxf>
    <dxf>
      <font>
        <color rgb="FF9C5700"/>
      </font>
      <fill>
        <patternFill patternType="solid">
          <fgColor indexed="64"/>
          <bgColor rgb="FFF4B183"/>
        </patternFill>
      </fill>
    </dxf>
    <dxf>
      <font>
        <color rgb="FF9C0006"/>
      </font>
      <fill>
        <patternFill patternType="solid">
          <fgColor indexed="64"/>
          <bgColor rgb="FFF8696B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ont>
        <color rgb="FF375623"/>
      </font>
      <fill>
        <patternFill patternType="solid">
          <fgColor indexed="64"/>
          <bgColor rgb="FFA9D18E"/>
        </patternFill>
      </fill>
    </dxf>
    <dxf>
      <font>
        <color rgb="FF7F6000"/>
      </font>
      <fill>
        <patternFill patternType="solid">
          <fgColor indexed="64"/>
          <bgColor rgb="FFFFEB84"/>
        </patternFill>
      </fill>
    </dxf>
    <dxf>
      <font>
        <color rgb="FF9C5700"/>
      </font>
      <fill>
        <patternFill patternType="solid">
          <fgColor indexed="64"/>
          <bgColor rgb="FFF4B183"/>
        </patternFill>
      </fill>
    </dxf>
    <dxf>
      <font>
        <color rgb="FF9C0006"/>
      </font>
      <fill>
        <patternFill patternType="solid">
          <fgColor indexed="64"/>
          <bgColor rgb="FFF8696B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ont>
        <color rgb="FF375623"/>
      </font>
      <fill>
        <patternFill patternType="solid">
          <fgColor indexed="64"/>
          <bgColor rgb="FFA9D18E"/>
        </patternFill>
      </fill>
    </dxf>
    <dxf>
      <font>
        <color rgb="FF7F6000"/>
      </font>
      <fill>
        <patternFill patternType="solid">
          <fgColor indexed="64"/>
          <bgColor rgb="FFFFEB84"/>
        </patternFill>
      </fill>
    </dxf>
    <dxf>
      <font>
        <color rgb="FF9C5700"/>
      </font>
      <fill>
        <patternFill patternType="solid">
          <fgColor indexed="64"/>
          <bgColor rgb="FFF4B183"/>
        </patternFill>
      </fill>
    </dxf>
    <dxf>
      <font>
        <color rgb="FF9C0006"/>
      </font>
      <fill>
        <patternFill patternType="solid">
          <fgColor indexed="64"/>
          <bgColor rgb="FFF8696B"/>
        </patternFill>
      </fill>
    </dxf>
    <dxf>
      <font>
        <color rgb="FFFFFFFF"/>
      </font>
      <fill>
        <patternFill patternType="solid">
          <fgColor indexed="64"/>
          <bgColor rgb="FF548235"/>
        </patternFill>
      </fill>
    </dxf>
    <dxf>
      <font>
        <color rgb="FF375623"/>
      </font>
      <fill>
        <patternFill patternType="solid">
          <fgColor indexed="64"/>
          <bgColor rgb="FFA9D18E"/>
        </patternFill>
      </fill>
    </dxf>
    <dxf>
      <font>
        <color rgb="FF7F6000"/>
      </font>
      <fill>
        <patternFill patternType="solid">
          <fgColor indexed="64"/>
          <bgColor rgb="FFFFEB84"/>
        </patternFill>
      </fill>
    </dxf>
    <dxf>
      <font>
        <color rgb="FF9C5700"/>
      </font>
      <fill>
        <patternFill patternType="solid">
          <fgColor indexed="64"/>
          <bgColor rgb="FFF4B183"/>
        </patternFill>
      </fill>
    </dxf>
    <dxf>
      <font>
        <color rgb="FF9C0006"/>
      </font>
      <fill>
        <patternFill patternType="solid">
          <fgColor indexed="64"/>
          <bgColor rgb="FFF8696B"/>
        </patternFill>
      </fill>
    </dxf>
    <dxf>
      <font>
        <color rgb="FF9C0006"/>
      </font>
      <fill>
        <patternFill patternType="solid">
          <fgColor indexed="64"/>
          <bgColor rgb="FFF8696B"/>
        </patternFill>
      </fill>
    </dxf>
    <dxf>
      <font>
        <color rgb="FF006100"/>
      </font>
      <fill>
        <patternFill patternType="solid">
          <fgColor indexed="64"/>
          <bgColor rgb="FF63BE7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T38"/>
  <sheetViews>
    <sheetView tabSelected="1" zoomScale="88" workbookViewId="0">
      <selection activeCell="G23" sqref="G23"/>
    </sheetView>
  </sheetViews>
  <sheetFormatPr defaultRowHeight="14.4" x14ac:dyDescent="0.3"/>
  <cols>
    <col min="3" max="3" width="16.33203125" bestFit="1" customWidth="1"/>
    <col min="4" max="4" width="12.6640625" style="78" bestFit="1" customWidth="1"/>
    <col min="5" max="7" width="12.6640625" bestFit="1" customWidth="1"/>
    <col min="8" max="8" width="12.6640625" style="93" customWidth="1"/>
    <col min="9" max="9" width="12.6640625" style="78" bestFit="1" customWidth="1"/>
    <col min="10" max="10" width="12.6640625" bestFit="1" customWidth="1"/>
    <col min="13" max="14" width="8.88671875" style="78"/>
    <col min="16" max="16" width="8.88671875" style="93"/>
    <col min="17" max="17" width="8.88671875" style="78"/>
    <col min="19" max="19" width="8.88671875" style="93"/>
    <col min="20" max="20" width="8.88671875" style="78"/>
  </cols>
  <sheetData>
    <row r="1" spans="3:20" x14ac:dyDescent="0.3">
      <c r="H1"/>
      <c r="M1"/>
      <c r="P1"/>
      <c r="S1"/>
    </row>
    <row r="2" spans="3:20" ht="15" thickBot="1" x14ac:dyDescent="0.35">
      <c r="D2" s="79"/>
      <c r="H2"/>
      <c r="M2"/>
      <c r="P2"/>
      <c r="S2"/>
    </row>
    <row r="3" spans="3:20" ht="15" thickBot="1" x14ac:dyDescent="0.35">
      <c r="D3" s="48" t="s">
        <v>0</v>
      </c>
      <c r="E3" s="49"/>
      <c r="F3" s="49"/>
      <c r="G3" s="49"/>
      <c r="H3" s="50"/>
      <c r="I3" s="48" t="s">
        <v>1</v>
      </c>
      <c r="J3" s="49"/>
      <c r="K3" s="49"/>
      <c r="L3" s="49"/>
      <c r="M3" s="50"/>
      <c r="N3" s="48" t="s">
        <v>2</v>
      </c>
      <c r="O3" s="49"/>
      <c r="P3" s="50"/>
      <c r="Q3" s="48" t="s">
        <v>3</v>
      </c>
      <c r="R3" s="49"/>
      <c r="S3" s="50"/>
      <c r="T3"/>
    </row>
    <row r="4" spans="3:20" ht="15" thickBot="1" x14ac:dyDescent="0.35">
      <c r="D4" s="4" t="s">
        <v>4</v>
      </c>
      <c r="E4" s="5" t="s">
        <v>5</v>
      </c>
      <c r="F4" s="5" t="s">
        <v>6</v>
      </c>
      <c r="G4" s="51" t="s">
        <v>7</v>
      </c>
      <c r="H4" s="16" t="s">
        <v>13</v>
      </c>
      <c r="I4" s="44" t="s">
        <v>4</v>
      </c>
      <c r="J4" s="5" t="s">
        <v>5</v>
      </c>
      <c r="K4" s="5" t="s">
        <v>6</v>
      </c>
      <c r="L4" s="6" t="s">
        <v>7</v>
      </c>
      <c r="M4" s="6" t="s">
        <v>13</v>
      </c>
      <c r="N4" s="4" t="s">
        <v>4</v>
      </c>
      <c r="O4" s="6" t="s">
        <v>5</v>
      </c>
      <c r="P4" s="6" t="s">
        <v>13</v>
      </c>
      <c r="Q4" s="4" t="s">
        <v>4</v>
      </c>
      <c r="R4" s="6" t="s">
        <v>5</v>
      </c>
      <c r="S4" s="16" t="s">
        <v>13</v>
      </c>
      <c r="T4"/>
    </row>
    <row r="5" spans="3:20" x14ac:dyDescent="0.3">
      <c r="C5" s="1">
        <v>1</v>
      </c>
      <c r="D5" s="7">
        <v>6</v>
      </c>
      <c r="E5" s="8">
        <v>6</v>
      </c>
      <c r="F5" s="8">
        <v>3</v>
      </c>
      <c r="G5" s="52">
        <v>7</v>
      </c>
      <c r="H5" s="55">
        <f>IF(COUNTBLANK(D5:G5)&gt;0,"",SUM(D5:G5))</f>
        <v>22</v>
      </c>
      <c r="I5" s="45">
        <v>5</v>
      </c>
      <c r="J5" s="8">
        <v>7</v>
      </c>
      <c r="K5" s="8">
        <v>8</v>
      </c>
      <c r="L5" s="9">
        <v>6</v>
      </c>
      <c r="M5" s="55">
        <f>IF(COUNTBLANK(I5:L5)&gt;0,"",SUM(I5:L5))</f>
        <v>26</v>
      </c>
      <c r="N5" s="7">
        <v>41</v>
      </c>
      <c r="O5" s="9">
        <v>27.5</v>
      </c>
      <c r="P5" s="55">
        <f>IF(COUNTBLANK(N5:O5)&gt;0,"",SUM(N5:O5))</f>
        <v>68.5</v>
      </c>
      <c r="Q5" s="7"/>
      <c r="R5" s="9"/>
      <c r="S5" s="55" t="str">
        <f>IF(COUNTBLANK(Q5:R5)&gt;0,"",SUM(Q5:R5))</f>
        <v/>
      </c>
      <c r="T5"/>
    </row>
    <row r="6" spans="3:20" x14ac:dyDescent="0.3">
      <c r="C6" s="2">
        <v>2</v>
      </c>
      <c r="D6" s="10">
        <v>5</v>
      </c>
      <c r="E6" s="11">
        <v>4</v>
      </c>
      <c r="F6" s="11">
        <v>3</v>
      </c>
      <c r="G6" s="53">
        <v>4</v>
      </c>
      <c r="H6" s="55">
        <f t="shared" ref="H6:H15" si="0">IF(COUNTBLANK(D6:G6)&gt;0,"",SUM(D6:G6))</f>
        <v>16</v>
      </c>
      <c r="I6" s="46"/>
      <c r="J6" s="11"/>
      <c r="K6" s="11"/>
      <c r="L6" s="12"/>
      <c r="M6" s="42"/>
      <c r="N6" s="10"/>
      <c r="O6" s="12"/>
      <c r="P6" s="42"/>
      <c r="Q6" s="10"/>
      <c r="R6" s="12"/>
      <c r="S6" s="56"/>
      <c r="T6"/>
    </row>
    <row r="7" spans="3:20" x14ac:dyDescent="0.3">
      <c r="C7" s="2">
        <v>3</v>
      </c>
      <c r="D7" s="10"/>
      <c r="E7" s="11"/>
      <c r="F7" s="11"/>
      <c r="G7" s="53"/>
      <c r="H7" s="55" t="str">
        <f t="shared" si="0"/>
        <v/>
      </c>
      <c r="I7" s="46"/>
      <c r="J7" s="11"/>
      <c r="K7" s="11"/>
      <c r="L7" s="12"/>
      <c r="M7" s="42"/>
      <c r="N7" s="10"/>
      <c r="O7" s="12"/>
      <c r="P7" s="42"/>
      <c r="Q7" s="10"/>
      <c r="R7" s="12"/>
      <c r="S7" s="56"/>
      <c r="T7"/>
    </row>
    <row r="8" spans="3:20" x14ac:dyDescent="0.3">
      <c r="C8" s="2">
        <v>4</v>
      </c>
      <c r="D8" s="10"/>
      <c r="E8" s="11"/>
      <c r="F8" s="11"/>
      <c r="G8" s="53"/>
      <c r="H8" s="55" t="str">
        <f t="shared" si="0"/>
        <v/>
      </c>
      <c r="I8" s="46"/>
      <c r="J8" s="11"/>
      <c r="K8" s="11"/>
      <c r="L8" s="12"/>
      <c r="M8" s="42"/>
      <c r="N8" s="10"/>
      <c r="O8" s="12"/>
      <c r="P8" s="42"/>
      <c r="Q8" s="10"/>
      <c r="R8" s="12"/>
      <c r="S8" s="56"/>
      <c r="T8"/>
    </row>
    <row r="9" spans="3:20" x14ac:dyDescent="0.3">
      <c r="C9" s="2">
        <v>5</v>
      </c>
      <c r="D9" s="10"/>
      <c r="E9" s="11"/>
      <c r="F9" s="11"/>
      <c r="G9" s="53"/>
      <c r="H9" s="55" t="str">
        <f t="shared" si="0"/>
        <v/>
      </c>
      <c r="I9" s="46"/>
      <c r="J9" s="11"/>
      <c r="K9" s="11"/>
      <c r="L9" s="12"/>
      <c r="M9" s="42"/>
      <c r="N9" s="10"/>
      <c r="O9" s="12"/>
      <c r="P9" s="42"/>
      <c r="Q9" s="10"/>
      <c r="R9" s="12"/>
      <c r="S9" s="56"/>
      <c r="T9"/>
    </row>
    <row r="10" spans="3:20" x14ac:dyDescent="0.3">
      <c r="C10" s="2">
        <v>6</v>
      </c>
      <c r="D10" s="10"/>
      <c r="E10" s="11"/>
      <c r="F10" s="11"/>
      <c r="G10" s="53"/>
      <c r="H10" s="55" t="str">
        <f t="shared" si="0"/>
        <v/>
      </c>
      <c r="I10" s="46"/>
      <c r="J10" s="11"/>
      <c r="K10" s="11"/>
      <c r="L10" s="12"/>
      <c r="M10" s="42"/>
      <c r="N10" s="10"/>
      <c r="O10" s="12"/>
      <c r="P10" s="42"/>
      <c r="Q10" s="10"/>
      <c r="R10" s="12"/>
      <c r="S10" s="56"/>
      <c r="T10"/>
    </row>
    <row r="11" spans="3:20" x14ac:dyDescent="0.3">
      <c r="C11" s="2">
        <v>7</v>
      </c>
      <c r="D11" s="10"/>
      <c r="E11" s="11"/>
      <c r="F11" s="11"/>
      <c r="G11" s="53"/>
      <c r="H11" s="55" t="str">
        <f t="shared" si="0"/>
        <v/>
      </c>
      <c r="I11" s="46"/>
      <c r="J11" s="11"/>
      <c r="K11" s="11"/>
      <c r="L11" s="12"/>
      <c r="M11" s="42"/>
      <c r="N11" s="10"/>
      <c r="O11" s="12"/>
      <c r="P11" s="42"/>
      <c r="Q11" s="10"/>
      <c r="R11" s="12"/>
      <c r="S11" s="56"/>
      <c r="T11"/>
    </row>
    <row r="12" spans="3:20" x14ac:dyDescent="0.3">
      <c r="C12" s="2">
        <v>8</v>
      </c>
      <c r="D12" s="10"/>
      <c r="E12" s="11"/>
      <c r="F12" s="11"/>
      <c r="G12" s="53"/>
      <c r="H12" s="55" t="str">
        <f t="shared" si="0"/>
        <v/>
      </c>
      <c r="I12" s="46"/>
      <c r="J12" s="11"/>
      <c r="K12" s="11"/>
      <c r="L12" s="12"/>
      <c r="M12" s="42"/>
      <c r="N12" s="10"/>
      <c r="O12" s="12"/>
      <c r="P12" s="42"/>
      <c r="Q12" s="10"/>
      <c r="R12" s="12"/>
      <c r="S12" s="56"/>
      <c r="T12"/>
    </row>
    <row r="13" spans="3:20" x14ac:dyDescent="0.3">
      <c r="C13" s="2">
        <v>9</v>
      </c>
      <c r="D13" s="10"/>
      <c r="E13" s="11"/>
      <c r="F13" s="11"/>
      <c r="G13" s="53"/>
      <c r="H13" s="55" t="str">
        <f t="shared" si="0"/>
        <v/>
      </c>
      <c r="I13" s="46"/>
      <c r="J13" s="11"/>
      <c r="K13" s="11"/>
      <c r="L13" s="12"/>
      <c r="M13" s="42"/>
      <c r="N13" s="10"/>
      <c r="O13" s="12"/>
      <c r="P13" s="42"/>
      <c r="Q13" s="10"/>
      <c r="R13" s="12"/>
      <c r="S13" s="56"/>
      <c r="T13"/>
    </row>
    <row r="14" spans="3:20" x14ac:dyDescent="0.3">
      <c r="C14" s="2">
        <v>10</v>
      </c>
      <c r="D14" s="10"/>
      <c r="E14" s="11"/>
      <c r="F14" s="11"/>
      <c r="G14" s="53"/>
      <c r="H14" s="55" t="str">
        <f t="shared" si="0"/>
        <v/>
      </c>
      <c r="I14" s="46"/>
      <c r="J14" s="11"/>
      <c r="K14" s="11"/>
      <c r="L14" s="12"/>
      <c r="M14" s="42"/>
      <c r="N14" s="10"/>
      <c r="O14" s="12"/>
      <c r="P14" s="42"/>
      <c r="Q14" s="10"/>
      <c r="R14" s="12"/>
      <c r="S14" s="56"/>
      <c r="T14"/>
    </row>
    <row r="15" spans="3:20" ht="15" thickBot="1" x14ac:dyDescent="0.35">
      <c r="C15" s="3">
        <v>11</v>
      </c>
      <c r="D15" s="13"/>
      <c r="E15" s="14"/>
      <c r="F15" s="14"/>
      <c r="G15" s="54"/>
      <c r="H15" s="62" t="str">
        <f t="shared" si="0"/>
        <v/>
      </c>
      <c r="I15" s="47"/>
      <c r="J15" s="14"/>
      <c r="K15" s="14"/>
      <c r="L15" s="15"/>
      <c r="M15" s="43"/>
      <c r="N15" s="13"/>
      <c r="O15" s="15"/>
      <c r="P15" s="43"/>
      <c r="Q15" s="13"/>
      <c r="R15" s="15"/>
      <c r="S15" s="57"/>
      <c r="T15"/>
    </row>
    <row r="16" spans="3:20" ht="15" thickBot="1" x14ac:dyDescent="0.35">
      <c r="D16" s="76"/>
      <c r="H16" s="78"/>
      <c r="I16" s="76"/>
      <c r="N16" s="76"/>
      <c r="P16" s="78"/>
      <c r="S16" s="78"/>
    </row>
    <row r="17" spans="3:20" ht="15" thickBot="1" x14ac:dyDescent="0.35">
      <c r="C17" s="29" t="s">
        <v>8</v>
      </c>
      <c r="D17" s="24">
        <v>8</v>
      </c>
      <c r="E17" s="25">
        <v>7</v>
      </c>
      <c r="F17" s="25">
        <v>8</v>
      </c>
      <c r="G17" s="59">
        <v>7</v>
      </c>
      <c r="H17" s="23">
        <v>30</v>
      </c>
      <c r="I17" s="24">
        <v>6</v>
      </c>
      <c r="J17" s="25">
        <v>9</v>
      </c>
      <c r="K17" s="25">
        <v>8</v>
      </c>
      <c r="L17" s="59">
        <v>7</v>
      </c>
      <c r="M17" s="23">
        <v>30</v>
      </c>
      <c r="N17" s="24">
        <v>60</v>
      </c>
      <c r="O17" s="59">
        <v>40</v>
      </c>
      <c r="P17" s="23">
        <v>30</v>
      </c>
      <c r="Q17" s="24">
        <v>52</v>
      </c>
      <c r="R17" s="26">
        <v>32</v>
      </c>
      <c r="S17" s="58">
        <v>30</v>
      </c>
      <c r="T17"/>
    </row>
    <row r="18" spans="3:20" ht="15" thickBot="1" x14ac:dyDescent="0.35">
      <c r="C18" s="20"/>
      <c r="D18" s="77"/>
      <c r="E18" s="20"/>
      <c r="F18" s="20"/>
      <c r="G18" s="20"/>
      <c r="H18" s="89"/>
      <c r="I18" s="77"/>
      <c r="J18" s="20"/>
      <c r="K18" s="20"/>
      <c r="L18" s="20"/>
      <c r="M18" s="89"/>
      <c r="N18" s="77"/>
      <c r="O18" s="20"/>
      <c r="P18" s="89"/>
      <c r="Q18" s="27" t="s">
        <v>9</v>
      </c>
      <c r="R18" s="28"/>
      <c r="S18" s="81"/>
    </row>
    <row r="19" spans="3:20" ht="15" thickBot="1" x14ac:dyDescent="0.35">
      <c r="D19" s="79"/>
      <c r="H19" s="78"/>
      <c r="N19" s="79"/>
      <c r="P19" s="78"/>
      <c r="S19" s="78"/>
    </row>
    <row r="20" spans="3:20" ht="15" thickBot="1" x14ac:dyDescent="0.35">
      <c r="D20" s="48" t="s">
        <v>0</v>
      </c>
      <c r="E20" s="49"/>
      <c r="F20" s="49"/>
      <c r="G20" s="49"/>
      <c r="H20" s="50"/>
      <c r="I20" s="82"/>
      <c r="J20" s="83"/>
      <c r="K20" s="83"/>
      <c r="L20" s="83"/>
      <c r="M20" s="90"/>
      <c r="N20" s="48" t="s">
        <v>2</v>
      </c>
      <c r="O20" s="49"/>
      <c r="P20" s="50"/>
      <c r="Q20" s="83"/>
      <c r="R20" s="83"/>
      <c r="S20" s="92"/>
    </row>
    <row r="21" spans="3:20" ht="15" thickBot="1" x14ac:dyDescent="0.35">
      <c r="D21" s="4" t="s">
        <v>4</v>
      </c>
      <c r="E21" s="5" t="s">
        <v>5</v>
      </c>
      <c r="F21" s="5" t="s">
        <v>6</v>
      </c>
      <c r="G21" s="6" t="s">
        <v>7</v>
      </c>
      <c r="H21" s="16" t="s">
        <v>13</v>
      </c>
      <c r="I21" s="81"/>
      <c r="N21" s="4" t="s">
        <v>4</v>
      </c>
      <c r="O21" s="6" t="s">
        <v>5</v>
      </c>
      <c r="P21" s="16" t="s">
        <v>13</v>
      </c>
      <c r="Q21"/>
      <c r="S21" s="78"/>
    </row>
    <row r="22" spans="3:20" x14ac:dyDescent="0.3">
      <c r="C22" s="1">
        <v>1</v>
      </c>
      <c r="D22" s="30">
        <v>6.9444444444444441E-3</v>
      </c>
      <c r="E22" s="31">
        <v>1.3888888888888888E-2</v>
      </c>
      <c r="F22" s="31">
        <v>1.3888888888888888E-2</v>
      </c>
      <c r="G22" s="32">
        <v>1.0416666666666666E-2</v>
      </c>
      <c r="H22" s="63">
        <f>IF(COUNTBLANK(D22:G22)&gt;0,"",SUM(D22:G22))</f>
        <v>4.5138888888888888E-2</v>
      </c>
      <c r="I22" s="81"/>
      <c r="N22" s="30">
        <v>3.4722222222222224E-2</v>
      </c>
      <c r="O22" s="32">
        <v>1.7361111111111112E-2</v>
      </c>
      <c r="P22" s="63">
        <f>IF(COUNTBLANK(N22:O22)&gt;0,"",SUM(N22:O22))</f>
        <v>5.2083333333333336E-2</v>
      </c>
      <c r="Q22"/>
      <c r="S22" s="78"/>
    </row>
    <row r="23" spans="3:20" x14ac:dyDescent="0.3">
      <c r="C23" s="2">
        <v>2</v>
      </c>
      <c r="D23" s="33">
        <v>5.8333333333333336E-3</v>
      </c>
      <c r="E23" s="34">
        <v>1.1921296296296296E-2</v>
      </c>
      <c r="F23" s="34">
        <v>1.3888888888888888E-2</v>
      </c>
      <c r="G23" s="35">
        <v>9.6527777777777775E-3</v>
      </c>
      <c r="H23" s="63">
        <f t="shared" ref="H23:H32" si="1">IF(COUNTBLANK(D23:G23)&gt;0,"",SUM(D23:G23))</f>
        <v>4.1296296296296289E-2</v>
      </c>
      <c r="I23" s="81"/>
      <c r="N23" s="33"/>
      <c r="O23" s="35"/>
      <c r="P23" s="63" t="str">
        <f>IF(COUNTBLANK(N23:O23)&gt;0,"",SUM(N23:O23))</f>
        <v/>
      </c>
      <c r="Q23"/>
      <c r="S23" s="78"/>
    </row>
    <row r="24" spans="3:20" x14ac:dyDescent="0.3">
      <c r="C24" s="2">
        <v>3</v>
      </c>
      <c r="D24" s="33"/>
      <c r="E24" s="34"/>
      <c r="F24" s="34"/>
      <c r="G24" s="35"/>
      <c r="H24" s="63" t="str">
        <f t="shared" si="1"/>
        <v/>
      </c>
      <c r="I24" s="81"/>
      <c r="N24" s="33"/>
      <c r="O24" s="35"/>
      <c r="P24" s="63" t="str">
        <f t="shared" ref="P23:P32" si="2">IF(COUNTBLANK(N24:O24)&gt;0,"",SUM(N24:O24))</f>
        <v/>
      </c>
      <c r="Q24"/>
      <c r="S24" s="78"/>
    </row>
    <row r="25" spans="3:20" x14ac:dyDescent="0.3">
      <c r="C25" s="2">
        <v>4</v>
      </c>
      <c r="D25" s="33"/>
      <c r="E25" s="34"/>
      <c r="F25" s="34"/>
      <c r="G25" s="35"/>
      <c r="H25" s="63" t="str">
        <f t="shared" si="1"/>
        <v/>
      </c>
      <c r="I25" s="81"/>
      <c r="N25" s="33"/>
      <c r="O25" s="35"/>
      <c r="P25" s="63" t="str">
        <f t="shared" si="2"/>
        <v/>
      </c>
      <c r="Q25"/>
      <c r="S25" s="78"/>
    </row>
    <row r="26" spans="3:20" x14ac:dyDescent="0.3">
      <c r="C26" s="2">
        <v>5</v>
      </c>
      <c r="D26" s="33"/>
      <c r="E26" s="34"/>
      <c r="F26" s="34"/>
      <c r="G26" s="35"/>
      <c r="H26" s="63" t="str">
        <f t="shared" si="1"/>
        <v/>
      </c>
      <c r="I26" s="81"/>
      <c r="N26" s="33"/>
      <c r="O26" s="35"/>
      <c r="P26" s="63" t="str">
        <f t="shared" si="2"/>
        <v/>
      </c>
      <c r="Q26"/>
      <c r="S26" s="78"/>
    </row>
    <row r="27" spans="3:20" x14ac:dyDescent="0.3">
      <c r="C27" s="2">
        <v>6</v>
      </c>
      <c r="D27" s="33"/>
      <c r="E27" s="34"/>
      <c r="F27" s="34"/>
      <c r="G27" s="35"/>
      <c r="H27" s="63" t="str">
        <f t="shared" si="1"/>
        <v/>
      </c>
      <c r="I27" s="81"/>
      <c r="K27" s="81"/>
      <c r="L27" s="81"/>
      <c r="N27" s="33"/>
      <c r="O27" s="35"/>
      <c r="P27" s="63" t="str">
        <f t="shared" si="2"/>
        <v/>
      </c>
      <c r="Q27"/>
      <c r="S27" s="78"/>
    </row>
    <row r="28" spans="3:20" x14ac:dyDescent="0.3">
      <c r="C28" s="2">
        <v>7</v>
      </c>
      <c r="D28" s="33"/>
      <c r="E28" s="34"/>
      <c r="F28" s="34"/>
      <c r="G28" s="35"/>
      <c r="H28" s="63" t="str">
        <f t="shared" si="1"/>
        <v/>
      </c>
      <c r="I28" s="81"/>
      <c r="K28" s="81"/>
      <c r="L28" s="81"/>
      <c r="N28" s="33"/>
      <c r="O28" s="35"/>
      <c r="P28" s="63" t="str">
        <f t="shared" si="2"/>
        <v/>
      </c>
      <c r="Q28"/>
      <c r="S28" s="78"/>
    </row>
    <row r="29" spans="3:20" x14ac:dyDescent="0.3">
      <c r="C29" s="2">
        <v>8</v>
      </c>
      <c r="D29" s="33"/>
      <c r="E29" s="34"/>
      <c r="F29" s="34"/>
      <c r="G29" s="35"/>
      <c r="H29" s="63" t="str">
        <f t="shared" si="1"/>
        <v/>
      </c>
      <c r="I29" s="81"/>
      <c r="K29" s="81"/>
      <c r="L29" s="81"/>
      <c r="N29" s="33"/>
      <c r="O29" s="35"/>
      <c r="P29" s="63" t="str">
        <f t="shared" si="2"/>
        <v/>
      </c>
      <c r="Q29"/>
      <c r="S29" s="78"/>
    </row>
    <row r="30" spans="3:20" x14ac:dyDescent="0.3">
      <c r="C30" s="2">
        <v>9</v>
      </c>
      <c r="D30" s="33"/>
      <c r="E30" s="34"/>
      <c r="F30" s="34"/>
      <c r="G30" s="35"/>
      <c r="H30" s="63" t="str">
        <f t="shared" si="1"/>
        <v/>
      </c>
      <c r="I30" s="81"/>
      <c r="N30" s="33"/>
      <c r="O30" s="35"/>
      <c r="P30" s="63" t="str">
        <f t="shared" si="2"/>
        <v/>
      </c>
      <c r="Q30"/>
      <c r="S30" s="78"/>
    </row>
    <row r="31" spans="3:20" x14ac:dyDescent="0.3">
      <c r="C31" s="2">
        <v>10</v>
      </c>
      <c r="D31" s="33"/>
      <c r="E31" s="34"/>
      <c r="F31" s="34"/>
      <c r="G31" s="35"/>
      <c r="H31" s="63" t="str">
        <f t="shared" si="1"/>
        <v/>
      </c>
      <c r="I31" s="81"/>
      <c r="N31" s="33"/>
      <c r="O31" s="35"/>
      <c r="P31" s="63" t="str">
        <f t="shared" si="2"/>
        <v/>
      </c>
      <c r="Q31"/>
      <c r="S31" s="78"/>
    </row>
    <row r="32" spans="3:20" ht="15" thickBot="1" x14ac:dyDescent="0.35">
      <c r="C32" s="3">
        <v>11</v>
      </c>
      <c r="D32" s="36"/>
      <c r="E32" s="37"/>
      <c r="F32" s="37"/>
      <c r="G32" s="38"/>
      <c r="H32" s="64" t="str">
        <f t="shared" si="1"/>
        <v/>
      </c>
      <c r="I32" s="84"/>
      <c r="J32" s="85"/>
      <c r="K32" s="85"/>
      <c r="L32" s="85"/>
      <c r="M32" s="91"/>
      <c r="N32" s="36"/>
      <c r="O32" s="38"/>
      <c r="P32" s="64" t="str">
        <f t="shared" si="2"/>
        <v/>
      </c>
      <c r="Q32"/>
      <c r="S32" s="78"/>
    </row>
    <row r="33" spans="3:20" ht="15" thickBot="1" x14ac:dyDescent="0.35">
      <c r="D33" s="76"/>
      <c r="H33" s="78"/>
      <c r="N33" s="76"/>
      <c r="P33" s="78"/>
      <c r="Q33" s="86"/>
      <c r="R33" s="83"/>
      <c r="S33" s="92"/>
    </row>
    <row r="34" spans="3:20" ht="15" thickBot="1" x14ac:dyDescent="0.35">
      <c r="C34" s="29" t="s">
        <v>12</v>
      </c>
      <c r="D34" s="39">
        <v>6.9444444444444441E-3</v>
      </c>
      <c r="E34" s="40">
        <v>1.3888888888888888E-2</v>
      </c>
      <c r="F34" s="40">
        <v>1.3888888888888888E-2</v>
      </c>
      <c r="G34" s="60">
        <v>1.0416666666666666E-2</v>
      </c>
      <c r="H34" s="75">
        <v>4.5138888888888888E-2</v>
      </c>
      <c r="I34" s="87"/>
      <c r="J34" s="88"/>
      <c r="K34" s="88"/>
      <c r="L34" s="88"/>
      <c r="M34" s="87"/>
      <c r="N34" s="72">
        <v>3.4722222222222224E-2</v>
      </c>
      <c r="O34" s="41">
        <v>1.7361111111111112E-2</v>
      </c>
      <c r="P34" s="61">
        <v>5.2083333333333336E-2</v>
      </c>
      <c r="Q34" s="88"/>
      <c r="R34" s="88"/>
      <c r="S34" s="87"/>
    </row>
    <row r="35" spans="3:20" x14ac:dyDescent="0.3">
      <c r="D35" s="80"/>
      <c r="H35" s="78"/>
      <c r="N35" s="80"/>
      <c r="P35" s="78"/>
      <c r="S35" s="78"/>
    </row>
    <row r="36" spans="3:20" ht="15" thickBot="1" x14ac:dyDescent="0.35">
      <c r="D36" s="79"/>
      <c r="H36" s="78"/>
      <c r="I36" s="79"/>
      <c r="N36" s="79"/>
      <c r="P36" s="78"/>
      <c r="S36" s="78"/>
    </row>
    <row r="37" spans="3:20" ht="15" thickBot="1" x14ac:dyDescent="0.35">
      <c r="C37" s="16" t="s">
        <v>10</v>
      </c>
      <c r="D37" s="22">
        <f>IFERROR(AVERAGE(D5:D15),"")</f>
        <v>5.5</v>
      </c>
      <c r="E37" s="17">
        <f t="shared" ref="E37:S37" si="3">IFERROR(AVERAGE(E5:E15),"")</f>
        <v>5</v>
      </c>
      <c r="F37" s="17">
        <f t="shared" si="3"/>
        <v>3</v>
      </c>
      <c r="G37" s="65">
        <f t="shared" si="3"/>
        <v>5.5</v>
      </c>
      <c r="H37" s="67">
        <f t="shared" si="3"/>
        <v>19</v>
      </c>
      <c r="I37" s="66">
        <f t="shared" si="3"/>
        <v>5</v>
      </c>
      <c r="J37" s="17">
        <f t="shared" si="3"/>
        <v>7</v>
      </c>
      <c r="K37" s="17">
        <f t="shared" si="3"/>
        <v>8</v>
      </c>
      <c r="L37" s="65">
        <f t="shared" si="3"/>
        <v>6</v>
      </c>
      <c r="M37" s="67">
        <f t="shared" si="3"/>
        <v>26</v>
      </c>
      <c r="N37" s="66">
        <f t="shared" si="3"/>
        <v>41</v>
      </c>
      <c r="O37" s="65">
        <f t="shared" si="3"/>
        <v>27.5</v>
      </c>
      <c r="P37" s="67">
        <f t="shared" si="3"/>
        <v>68.5</v>
      </c>
      <c r="Q37" s="66" t="str">
        <f t="shared" si="3"/>
        <v/>
      </c>
      <c r="R37" s="18" t="str">
        <f t="shared" si="3"/>
        <v/>
      </c>
      <c r="S37" s="67" t="str">
        <f t="shared" si="3"/>
        <v/>
      </c>
      <c r="T37"/>
    </row>
    <row r="38" spans="3:20" ht="15" thickBot="1" x14ac:dyDescent="0.35">
      <c r="C38" s="21" t="s">
        <v>11</v>
      </c>
      <c r="D38" s="68">
        <f>IFERROR(AVERAGE(D22:D32),"")</f>
        <v>6.3888888888888884E-3</v>
      </c>
      <c r="E38" s="69">
        <f t="shared" ref="E38:K38" si="4">IFERROR(AVERAGE(E22:E32),"")</f>
        <v>1.2905092592592593E-2</v>
      </c>
      <c r="F38" s="70">
        <f t="shared" si="4"/>
        <v>1.3888888888888888E-2</v>
      </c>
      <c r="G38" s="71">
        <f t="shared" si="4"/>
        <v>1.0034722222222223E-2</v>
      </c>
      <c r="H38" s="71">
        <f t="shared" si="4"/>
        <v>4.3217592592592585E-2</v>
      </c>
      <c r="I38"/>
      <c r="L38" s="19"/>
      <c r="M38" s="94"/>
      <c r="N38" s="73">
        <f>IFERROR(AVERAGE(N22:N32),"")</f>
        <v>3.4722222222222224E-2</v>
      </c>
      <c r="O38" s="74">
        <f>IFERROR(AVERAGE(O22:O32),"")</f>
        <v>1.7361111111111112E-2</v>
      </c>
      <c r="P38" s="71">
        <f>IFERROR(AVERAGE(P22:P32),"")</f>
        <v>5.2083333333333336E-2</v>
      </c>
      <c r="Q38"/>
      <c r="S38" s="95"/>
    </row>
  </sheetData>
  <mergeCells count="7">
    <mergeCell ref="Q18:R18"/>
    <mergeCell ref="D3:H3"/>
    <mergeCell ref="N3:P3"/>
    <mergeCell ref="I3:M3"/>
    <mergeCell ref="Q3:S3"/>
    <mergeCell ref="D20:H20"/>
    <mergeCell ref="N20:P20"/>
  </mergeCells>
  <conditionalFormatting sqref="D22:H32 D38:H38 N22:P32">
    <cfRule type="expression" dxfId="23" priority="35">
      <formula>AND(ISNUMBER(D22),D22&lt;=D$34)</formula>
    </cfRule>
    <cfRule type="expression" dxfId="22" priority="36">
      <formula>AND(ISNUMBER(D22),D22&gt;D$34)</formula>
    </cfRule>
  </conditionalFormatting>
  <conditionalFormatting sqref="D5:R15">
    <cfRule type="expression" dxfId="21" priority="37">
      <formula>AND(ISNUMBER(D5),D$17&gt;0,D5/D$17&lt;=20%)</formula>
    </cfRule>
    <cfRule type="expression" dxfId="20" priority="38">
      <formula>AND(ISNUMBER(D5),D$17&gt;0,D5/D$17&gt;20%,D5/D$17&lt;=40%)</formula>
    </cfRule>
    <cfRule type="expression" dxfId="19" priority="39">
      <formula>AND(ISNUMBER(D5),D$17&gt;0,D5/D$17&gt;40%,D5/D$17&lt;=60%)</formula>
    </cfRule>
    <cfRule type="expression" dxfId="18" priority="40">
      <formula>AND(ISNUMBER(D5),D$17&gt;0,D5/D$17&gt;60%,D5/D$17&lt;=80%)</formula>
    </cfRule>
    <cfRule type="expression" dxfId="17" priority="41">
      <formula>AND(ISNUMBER(D5),D$17&gt;0,D5/D$17&gt;80%)</formula>
    </cfRule>
  </conditionalFormatting>
  <conditionalFormatting sqref="D37:S37">
    <cfRule type="expression" dxfId="16" priority="42">
      <formula>AND(ISNUMBER(D37),D$17&gt;0,D37/D$17&lt;=20%)</formula>
    </cfRule>
    <cfRule type="expression" dxfId="15" priority="43">
      <formula>AND(ISNUMBER(D37),D$17&gt;0,D37/D$17&gt;20%,D37/D$17&lt;=40%)</formula>
    </cfRule>
    <cfRule type="expression" dxfId="14" priority="44">
      <formula>AND(ISNUMBER(D37),D$17&gt;0,D37/D$17&gt;40%,D37/D$17&lt;=60%)</formula>
    </cfRule>
    <cfRule type="expression" dxfId="13" priority="45">
      <formula>AND(ISNUMBER(D37),D$17&gt;0,D37/D$17&gt;60%,D37/D$17&lt;=80%)</formula>
    </cfRule>
    <cfRule type="expression" dxfId="12" priority="46">
      <formula>AND(ISNUMBER(D37),D$17&gt;0,D37/D$17&gt;80%)</formula>
    </cfRule>
  </conditionalFormatting>
  <conditionalFormatting sqref="S6:S15">
    <cfRule type="expression" dxfId="11" priority="18">
      <formula>AND(ISNUMBER(S6),S$17&gt;0,S6/S$17&lt;=20%)</formula>
    </cfRule>
    <cfRule type="expression" dxfId="10" priority="19">
      <formula>AND(ISNUMBER(S6),S$17&gt;0,S6/S$17&gt;20%,S6/S$17&lt;=40%)</formula>
    </cfRule>
    <cfRule type="expression" dxfId="9" priority="20">
      <formula>AND(ISNUMBER(S6),S$17&gt;0,S6/S$17&gt;40%,S6/S$17&lt;=60%)</formula>
    </cfRule>
    <cfRule type="expression" dxfId="8" priority="21">
      <formula>AND(ISNUMBER(S6),S$17&gt;0,S6/S$17&gt;60%,S6/S$17&lt;=80%)</formula>
    </cfRule>
    <cfRule type="expression" dxfId="7" priority="22">
      <formula>AND(ISNUMBER(S6),S$17&gt;0,S6/S$17&gt;80%)</formula>
    </cfRule>
  </conditionalFormatting>
  <conditionalFormatting sqref="S5">
    <cfRule type="expression" dxfId="6" priority="8">
      <formula>AND(ISNUMBER(S5),S$17&gt;0,S5/S$17&lt;=20%)</formula>
    </cfRule>
    <cfRule type="expression" dxfId="5" priority="9">
      <formula>AND(ISNUMBER(S5),S$17&gt;0,S5/S$17&gt;20%,S5/S$17&lt;=40%)</formula>
    </cfRule>
    <cfRule type="expression" dxfId="4" priority="10">
      <formula>AND(ISNUMBER(S5),S$17&gt;0,S5/S$17&gt;40%,S5/S$17&lt;=60%)</formula>
    </cfRule>
    <cfRule type="expression" dxfId="3" priority="11">
      <formula>AND(ISNUMBER(S5),S$17&gt;0,S5/S$17&gt;60%,S5/S$17&lt;=80%)</formula>
    </cfRule>
    <cfRule type="expression" dxfId="2" priority="12">
      <formula>AND(ISNUMBER(S5),S$17&gt;0,S5/S$17&gt;80%)</formula>
    </cfRule>
  </conditionalFormatting>
  <conditionalFormatting sqref="N38:P38">
    <cfRule type="expression" dxfId="1" priority="55">
      <formula>AND(ISNUMBER(N38),N38&lt;=N$34)</formula>
    </cfRule>
    <cfRule type="expression" dxfId="0" priority="56">
      <formula>AND(ISNUMBER(N38),N38&gt;N$34)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1b7f118-5cb2-4d4e-85a3-82e07efb07e9}" enabled="0" method="" siteId="{d1b7f118-5cb2-4d4e-85a3-82e07efb0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Lozano, Daniel</dc:creator>
  <cp:lastModifiedBy>Lozano, Daniel</cp:lastModifiedBy>
  <dcterms:created xsi:type="dcterms:W3CDTF">2015-06-05T18:17:20Z</dcterms:created>
  <dcterms:modified xsi:type="dcterms:W3CDTF">2026-10-28T16:10:04Z</dcterms:modified>
</cp:coreProperties>
</file>