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MyAssets\My-Notes\Management\"/>
    </mc:Choice>
  </mc:AlternateContent>
  <xr:revisionPtr revIDLastSave="0" documentId="13_ncr:1_{A687A07D-7853-4DB0-8CAE-F1F54FA96F5D}" xr6:coauthVersionLast="47" xr6:coauthVersionMax="47" xr10:uidLastSave="{00000000-0000-0000-0000-000000000000}"/>
  <bookViews>
    <workbookView xWindow="20370" yWindow="-3000" windowWidth="29040" windowHeight="15720" firstSheet="1" activeTab="3" xr2:uid="{00000000-000D-0000-FFFF-FFFF00000000}"/>
  </bookViews>
  <sheets>
    <sheet name="Vision Board" sheetId="4" r:id="rId1"/>
    <sheet name="Detailed Planning" sheetId="3" r:id="rId2"/>
    <sheet name="Schedule" sheetId="2" r:id="rId3"/>
    <sheet name="Logbook" sheetId="1" r:id="rId4"/>
    <sheet name="To-Do List" sheetId="5" r:id="rId5"/>
    <sheet name="Recurrent Tasks Tracker" sheetId="7" r:id="rId6"/>
    <sheet name="Calisthenics Routine" sheetId="6" r:id="rId7"/>
    <sheet name="Vocabulary Track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5" l="1"/>
  <c r="F6" i="5"/>
  <c r="E11" i="7"/>
  <c r="E10" i="7"/>
  <c r="E16" i="7" l="1"/>
  <c r="D16" i="7"/>
  <c r="D14" i="7"/>
  <c r="D10" i="7"/>
  <c r="D11" i="7"/>
  <c r="D17" i="7"/>
  <c r="D15" i="7"/>
  <c r="D13" i="7"/>
  <c r="D12" i="7"/>
  <c r="D9" i="7"/>
  <c r="D8" i="7"/>
  <c r="D7" i="7"/>
  <c r="D6" i="7"/>
  <c r="D5" i="7"/>
  <c r="D4" i="7"/>
  <c r="D3" i="7"/>
  <c r="E9" i="7"/>
  <c r="DC2" i="8"/>
  <c r="CZ2" i="8"/>
  <c r="CW2" i="8"/>
  <c r="CT2" i="8"/>
  <c r="CQ2" i="8"/>
  <c r="CN2" i="8"/>
  <c r="CK2" i="8"/>
  <c r="CH2" i="8"/>
  <c r="CE2" i="8"/>
  <c r="CB2" i="8"/>
  <c r="BY2" i="8"/>
  <c r="BV2" i="8"/>
  <c r="BS2" i="8"/>
  <c r="BP2" i="8"/>
  <c r="BM2" i="8"/>
  <c r="BJ2" i="8"/>
  <c r="BG2" i="8"/>
  <c r="BD2" i="8"/>
  <c r="Q2" i="8"/>
  <c r="T2" i="8"/>
  <c r="W2" i="8"/>
  <c r="Z2" i="8"/>
  <c r="AC2" i="8"/>
  <c r="AF2" i="8"/>
  <c r="AI2" i="8"/>
  <c r="AL2" i="8"/>
  <c r="AO2" i="8"/>
  <c r="AR2" i="8"/>
  <c r="AU2" i="8"/>
  <c r="AX2" i="8"/>
  <c r="BA2" i="8"/>
  <c r="N2" i="8"/>
  <c r="E2" i="8"/>
  <c r="H2" i="8"/>
  <c r="K2" i="8"/>
  <c r="B3" i="8" a="1"/>
  <c r="B3" i="8" s="1"/>
  <c r="B2" i="8" s="1"/>
  <c r="DD2" i="1"/>
  <c r="E36" i="3"/>
  <c r="E37" i="3"/>
  <c r="E38" i="3"/>
  <c r="E39" i="3"/>
  <c r="E40" i="3"/>
  <c r="E35" i="3"/>
  <c r="E42" i="3"/>
  <c r="E41" i="3"/>
  <c r="E57" i="3"/>
  <c r="E58" i="3"/>
  <c r="E59" i="3"/>
  <c r="E60" i="3"/>
  <c r="E61" i="3"/>
  <c r="E56" i="3"/>
  <c r="E54" i="3"/>
  <c r="E53" i="3"/>
  <c r="E50" i="3"/>
  <c r="E51" i="3"/>
  <c r="E52" i="3"/>
  <c r="E49" i="3"/>
  <c r="E27" i="3"/>
  <c r="E28" i="3"/>
  <c r="E29" i="3"/>
  <c r="E30" i="3"/>
  <c r="E31" i="3"/>
  <c r="E32" i="3"/>
  <c r="E33" i="3"/>
  <c r="E34" i="3"/>
  <c r="E43" i="3"/>
  <c r="E44" i="3"/>
  <c r="E45" i="3"/>
  <c r="E46" i="3"/>
  <c r="E47" i="3"/>
  <c r="E26" i="3"/>
  <c r="E23" i="3"/>
  <c r="E24" i="3"/>
  <c r="E22" i="3"/>
  <c r="E13" i="3"/>
  <c r="E14" i="3"/>
  <c r="E15" i="3"/>
  <c r="E12" i="3"/>
  <c r="E18" i="3"/>
  <c r="E19" i="3"/>
  <c r="E20" i="3"/>
  <c r="E17" i="3"/>
  <c r="I25" i="2"/>
  <c r="H25" i="2"/>
  <c r="G25" i="2"/>
  <c r="F25" i="2"/>
  <c r="D25" i="2"/>
  <c r="E25" i="2"/>
  <c r="C25" i="2"/>
  <c r="J25" i="2" s="1"/>
  <c r="K25" i="2" s="1"/>
  <c r="I28" i="2"/>
  <c r="H28" i="2"/>
  <c r="H27" i="2"/>
  <c r="I21" i="2"/>
  <c r="H21" i="2"/>
  <c r="G27" i="2"/>
  <c r="G23" i="2"/>
  <c r="F23" i="2"/>
  <c r="F27" i="2"/>
  <c r="E27" i="2"/>
  <c r="E23" i="2"/>
  <c r="D23" i="2"/>
  <c r="C23" i="2"/>
  <c r="I23" i="2"/>
  <c r="H23" i="2"/>
  <c r="E22" i="2"/>
  <c r="E21" i="2"/>
  <c r="D22" i="2"/>
  <c r="D21" i="2"/>
  <c r="C27" i="2"/>
  <c r="E5" i="7"/>
  <c r="E6" i="7"/>
  <c r="E13" i="7"/>
  <c r="J23" i="2" l="1"/>
  <c r="K23" i="2" s="1"/>
  <c r="E12" i="7" l="1"/>
  <c r="E17" i="7"/>
  <c r="E15" i="7"/>
  <c r="E8" i="7"/>
  <c r="E7" i="7"/>
  <c r="E4" i="7"/>
  <c r="E3" i="7"/>
  <c r="E14" i="7"/>
  <c r="I24" i="2" l="1"/>
  <c r="E28" i="2"/>
  <c r="F16" i="5"/>
  <c r="F8" i="5"/>
  <c r="F4" i="5"/>
  <c r="F20" i="5"/>
  <c r="F19" i="5"/>
  <c r="F18" i="5"/>
  <c r="F17" i="5"/>
  <c r="F15" i="5"/>
  <c r="F14" i="5"/>
  <c r="F13" i="5"/>
  <c r="F11" i="5"/>
  <c r="F22" i="5"/>
  <c r="F24" i="5"/>
  <c r="F9" i="5"/>
  <c r="F23" i="5"/>
  <c r="F10" i="5"/>
  <c r="F12" i="5"/>
  <c r="F3" i="5"/>
  <c r="F21" i="5"/>
  <c r="F7" i="5"/>
  <c r="G28" i="2"/>
  <c r="F28" i="2"/>
  <c r="D28" i="2"/>
  <c r="C28" i="2"/>
  <c r="I22" i="2"/>
  <c r="H22" i="2"/>
  <c r="J5" i="3"/>
  <c r="J7" i="3"/>
  <c r="K7" i="3"/>
  <c r="H24" i="2"/>
  <c r="G24" i="2"/>
  <c r="F24" i="2"/>
  <c r="E24" i="2"/>
  <c r="D24" i="2"/>
  <c r="C24" i="2"/>
  <c r="K6" i="3"/>
  <c r="K5" i="3"/>
  <c r="J6" i="3"/>
  <c r="J28" i="2" l="1"/>
  <c r="K28" i="2" s="1"/>
  <c r="J24" i="2"/>
  <c r="K24" i="2" s="1"/>
  <c r="F22" i="2"/>
  <c r="D29" i="2"/>
  <c r="E29" i="2"/>
  <c r="F29" i="2"/>
  <c r="G29" i="2"/>
  <c r="H29" i="2"/>
  <c r="I29" i="2"/>
  <c r="C29" i="2"/>
  <c r="G22" i="2"/>
  <c r="C22" i="2"/>
  <c r="I27" i="2"/>
  <c r="D27" i="2"/>
  <c r="I26" i="2"/>
  <c r="H26" i="2"/>
  <c r="G26" i="2"/>
  <c r="F26" i="2"/>
  <c r="E26" i="2"/>
  <c r="D26" i="2"/>
  <c r="C26" i="2"/>
  <c r="G21" i="2"/>
  <c r="F21" i="2"/>
  <c r="C21" i="2"/>
  <c r="C4" i="1" a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J21" i="2" l="1"/>
  <c r="K21" i="2" s="1"/>
  <c r="C4" i="1"/>
  <c r="C2" i="1" s="1"/>
  <c r="GC2" i="1"/>
  <c r="FV2" i="1"/>
  <c r="KY2" i="1"/>
  <c r="DK2" i="1"/>
  <c r="KR2" i="1"/>
  <c r="KK2" i="1"/>
  <c r="CW2" i="1"/>
  <c r="KD2" i="1"/>
  <c r="JW2" i="1"/>
  <c r="CI2" i="1"/>
  <c r="JP2" i="1"/>
  <c r="CB2" i="1"/>
  <c r="JI2" i="1"/>
  <c r="BU2" i="1"/>
  <c r="BN2" i="1"/>
  <c r="IU2" i="1"/>
  <c r="IN2" i="1"/>
  <c r="IG2" i="1"/>
  <c r="HZ2" i="1"/>
  <c r="AL2" i="1"/>
  <c r="AE2" i="1"/>
  <c r="HL2" i="1"/>
  <c r="HE2" i="1"/>
  <c r="GX2" i="1"/>
  <c r="J2" i="1"/>
  <c r="GJ2" i="1"/>
  <c r="FO2" i="1"/>
  <c r="MV2" i="1"/>
  <c r="FH2" i="1"/>
  <c r="MO2" i="1"/>
  <c r="FA2" i="1"/>
  <c r="MH2" i="1"/>
  <c r="ET2" i="1"/>
  <c r="MA2" i="1"/>
  <c r="EM2" i="1"/>
  <c r="LT2" i="1"/>
  <c r="EF2" i="1"/>
  <c r="LM2" i="1"/>
  <c r="DY2" i="1"/>
  <c r="LF2" i="1"/>
  <c r="DR2" i="1"/>
  <c r="CP2" i="1"/>
  <c r="JB2" i="1"/>
  <c r="BG2" i="1"/>
  <c r="AZ2" i="1"/>
  <c r="AS2" i="1"/>
  <c r="HS2" i="1"/>
  <c r="X2" i="1"/>
  <c r="Q2" i="1"/>
  <c r="GQ2" i="1"/>
  <c r="J29" i="2"/>
  <c r="K29" i="2" s="1"/>
  <c r="J27" i="2"/>
  <c r="J26" i="2"/>
  <c r="K26" i="2" s="1"/>
  <c r="J22" i="2"/>
  <c r="K22" i="2" s="1"/>
  <c r="H5" i="3" l="1"/>
  <c r="I5" i="3"/>
  <c r="K27" i="2"/>
  <c r="H7" i="3"/>
  <c r="I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<sst xmlns="http://schemas.openxmlformats.org/spreadsheetml/2006/main" count="775" uniqueCount="239">
  <si>
    <t>German</t>
  </si>
  <si>
    <t>French</t>
  </si>
  <si>
    <t>Gym</t>
  </si>
  <si>
    <t>Calisthenics</t>
  </si>
  <si>
    <t>Flashcards (20 min)</t>
  </si>
  <si>
    <t>Main Study</t>
  </si>
  <si>
    <t>Daily Training</t>
  </si>
  <si>
    <t>GYM</t>
  </si>
  <si>
    <t>GERMAN</t>
  </si>
  <si>
    <t>Guitar</t>
  </si>
  <si>
    <t>FRENCH</t>
  </si>
  <si>
    <t>Monday</t>
  </si>
  <si>
    <t>Tuesday</t>
  </si>
  <si>
    <t>Wednesday</t>
  </si>
  <si>
    <t>Thursday</t>
  </si>
  <si>
    <t>Friday</t>
  </si>
  <si>
    <t>Saturday</t>
  </si>
  <si>
    <t>Sunday</t>
  </si>
  <si>
    <r>
      <rPr>
        <sz val="8"/>
        <color theme="1"/>
        <rFont val="Calibri"/>
        <family val="2"/>
        <scheme val="minor"/>
      </rPr>
      <t>5:00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Get Ready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5:30</t>
    </r>
  </si>
  <si>
    <r>
      <rPr>
        <sz val="8"/>
        <color theme="1"/>
        <rFont val="Calibri"/>
        <family val="2"/>
        <scheme val="minor"/>
      </rPr>
      <t>5:30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Take the Bus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6:20</t>
    </r>
  </si>
  <si>
    <r>
      <rPr>
        <sz val="8"/>
        <color theme="1"/>
        <rFont val="Calibri"/>
        <family val="2"/>
        <scheme val="minor"/>
      </rPr>
      <t>5:30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8:30</t>
    </r>
  </si>
  <si>
    <r>
      <rPr>
        <sz val="8"/>
        <color theme="1"/>
        <rFont val="Calibri"/>
        <family val="2"/>
        <scheme val="minor"/>
      </rPr>
      <t>6:20</t>
    </r>
    <r>
      <rPr>
        <sz val="12"/>
        <color theme="1"/>
        <rFont val="Calibri"/>
        <family val="2"/>
        <scheme val="minor"/>
      </rPr>
      <t xml:space="preserve">
Get Ready for Gym
</t>
    </r>
    <r>
      <rPr>
        <sz val="8"/>
        <color theme="1"/>
        <rFont val="Calibri"/>
        <family val="2"/>
        <scheme val="minor"/>
      </rPr>
      <t>6:30</t>
    </r>
  </si>
  <si>
    <r>
      <rPr>
        <sz val="8"/>
        <color theme="1"/>
        <rFont val="Calibri"/>
        <family val="2"/>
        <scheme val="minor"/>
      </rPr>
      <t>10:30</t>
    </r>
    <r>
      <rPr>
        <sz val="12"/>
        <color theme="1"/>
        <rFont val="Calibri"/>
        <family val="2"/>
        <scheme val="minor"/>
      </rPr>
      <t xml:space="preserve">
Kung Fu
</t>
    </r>
    <r>
      <rPr>
        <sz val="8"/>
        <color theme="1"/>
        <rFont val="Calibri"/>
        <family val="2"/>
        <scheme val="minor"/>
      </rPr>
      <t>12:00</t>
    </r>
  </si>
  <si>
    <r>
      <rPr>
        <sz val="8"/>
        <color theme="1"/>
        <rFont val="Calibri"/>
        <family val="2"/>
        <scheme val="minor"/>
      </rPr>
      <t>12:00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Take the Bus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</si>
  <si>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13:00</t>
    </r>
    <r>
      <rPr>
        <sz val="12"/>
        <color theme="1"/>
        <rFont val="Calibri"/>
        <family val="2"/>
        <scheme val="minor"/>
      </rPr>
      <t xml:space="preserve">
Lunch
</t>
    </r>
    <r>
      <rPr>
        <sz val="8"/>
        <color theme="1"/>
        <rFont val="Calibri"/>
        <family val="2"/>
        <scheme val="minor"/>
      </rPr>
      <t>14:00</t>
    </r>
  </si>
  <si>
    <r>
      <rPr>
        <sz val="8"/>
        <color theme="1"/>
        <rFont val="Calibri"/>
        <family val="2"/>
        <scheme val="minor"/>
      </rPr>
      <t>14:00</t>
    </r>
    <r>
      <rPr>
        <sz val="12"/>
        <color theme="1"/>
        <rFont val="Calibri"/>
        <family val="2"/>
        <scheme val="minor"/>
      </rPr>
      <t xml:space="preserve">
Play Guitar
</t>
    </r>
    <r>
      <rPr>
        <sz val="8"/>
        <color theme="1"/>
        <rFont val="Calibri"/>
        <family val="2"/>
        <scheme val="minor"/>
      </rPr>
      <t>16:00</t>
    </r>
  </si>
  <si>
    <r>
      <rPr>
        <sz val="8"/>
        <color theme="1"/>
        <rFont val="Calibri"/>
        <family val="2"/>
        <scheme val="minor"/>
      </rPr>
      <t>18:00</t>
    </r>
    <r>
      <rPr>
        <sz val="12"/>
        <color theme="1"/>
        <rFont val="Calibri"/>
        <family val="2"/>
        <scheme val="minor"/>
      </rPr>
      <t xml:space="preserve">
Get Ready for Kung Fu
</t>
    </r>
    <r>
      <rPr>
        <sz val="8"/>
        <color theme="1"/>
        <rFont val="Calibri"/>
        <family val="2"/>
        <scheme val="minor"/>
      </rPr>
      <t>18:45</t>
    </r>
  </si>
  <si>
    <r>
      <rPr>
        <sz val="8"/>
        <color theme="1"/>
        <rFont val="Calibri"/>
        <family val="2"/>
        <scheme val="minor"/>
      </rPr>
      <t>18:45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19:20</t>
    </r>
  </si>
  <si>
    <r>
      <rPr>
        <sz val="8"/>
        <color theme="1"/>
        <rFont val="Calibri"/>
        <family val="2"/>
        <scheme val="minor"/>
      </rPr>
      <t>19:00</t>
    </r>
    <r>
      <rPr>
        <sz val="12"/>
        <color theme="1"/>
        <rFont val="Calibri"/>
        <family val="2"/>
        <scheme val="minor"/>
      </rPr>
      <t xml:space="preserve">
Free Time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</si>
  <si>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19:30</t>
    </r>
    <r>
      <rPr>
        <sz val="12"/>
        <color theme="1"/>
        <rFont val="Calibri"/>
        <family val="2"/>
        <scheme val="minor"/>
      </rPr>
      <t xml:space="preserve">
Kung Fu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</si>
  <si>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21:00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22:00</t>
    </r>
  </si>
  <si>
    <r>
      <rPr>
        <sz val="8"/>
        <color theme="1"/>
        <rFont val="Calibri"/>
        <family val="2"/>
        <scheme val="minor"/>
      </rPr>
      <t>22:00</t>
    </r>
    <r>
      <rPr>
        <sz val="12"/>
        <color theme="1"/>
        <rFont val="Calibri"/>
        <family val="2"/>
        <scheme val="minor"/>
      </rPr>
      <t xml:space="preserve">
Dinner &amp; Get Ready to Sleep
</t>
    </r>
    <r>
      <rPr>
        <sz val="8"/>
        <color theme="1"/>
        <rFont val="Calibri"/>
        <family val="2"/>
        <scheme val="minor"/>
      </rPr>
      <t>22:30</t>
    </r>
  </si>
  <si>
    <t>Done</t>
  </si>
  <si>
    <t>Strategic Time</t>
  </si>
  <si>
    <t>Summary</t>
  </si>
  <si>
    <r>
      <rPr>
        <sz val="8"/>
        <color theme="1"/>
        <rFont val="Calibri"/>
        <family val="2"/>
        <scheme val="minor"/>
      </rPr>
      <t>5:30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Walk Gym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5:50</t>
    </r>
  </si>
  <si>
    <r>
      <rPr>
        <sz val="8"/>
        <color theme="1"/>
        <rFont val="Calibri"/>
        <family val="2"/>
        <scheme val="minor"/>
      </rPr>
      <t>5:50</t>
    </r>
    <r>
      <rPr>
        <sz val="12"/>
        <color theme="1"/>
        <rFont val="Calibri"/>
        <family val="2"/>
        <scheme val="minor"/>
      </rPr>
      <t xml:space="preserve">
Get Ready for Gym
</t>
    </r>
    <r>
      <rPr>
        <sz val="8"/>
        <color theme="1"/>
        <rFont val="Calibri"/>
        <family val="2"/>
        <scheme val="minor"/>
      </rPr>
      <t>5:55</t>
    </r>
  </si>
  <si>
    <r>
      <rPr>
        <sz val="8"/>
        <color theme="1"/>
        <rFont val="Calibri"/>
        <family val="2"/>
        <scheme val="minor"/>
      </rPr>
      <t>5:55</t>
    </r>
    <r>
      <rPr>
        <sz val="12"/>
        <color theme="1"/>
        <rFont val="Calibri"/>
        <family val="2"/>
        <scheme val="minor"/>
      </rPr>
      <t xml:space="preserve">
Gym
</t>
    </r>
    <r>
      <rPr>
        <sz val="8"/>
        <color theme="1"/>
        <rFont val="Calibri"/>
        <family val="2"/>
        <scheme val="minor"/>
      </rPr>
      <t>7:30</t>
    </r>
  </si>
  <si>
    <r>
      <rPr>
        <sz val="8"/>
        <color theme="1"/>
        <rFont val="Calibri"/>
        <family val="2"/>
        <scheme val="minor"/>
      </rPr>
      <t>7:30</t>
    </r>
    <r>
      <rPr>
        <sz val="12"/>
        <color theme="1"/>
        <rFont val="Calibri"/>
        <family val="2"/>
        <scheme val="minor"/>
      </rPr>
      <t xml:space="preserve">
Walk Home
</t>
    </r>
    <r>
      <rPr>
        <sz val="8"/>
        <color theme="1"/>
        <rFont val="Calibri"/>
        <family val="2"/>
        <scheme val="minor"/>
      </rPr>
      <t>7:50</t>
    </r>
  </si>
  <si>
    <r>
      <rPr>
        <sz val="8"/>
        <color theme="1"/>
        <rFont val="Calibri"/>
        <family val="2"/>
        <scheme val="minor"/>
      </rPr>
      <t>9:00</t>
    </r>
    <r>
      <rPr>
        <sz val="12"/>
        <color theme="1"/>
        <rFont val="Calibri"/>
        <family val="2"/>
        <scheme val="minor"/>
      </rPr>
      <t xml:space="preserve">
Shower &amp; Get Ready
</t>
    </r>
    <r>
      <rPr>
        <sz val="8"/>
        <color theme="1"/>
        <rFont val="Calibri"/>
        <family val="2"/>
        <scheme val="minor"/>
      </rPr>
      <t>9:25</t>
    </r>
  </si>
  <si>
    <r>
      <rPr>
        <sz val="8"/>
        <color theme="1"/>
        <rFont val="Calibri"/>
        <family val="2"/>
        <scheme val="minor"/>
      </rPr>
      <t>9:25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12:25</t>
    </r>
  </si>
  <si>
    <t>Missed</t>
  </si>
  <si>
    <t>Language</t>
  </si>
  <si>
    <t>Objective</t>
  </si>
  <si>
    <t>Estimated Time (Best) [months]</t>
  </si>
  <si>
    <t>Estimated Time (Expected) [months]</t>
  </si>
  <si>
    <t>Termination Date (Best)</t>
  </si>
  <si>
    <t>Termination Date (Expected)</t>
  </si>
  <si>
    <t>Current Level</t>
  </si>
  <si>
    <t>B1</t>
  </si>
  <si>
    <t>C1</t>
  </si>
  <si>
    <t>B2</t>
  </si>
  <si>
    <t>Not Scheduled</t>
  </si>
  <si>
    <t>DELF B2</t>
  </si>
  <si>
    <t>- Total Weight: 66 kg</t>
  </si>
  <si>
    <t>- Body Fat: 12%</t>
  </si>
  <si>
    <t>- Visceral Fat: 1%</t>
  </si>
  <si>
    <t>- Goethe Zertifikat C1</t>
  </si>
  <si>
    <t>- DELF B2</t>
  </si>
  <si>
    <t>CAREER DEVELOPMENT</t>
  </si>
  <si>
    <t>GUITAR</t>
  </si>
  <si>
    <t>- SAA-C03</t>
  </si>
  <si>
    <t>- Hangar 18 Cover</t>
  </si>
  <si>
    <t>- Far Beyond the Sun</t>
  </si>
  <si>
    <t>- Moonlight Sonata (Relearn)</t>
  </si>
  <si>
    <t>- AIF-C01</t>
  </si>
  <si>
    <t>- Take IELTS</t>
  </si>
  <si>
    <t>- ROS Course</t>
  </si>
  <si>
    <t>- PLC Course + Possible Certification</t>
  </si>
  <si>
    <t>- 3 Projects</t>
  </si>
  <si>
    <t>- AI Courses + Possible Certifications</t>
  </si>
  <si>
    <t>- Handstand</t>
  </si>
  <si>
    <t>- Bent Arm Stand</t>
  </si>
  <si>
    <t>- HSPU</t>
  </si>
  <si>
    <t>CALISTHENICS + GYMNASTICS</t>
  </si>
  <si>
    <t>- Back Handspring</t>
  </si>
  <si>
    <t>- Backflip</t>
  </si>
  <si>
    <t>- Tuck Planche</t>
  </si>
  <si>
    <t>- Tuck Planche Pushup</t>
  </si>
  <si>
    <t>- 1 Cover per mont</t>
  </si>
  <si>
    <t>GOALS</t>
  </si>
  <si>
    <r>
      <rPr>
        <sz val="8"/>
        <color theme="1"/>
        <rFont val="Calibri"/>
        <family val="2"/>
        <scheme val="minor"/>
      </rPr>
      <t>7:00</t>
    </r>
    <r>
      <rPr>
        <sz val="12"/>
        <color theme="1"/>
        <rFont val="Calibri"/>
        <family val="2"/>
        <scheme val="minor"/>
      </rPr>
      <t xml:space="preserve">
Calisthenics
</t>
    </r>
    <r>
      <rPr>
        <sz val="8"/>
        <color theme="1"/>
        <rFont val="Calibri"/>
        <family val="2"/>
        <scheme val="minor"/>
      </rPr>
      <t>9:00</t>
    </r>
  </si>
  <si>
    <t>Course</t>
  </si>
  <si>
    <t>Review Notes</t>
  </si>
  <si>
    <t>Self-Study</t>
  </si>
  <si>
    <t>Test</t>
  </si>
  <si>
    <t>SAA-C03</t>
  </si>
  <si>
    <t>Course (remaining)</t>
  </si>
  <si>
    <t>Goethe-Zertifikat-C1</t>
  </si>
  <si>
    <t>Main Book</t>
  </si>
  <si>
    <t>Test Focused Study</t>
  </si>
  <si>
    <t>Test Simulations</t>
  </si>
  <si>
    <t>Review/Reaconditioning</t>
  </si>
  <si>
    <t>Test Inscription (Option 1)</t>
  </si>
  <si>
    <t>Test (Option 1)</t>
  </si>
  <si>
    <t>Test (Option 2)</t>
  </si>
  <si>
    <t>Test Inscription (Option 2)</t>
  </si>
  <si>
    <t>AIF-C01</t>
  </si>
  <si>
    <t>STRATEGIC TIME</t>
  </si>
  <si>
    <t>Planning</t>
  </si>
  <si>
    <t>Career Development</t>
  </si>
  <si>
    <t>English</t>
  </si>
  <si>
    <t>B2-C1</t>
  </si>
  <si>
    <t>IELTS</t>
  </si>
  <si>
    <t>-</t>
  </si>
  <si>
    <t>Free Time</t>
  </si>
  <si>
    <t>IELTS (C1)</t>
  </si>
  <si>
    <t>Task</t>
  </si>
  <si>
    <t>Importance (1-5)</t>
  </si>
  <si>
    <t>Deadline</t>
  </si>
  <si>
    <t>Progress (1-5)</t>
  </si>
  <si>
    <t>Priority</t>
  </si>
  <si>
    <t>Saved Jobs Application LinkedIn</t>
  </si>
  <si>
    <t>Bewerbungstracker</t>
  </si>
  <si>
    <t>Certificado de Antigüedad Colmédica</t>
  </si>
  <si>
    <t>Improve Goals Planning by graphing total Hours for each activity at the end of the Week</t>
  </si>
  <si>
    <t>Improve Financial Planning by tracking monthly net Earnings</t>
  </si>
  <si>
    <t>Make an ordered Watchlist for my free Time</t>
  </si>
  <si>
    <t>Stock Investment</t>
  </si>
  <si>
    <t>Pegboard</t>
  </si>
  <si>
    <t>Redesign CVs</t>
  </si>
  <si>
    <t>Get info abt Scholarships (Alliance Française)</t>
  </si>
  <si>
    <t>Get DAAD Scholarships Info</t>
  </si>
  <si>
    <t>Schedule a Consultation (IMT)</t>
  </si>
  <si>
    <t>Read Stephan Bey (IMT)</t>
  </si>
  <si>
    <t>Read Vincent Gaydon (IMT)</t>
  </si>
  <si>
    <t>Read Taylor Green (Arden University)</t>
  </si>
  <si>
    <t>Read Vinayak Subind (Arden Ujniversity)</t>
  </si>
  <si>
    <t>Reach Contact in THWS and get Info</t>
  </si>
  <si>
    <t>Get Info abt Mainz University</t>
  </si>
  <si>
    <t>Sell PS3</t>
  </si>
  <si>
    <t>Warm-up</t>
  </si>
  <si>
    <t>Skill Block</t>
  </si>
  <si>
    <t>Duration [min]</t>
  </si>
  <si>
    <t>Block</t>
  </si>
  <si>
    <t>Description</t>
  </si>
  <si>
    <t>•  Bridge holds (shoulder extension, back flexibility)
•  Pancake stretch (hamstring/hip mobility)</t>
  </si>
  <si>
    <t>•  Pike push-ups (shoulder strength for handstand stability)
•  Hollow body holds (core control for both skills)
•  Explosive jumps (box jumps, tuck jumps) for spring power</t>
  </si>
  <si>
    <r>
      <rPr>
        <b/>
        <sz val="11"/>
        <color theme="1"/>
        <rFont val="Calibri"/>
        <family val="2"/>
        <scheme val="minor"/>
      </rPr>
      <t>•  Handstand practice</t>
    </r>
    <r>
      <rPr>
        <sz val="11"/>
        <color theme="1"/>
        <rFont val="Calibri"/>
        <family val="2"/>
        <scheme val="minor"/>
      </rPr>
      <t xml:space="preserve">
•	Wall handstand holds (belly-to-wall, 5×30–60s)
•	Freestanding attempts (8–10 kick-ups, focus on balance corrections)
•	Handstand walking or weight shifts (4–5 sets of 5–10s)
</t>
    </r>
    <r>
      <rPr>
        <b/>
        <sz val="11"/>
        <color theme="1"/>
        <rFont val="Calibri"/>
        <family val="2"/>
        <scheme val="minor"/>
      </rPr>
      <t xml:space="preserve">•  Back Handspring drills
</t>
    </r>
    <r>
      <rPr>
        <sz val="11"/>
        <color theme="1"/>
        <rFont val="Calibri"/>
        <family val="2"/>
        <scheme val="minor"/>
      </rPr>
      <t>•	Trampoline or mat: back arch-to-hollow snap drills
•	Backward rolls to stand (confidence in backward motion)
•	Jump back bridges (strengthen arch position)
•	Spotted/supervised handspring attempts if possible</t>
    </r>
  </si>
  <si>
    <t>•  Wrist prep (circles, fingertip push-ups)
•  Shoulder mobility (band dislocates, wall slides)
•  Dynamic core activation (hollow body rocks, arch rocks)
•  Plyometric prep (jump squats, bounding drills)</t>
  </si>
  <si>
    <t>Strength &amp; Conditioning</t>
  </si>
  <si>
    <t>Cool-down</t>
  </si>
  <si>
    <t>Handstand balance drills</t>
  </si>
  <si>
    <t>Back Handspring technique</t>
  </si>
  <si>
    <t>Short freestanding holds, focus on corrections</t>
  </si>
  <si>
    <t>Low-impact drills: backward rolls, jump-backs, arch-to-hollow snaps</t>
  </si>
  <si>
    <t>Organize Room (Router)</t>
  </si>
  <si>
    <t>Status Description</t>
  </si>
  <si>
    <t>Frequency</t>
  </si>
  <si>
    <t>Laundry (underwear)</t>
  </si>
  <si>
    <t>Laundry (uniform)</t>
  </si>
  <si>
    <t>Sweep Room</t>
  </si>
  <si>
    <t>Clean Surfaces</t>
  </si>
  <si>
    <t>Mop Room</t>
  </si>
  <si>
    <t>Haircut</t>
  </si>
  <si>
    <t>Clean Guitar</t>
  </si>
  <si>
    <t>Name</t>
  </si>
  <si>
    <t>Cash Out</t>
  </si>
  <si>
    <t>Cut Nails</t>
  </si>
  <si>
    <t>Shave</t>
  </si>
  <si>
    <t>Adjust Meals in Schedule</t>
  </si>
  <si>
    <t>Cita de Psiquiatría</t>
  </si>
  <si>
    <t>Measure Stats</t>
  </si>
  <si>
    <r>
      <rPr>
        <sz val="8"/>
        <color theme="1"/>
        <rFont val="Calibri"/>
        <family val="2"/>
        <scheme val="minor"/>
      </rPr>
      <t>12:25</t>
    </r>
    <r>
      <rPr>
        <sz val="12"/>
        <color theme="1"/>
        <rFont val="Calibri"/>
        <family val="2"/>
        <scheme val="minor"/>
      </rPr>
      <t xml:space="preserve">
Strategic Time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</si>
  <si>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5:30</t>
    </r>
    <r>
      <rPr>
        <sz val="12"/>
        <color theme="1"/>
        <rFont val="Calibri"/>
        <family val="2"/>
        <scheme val="minor"/>
      </rPr>
      <t xml:space="preserve">
Strategic Time (Career Development)
</t>
    </r>
    <r>
      <rPr>
        <sz val="8"/>
        <color theme="1"/>
        <rFont val="Calibri"/>
        <family val="2"/>
        <scheme val="minor"/>
      </rPr>
      <t>7:00</t>
    </r>
  </si>
  <si>
    <r>
      <rPr>
        <sz val="8"/>
        <color theme="1"/>
        <rFont val="Calibri"/>
        <family val="2"/>
        <scheme val="minor"/>
      </rPr>
      <t>19:30</t>
    </r>
    <r>
      <rPr>
        <sz val="12"/>
        <color theme="1"/>
        <rFont val="Calibri"/>
        <family val="2"/>
        <scheme val="minor"/>
      </rPr>
      <t xml:space="preserve">
Free Time
</t>
    </r>
    <r>
      <rPr>
        <sz val="8"/>
        <color theme="1"/>
        <rFont val="Calibri"/>
        <family val="2"/>
        <scheme val="minor"/>
      </rPr>
      <t>21:00</t>
    </r>
  </si>
  <si>
    <r>
      <rPr>
        <sz val="8"/>
        <color theme="1"/>
        <rFont val="Calibri"/>
        <family val="2"/>
        <scheme val="minor"/>
      </rPr>
      <t>8:30</t>
    </r>
    <r>
      <rPr>
        <sz val="12"/>
        <color theme="1"/>
        <rFont val="Calibri"/>
        <family val="2"/>
        <scheme val="minor"/>
      </rPr>
      <t xml:space="preserve">
Get Ready for Kung Fu
</t>
    </r>
    <r>
      <rPr>
        <sz val="8"/>
        <color theme="1"/>
        <rFont val="Calibri"/>
        <family val="2"/>
        <scheme val="minor"/>
      </rPr>
      <t>9:00</t>
    </r>
  </si>
  <si>
    <r>
      <rPr>
        <sz val="8"/>
        <color theme="1"/>
        <rFont val="Calibri"/>
        <family val="2"/>
        <scheme val="minor"/>
      </rPr>
      <t>9:00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9:30</t>
    </r>
  </si>
  <si>
    <r>
      <rPr>
        <sz val="8"/>
        <color theme="1"/>
        <rFont val="Calibri"/>
        <family val="2"/>
        <scheme val="minor"/>
      </rPr>
      <t>9:30</t>
    </r>
    <r>
      <rPr>
        <sz val="12"/>
        <color theme="1"/>
        <rFont val="Calibri"/>
        <family val="2"/>
        <scheme val="minor"/>
      </rPr>
      <t xml:space="preserve">
Calisthenics
</t>
    </r>
    <r>
      <rPr>
        <sz val="8"/>
        <color theme="1"/>
        <rFont val="Calibri"/>
        <family val="2"/>
        <scheme val="minor"/>
      </rPr>
      <t>10:30</t>
    </r>
  </si>
  <si>
    <t>5 days</t>
  </si>
  <si>
    <t>Saturdays</t>
  </si>
  <si>
    <t>2 weeks (saturdays)</t>
  </si>
  <si>
    <t>15th of the month</t>
  </si>
  <si>
    <r>
      <rPr>
        <sz val="8"/>
        <color theme="1"/>
        <rFont val="Calibri"/>
        <family val="2"/>
        <scheme val="minor"/>
      </rPr>
      <t>7:50</t>
    </r>
    <r>
      <rPr>
        <sz val="12"/>
        <color theme="1"/>
        <rFont val="Calibri"/>
        <family val="2"/>
        <scheme val="minor"/>
      </rPr>
      <t xml:space="preserve">
Shower &amp; Get Ready
</t>
    </r>
    <r>
      <rPr>
        <sz val="8"/>
        <color theme="1"/>
        <rFont val="Calibri"/>
        <family val="2"/>
        <scheme val="minor"/>
      </rPr>
      <t>8:30</t>
    </r>
  </si>
  <si>
    <t>Change Towel</t>
  </si>
  <si>
    <t>Change Pijamas</t>
  </si>
  <si>
    <t>Sundays</t>
  </si>
  <si>
    <t>Next Check</t>
  </si>
  <si>
    <t>Pay Kung Fu</t>
  </si>
  <si>
    <t>Recharge Transport Card</t>
  </si>
  <si>
    <t>90 days</t>
  </si>
  <si>
    <t>40 days</t>
  </si>
  <si>
    <t>21 days</t>
  </si>
  <si>
    <t>4 weeks (mondays)</t>
  </si>
  <si>
    <t>Strategic Time Distribution</t>
  </si>
  <si>
    <t>No tasks =</t>
  </si>
  <si>
    <t>To-Do-List</t>
  </si>
  <si>
    <t>Condition</t>
  </si>
  <si>
    <t>Task Priority</t>
  </si>
  <si>
    <t>At least one task &lt;= than:</t>
  </si>
  <si>
    <r>
      <rPr>
        <sz val="8"/>
        <color theme="1"/>
        <rFont val="Calibri"/>
        <family val="2"/>
        <scheme val="minor"/>
      </rPr>
      <t>11:30</t>
    </r>
    <r>
      <rPr>
        <sz val="12"/>
        <color theme="1"/>
        <rFont val="Calibri"/>
        <family val="2"/>
        <scheme val="minor"/>
      </rPr>
      <t xml:space="preserve">
Strategic Time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</si>
  <si>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14:00</t>
    </r>
    <r>
      <rPr>
        <sz val="12"/>
        <color theme="1"/>
        <rFont val="Calibri"/>
        <family val="2"/>
        <scheme val="minor"/>
      </rPr>
      <t xml:space="preserve">
Work
</t>
    </r>
    <r>
      <rPr>
        <sz val="8"/>
        <color theme="1"/>
        <rFont val="Calibri"/>
        <family val="2"/>
        <scheme val="minor"/>
      </rPr>
      <t>17:00</t>
    </r>
  </si>
  <si>
    <r>
      <rPr>
        <sz val="8"/>
        <color theme="1"/>
        <rFont val="Calibri"/>
        <family val="2"/>
        <scheme val="minor"/>
      </rPr>
      <t>8:30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11:30</t>
    </r>
  </si>
  <si>
    <r>
      <rPr>
        <sz val="8"/>
        <color theme="1"/>
        <rFont val="Calibri"/>
        <family val="2"/>
        <scheme val="minor"/>
      </rPr>
      <t>17:00</t>
    </r>
    <r>
      <rPr>
        <sz val="12"/>
        <color theme="1"/>
        <rFont val="Calibri"/>
        <family val="2"/>
        <scheme val="minor"/>
      </rPr>
      <t xml:space="preserve">
Strategic Time
</t>
    </r>
    <r>
      <rPr>
        <sz val="8"/>
        <color theme="1"/>
        <rFont val="Calibri"/>
        <family val="2"/>
        <scheme val="minor"/>
      </rPr>
      <t>18:00</t>
    </r>
  </si>
  <si>
    <r>
      <rPr>
        <sz val="8"/>
        <color theme="1"/>
        <rFont val="Calibri"/>
        <family val="2"/>
        <scheme val="minor"/>
      </rPr>
      <t>17:00</t>
    </r>
    <r>
      <rPr>
        <sz val="12"/>
        <color theme="1"/>
        <rFont val="Calibri"/>
        <family val="2"/>
        <scheme val="minor"/>
      </rPr>
      <t xml:space="preserve">
Strategic Time
</t>
    </r>
    <r>
      <rPr>
        <sz val="8"/>
        <color theme="1"/>
        <rFont val="Calibri"/>
        <family val="2"/>
        <scheme val="minor"/>
      </rPr>
      <t>18:30</t>
    </r>
  </si>
  <si>
    <r>
      <rPr>
        <sz val="8"/>
        <color theme="1"/>
        <rFont val="Calibri"/>
        <family val="2"/>
        <scheme val="minor"/>
      </rPr>
      <t>18:30</t>
    </r>
    <r>
      <rPr>
        <sz val="12"/>
        <color theme="1"/>
        <rFont val="Calibri"/>
        <family val="2"/>
        <scheme val="minor"/>
      </rPr>
      <t xml:space="preserve">
Dinner
</t>
    </r>
    <r>
      <rPr>
        <sz val="8"/>
        <color theme="1"/>
        <rFont val="Calibri"/>
        <family val="2"/>
        <scheme val="minor"/>
      </rPr>
      <t>19:00</t>
    </r>
  </si>
  <si>
    <t>Sleep</t>
  </si>
  <si>
    <r>
      <rPr>
        <sz val="8"/>
        <color theme="1"/>
        <rFont val="Calibri"/>
        <family val="2"/>
        <scheme val="minor"/>
      </rPr>
      <t>6:30</t>
    </r>
    <r>
      <rPr>
        <sz val="12"/>
        <color theme="1"/>
        <rFont val="Calibri"/>
        <family val="2"/>
        <scheme val="minor"/>
      </rPr>
      <t xml:space="preserve">
Gym
</t>
    </r>
    <r>
      <rPr>
        <sz val="8"/>
        <color theme="1"/>
        <rFont val="Calibri"/>
        <family val="2"/>
        <scheme val="minor"/>
      </rPr>
      <t>7:20</t>
    </r>
  </si>
  <si>
    <r>
      <rPr>
        <sz val="8"/>
        <color theme="1"/>
        <rFont val="Calibri"/>
        <family val="2"/>
        <scheme val="minor"/>
      </rPr>
      <t>7:20</t>
    </r>
    <r>
      <rPr>
        <sz val="12"/>
        <color theme="1"/>
        <rFont val="Calibri"/>
        <family val="2"/>
        <scheme val="minor"/>
      </rPr>
      <t xml:space="preserve">
Get Ready for Work
</t>
    </r>
    <r>
      <rPr>
        <sz val="8"/>
        <color theme="1"/>
        <rFont val="Calibri"/>
        <family val="2"/>
        <scheme val="minor"/>
      </rPr>
      <t>7:55</t>
    </r>
  </si>
  <si>
    <r>
      <rPr>
        <sz val="8"/>
        <color theme="1"/>
        <rFont val="Calibri"/>
        <family val="2"/>
        <scheme val="minor"/>
      </rPr>
      <t>7:55</t>
    </r>
    <r>
      <rPr>
        <sz val="12"/>
        <color theme="1"/>
        <rFont val="Calibri"/>
        <family val="2"/>
        <scheme val="minor"/>
      </rPr>
      <t xml:space="preserve">
Morning Break
</t>
    </r>
    <r>
      <rPr>
        <sz val="8"/>
        <color theme="1"/>
        <rFont val="Calibri"/>
        <family val="2"/>
        <scheme val="minor"/>
      </rPr>
      <t>8:30</t>
    </r>
  </si>
  <si>
    <r>
      <rPr>
        <sz val="8"/>
        <color theme="1"/>
        <rFont val="Calibri"/>
        <family val="2"/>
        <scheme val="minor"/>
      </rPr>
      <t>8:30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10:30</t>
    </r>
  </si>
  <si>
    <r>
      <rPr>
        <sz val="8"/>
        <color theme="1"/>
        <rFont val="Calibri"/>
        <family val="2"/>
        <scheme val="minor"/>
      </rPr>
      <t>10:30</t>
    </r>
    <r>
      <rPr>
        <sz val="12"/>
        <color theme="1"/>
        <rFont val="Calibri"/>
        <family val="2"/>
        <scheme val="minor"/>
      </rPr>
      <t xml:space="preserve">
Work
</t>
    </r>
    <r>
      <rPr>
        <sz val="8"/>
        <color theme="1"/>
        <rFont val="Calibri"/>
        <family val="2"/>
        <scheme val="minor"/>
      </rPr>
      <t>13:00</t>
    </r>
  </si>
  <si>
    <r>
      <rPr>
        <sz val="8"/>
        <color theme="1"/>
        <rFont val="Calibri"/>
        <family val="2"/>
        <scheme val="minor"/>
      </rPr>
      <t>17:00</t>
    </r>
    <r>
      <rPr>
        <sz val="12"/>
        <color theme="1"/>
        <rFont val="Calibri"/>
        <family val="2"/>
        <scheme val="minor"/>
      </rPr>
      <t xml:space="preserve">
Leave Office
</t>
    </r>
    <r>
      <rPr>
        <sz val="8"/>
        <color theme="1"/>
        <rFont val="Calibri"/>
        <family val="2"/>
        <scheme val="minor"/>
      </rPr>
      <t>17:20</t>
    </r>
  </si>
  <si>
    <r>
      <rPr>
        <sz val="8"/>
        <color theme="1"/>
        <rFont val="Calibri"/>
        <family val="2"/>
        <scheme val="minor"/>
      </rPr>
      <t>17:30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19:30</t>
    </r>
  </si>
  <si>
    <t>Work</t>
  </si>
  <si>
    <r>
      <rPr>
        <sz val="8"/>
        <color theme="1"/>
        <rFont val="Calibri"/>
        <family val="2"/>
        <scheme val="minor"/>
      </rPr>
      <t>17:30</t>
    </r>
    <r>
      <rPr>
        <sz val="12"/>
        <color theme="1"/>
        <rFont val="Calibri"/>
        <family val="2"/>
        <scheme val="minor"/>
      </rPr>
      <t xml:space="preserve">
Take the Bus
</t>
    </r>
    <r>
      <rPr>
        <sz val="8"/>
        <color theme="1"/>
        <rFont val="Calibri"/>
        <family val="2"/>
        <scheme val="minor"/>
      </rPr>
      <t>18:30</t>
    </r>
  </si>
  <si>
    <r>
      <rPr>
        <sz val="8"/>
        <color theme="1"/>
        <rFont val="Calibri"/>
        <family val="2"/>
        <scheme val="minor"/>
      </rPr>
      <t>18:30</t>
    </r>
    <r>
      <rPr>
        <sz val="12"/>
        <color theme="1"/>
        <rFont val="Calibri"/>
        <family val="2"/>
        <scheme val="minor"/>
      </rPr>
      <t xml:space="preserve">
Unpack &amp; Dinner
</t>
    </r>
    <r>
      <rPr>
        <sz val="8"/>
        <color theme="1"/>
        <rFont val="Calibri"/>
        <family val="2"/>
        <scheme val="minor"/>
      </rPr>
      <t>19:30</t>
    </r>
  </si>
  <si>
    <r>
      <rPr>
        <sz val="8"/>
        <color theme="1"/>
        <rFont val="Calibri"/>
        <family val="2"/>
        <scheme val="minor"/>
      </rPr>
      <t>4:30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Breakfast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5:00</t>
    </r>
  </si>
  <si>
    <t>Daily Intensity [h]</t>
  </si>
  <si>
    <t>Actual Average Daily Intensity [h]</t>
  </si>
  <si>
    <t>Actual Weekly Intensity [h]</t>
  </si>
  <si>
    <r>
      <rPr>
        <sz val="8"/>
        <color theme="1"/>
        <rFont val="Calibri"/>
        <family val="2"/>
        <scheme val="minor"/>
      </rPr>
      <t>16:00</t>
    </r>
    <r>
      <rPr>
        <sz val="12"/>
        <color theme="1"/>
        <rFont val="Calibri"/>
        <family val="2"/>
        <scheme val="minor"/>
      </rPr>
      <t xml:space="preserve">
German
</t>
    </r>
    <r>
      <rPr>
        <sz val="8"/>
        <color theme="1"/>
        <rFont val="Calibri"/>
        <family val="2"/>
        <scheme val="minor"/>
      </rPr>
      <t>17:00</t>
    </r>
  </si>
  <si>
    <r>
      <rPr>
        <sz val="8"/>
        <color theme="1"/>
        <rFont val="Calibri"/>
        <family val="2"/>
        <scheme val="minor"/>
      </rPr>
      <t>17:00</t>
    </r>
    <r>
      <rPr>
        <sz val="12"/>
        <color theme="1"/>
        <rFont val="Calibri"/>
        <family val="2"/>
        <scheme val="minor"/>
      </rPr>
      <t xml:space="preserve">
Free Time
</t>
    </r>
    <r>
      <rPr>
        <sz val="8"/>
        <color theme="1"/>
        <rFont val="Calibri"/>
        <family val="2"/>
        <scheme val="minor"/>
      </rPr>
      <t>18:30</t>
    </r>
  </si>
  <si>
    <t>Kung Fu</t>
  </si>
  <si>
    <t>NO SCROLLING</t>
  </si>
  <si>
    <t>Execution</t>
  </si>
  <si>
    <t>Activity</t>
  </si>
  <si>
    <t>Initial Date</t>
  </si>
  <si>
    <t>Final Date</t>
  </si>
  <si>
    <t>Duration (days)</t>
  </si>
  <si>
    <t>Deutsch B2</t>
  </si>
  <si>
    <t>Kapitel 1</t>
  </si>
  <si>
    <t>Kapitel 2</t>
  </si>
  <si>
    <t>Kapitel 3</t>
  </si>
  <si>
    <t>Kapitel 4</t>
  </si>
  <si>
    <t>Kapitel 5</t>
  </si>
  <si>
    <t>Kapitel 6</t>
  </si>
  <si>
    <t>Kapitel 7</t>
  </si>
  <si>
    <t>Kapitel 8</t>
  </si>
  <si>
    <t>Test Simulation 1</t>
  </si>
  <si>
    <t>Test Simulation 2</t>
  </si>
  <si>
    <t>Wortschatzbuch</t>
  </si>
  <si>
    <t>5th of the month</t>
  </si>
  <si>
    <t>GYM / CALISTHENICS</t>
  </si>
  <si>
    <t>Session</t>
  </si>
  <si>
    <t>Cards</t>
  </si>
  <si>
    <t>Time</t>
  </si>
  <si>
    <t>Previous Check</t>
  </si>
  <si>
    <t>23th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</si>
</sst>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7]d/\ mmm/;@"/>
    <numFmt numFmtId="166" formatCode="ddd\ dd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DC8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11" borderId="0" applyNumberFormat="0" applyBorder="0" applyAlignment="0" applyProtection="0"/>
    <xf numFmtId="0" fontId="4" fillId="13" borderId="46" applyNumberFormat="0" applyAlignment="0" applyProtection="0"/>
    <xf numFmtId="0" fontId="11" fillId="17" borderId="0" applyNumberFormat="0" applyBorder="0" applyAlignment="0" applyProtection="0"/>
    <xf numFmtId="0" fontId="13" fillId="19" borderId="0" applyNumberFormat="0" applyBorder="0" applyAlignment="0" applyProtection="0"/>
  </cellStyleXfs>
  <cellXfs count="157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4" xfId="0" applyBorder="1"/>
    <xf numFmtId="164" fontId="0" fillId="0" borderId="13" xfId="0" applyNumberFormat="1" applyBorder="1"/>
    <xf numFmtId="0" fontId="0" fillId="0" borderId="19" xfId="0" applyBorder="1"/>
    <xf numFmtId="0" fontId="0" fillId="0" borderId="20" xfId="0" applyBorder="1"/>
    <xf numFmtId="2" fontId="0" fillId="0" borderId="20" xfId="0" applyNumberFormat="1" applyBorder="1"/>
    <xf numFmtId="164" fontId="0" fillId="0" borderId="21" xfId="0" applyNumberFormat="1" applyBorder="1"/>
    <xf numFmtId="49" fontId="0" fillId="8" borderId="0" xfId="0" applyNumberFormat="1" applyFill="1"/>
    <xf numFmtId="49" fontId="0" fillId="8" borderId="22" xfId="0" applyNumberFormat="1" applyFill="1" applyBorder="1"/>
    <xf numFmtId="49" fontId="0" fillId="8" borderId="23" xfId="0" applyNumberFormat="1" applyFill="1" applyBorder="1"/>
    <xf numFmtId="49" fontId="0" fillId="8" borderId="24" xfId="0" applyNumberFormat="1" applyFill="1" applyBorder="1"/>
    <xf numFmtId="49" fontId="0" fillId="8" borderId="25" xfId="0" applyNumberFormat="1" applyFill="1" applyBorder="1"/>
    <xf numFmtId="49" fontId="0" fillId="8" borderId="26" xfId="0" applyNumberFormat="1" applyFill="1" applyBorder="1"/>
    <xf numFmtId="49" fontId="5" fillId="8" borderId="30" xfId="0" applyNumberFormat="1" applyFont="1" applyFill="1" applyBorder="1" applyAlignment="1">
      <alignment horizontal="center" vertical="center"/>
    </xf>
    <xf numFmtId="49" fontId="5" fillId="8" borderId="30" xfId="0" applyNumberFormat="1" applyFont="1" applyFill="1" applyBorder="1" applyAlignment="1">
      <alignment horizontal="center"/>
    </xf>
    <xf numFmtId="0" fontId="0" fillId="4" borderId="31" xfId="0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/>
    </xf>
    <xf numFmtId="165" fontId="0" fillId="0" borderId="0" xfId="0" applyNumberFormat="1"/>
    <xf numFmtId="16" fontId="0" fillId="0" borderId="1" xfId="0" applyNumberFormat="1" applyBorder="1"/>
    <xf numFmtId="166" fontId="4" fillId="5" borderId="1" xfId="0" applyNumberFormat="1" applyFont="1" applyFill="1" applyBorder="1" applyAlignment="1">
      <alignment horizontal="center" vertical="center"/>
    </xf>
    <xf numFmtId="0" fontId="7" fillId="11" borderId="1" xfId="1" applyBorder="1"/>
    <xf numFmtId="2" fontId="0" fillId="0" borderId="0" xfId="0" applyNumberFormat="1"/>
    <xf numFmtId="2" fontId="0" fillId="12" borderId="1" xfId="0" applyNumberFormat="1" applyFill="1" applyBorder="1" applyAlignment="1">
      <alignment horizontal="right" vertical="center"/>
    </xf>
    <xf numFmtId="0" fontId="2" fillId="0" borderId="20" xfId="0" applyFont="1" applyBorder="1" applyAlignment="1">
      <alignment horizontal="center" vertical="center" wrapText="1"/>
    </xf>
    <xf numFmtId="2" fontId="0" fillId="12" borderId="39" xfId="0" applyNumberFormat="1" applyFill="1" applyBorder="1" applyAlignment="1">
      <alignment horizontal="right" vertical="center"/>
    </xf>
    <xf numFmtId="1" fontId="0" fillId="6" borderId="40" xfId="0" applyNumberFormat="1" applyFill="1" applyBorder="1" applyAlignment="1">
      <alignment horizontal="right" vertical="center"/>
    </xf>
    <xf numFmtId="1" fontId="0" fillId="6" borderId="3" xfId="0" applyNumberFormat="1" applyFill="1" applyBorder="1" applyAlignment="1">
      <alignment horizontal="right" vertical="center"/>
    </xf>
    <xf numFmtId="2" fontId="0" fillId="12" borderId="5" xfId="0" applyNumberFormat="1" applyFill="1" applyBorder="1" applyAlignment="1">
      <alignment horizontal="right" vertical="center"/>
    </xf>
    <xf numFmtId="1" fontId="0" fillId="6" borderId="6" xfId="0" applyNumberFormat="1" applyFill="1" applyBorder="1" applyAlignment="1">
      <alignment horizontal="right" vertical="center"/>
    </xf>
    <xf numFmtId="0" fontId="0" fillId="3" borderId="16" xfId="0" applyFill="1" applyBorder="1"/>
    <xf numFmtId="0" fontId="0" fillId="3" borderId="17" xfId="0" applyFill="1" applyBorder="1"/>
    <xf numFmtId="0" fontId="0" fillId="3" borderId="22" xfId="0" applyFill="1" applyBorder="1"/>
    <xf numFmtId="0" fontId="0" fillId="3" borderId="23" xfId="0" applyFill="1" applyBorder="1"/>
    <xf numFmtId="1" fontId="0" fillId="6" borderId="37" xfId="0" applyNumberFormat="1" applyFill="1" applyBorder="1" applyAlignment="1">
      <alignment horizontal="right" vertical="center"/>
    </xf>
    <xf numFmtId="2" fontId="0" fillId="12" borderId="42" xfId="0" applyNumberFormat="1" applyFill="1" applyBorder="1" applyAlignment="1">
      <alignment horizontal="right" vertical="center"/>
    </xf>
    <xf numFmtId="2" fontId="0" fillId="12" borderId="13" xfId="0" applyNumberFormat="1" applyFill="1" applyBorder="1" applyAlignment="1">
      <alignment horizontal="right" vertical="center"/>
    </xf>
    <xf numFmtId="2" fontId="0" fillId="12" borderId="43" xfId="0" applyNumberFormat="1" applyFill="1" applyBorder="1" applyAlignment="1">
      <alignment horizontal="right" vertical="center"/>
    </xf>
    <xf numFmtId="2" fontId="0" fillId="6" borderId="38" xfId="0" applyNumberFormat="1" applyFill="1" applyBorder="1" applyAlignment="1">
      <alignment horizontal="right" vertical="center"/>
    </xf>
    <xf numFmtId="2" fontId="0" fillId="6" borderId="2" xfId="0" applyNumberFormat="1" applyFill="1" applyBorder="1" applyAlignment="1">
      <alignment horizontal="right" vertical="center"/>
    </xf>
    <xf numFmtId="2" fontId="0" fillId="6" borderId="36" xfId="0" applyNumberFormat="1" applyFill="1" applyBorder="1" applyAlignment="1">
      <alignment horizontal="right" vertical="center"/>
    </xf>
    <xf numFmtId="2" fontId="0" fillId="6" borderId="4" xfId="0" applyNumberFormat="1" applyFill="1" applyBorder="1" applyAlignment="1">
      <alignment horizontal="right" vertical="center"/>
    </xf>
    <xf numFmtId="2" fontId="0" fillId="12" borderId="44" xfId="0" applyNumberFormat="1" applyFill="1" applyBorder="1" applyAlignment="1">
      <alignment horizontal="right" vertical="center"/>
    </xf>
    <xf numFmtId="2" fontId="0" fillId="12" borderId="14" xfId="0" applyNumberFormat="1" applyFill="1" applyBorder="1" applyAlignment="1">
      <alignment horizontal="right" vertical="center"/>
    </xf>
    <xf numFmtId="2" fontId="0" fillId="12" borderId="45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4" borderId="47" xfId="0" applyFill="1" applyBorder="1"/>
    <xf numFmtId="0" fontId="0" fillId="0" borderId="47" xfId="0" applyBorder="1"/>
    <xf numFmtId="14" fontId="0" fillId="0" borderId="0" xfId="0" applyNumberFormat="1"/>
    <xf numFmtId="0" fontId="0" fillId="15" borderId="0" xfId="0" applyFill="1"/>
    <xf numFmtId="0" fontId="2" fillId="0" borderId="0" xfId="0" applyFont="1" applyAlignment="1">
      <alignment horizontal="center" vertical="center"/>
    </xf>
    <xf numFmtId="0" fontId="0" fillId="10" borderId="0" xfId="0" applyFill="1"/>
    <xf numFmtId="0" fontId="7" fillId="11" borderId="20" xfId="1" applyBorder="1"/>
    <xf numFmtId="0" fontId="7" fillId="11" borderId="19" xfId="1" applyBorder="1"/>
    <xf numFmtId="2" fontId="7" fillId="11" borderId="20" xfId="1" applyNumberFormat="1" applyBorder="1"/>
    <xf numFmtId="164" fontId="7" fillId="11" borderId="20" xfId="1" applyNumberFormat="1" applyBorder="1"/>
    <xf numFmtId="164" fontId="7" fillId="11" borderId="21" xfId="1" applyNumberFormat="1" applyBorder="1"/>
    <xf numFmtId="0" fontId="0" fillId="0" borderId="8" xfId="0" applyBorder="1"/>
    <xf numFmtId="2" fontId="7" fillId="11" borderId="1" xfId="1" applyNumberFormat="1" applyBorder="1"/>
    <xf numFmtId="2" fontId="0" fillId="0" borderId="8" xfId="0" applyNumberFormat="1" applyBorder="1"/>
    <xf numFmtId="14" fontId="5" fillId="0" borderId="18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0" fontId="10" fillId="7" borderId="35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16" fontId="7" fillId="11" borderId="1" xfId="1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7" fillId="11" borderId="20" xfId="1" applyNumberFormat="1" applyBorder="1" applyAlignment="1">
      <alignment horizontal="center" vertical="center"/>
    </xf>
    <xf numFmtId="16" fontId="9" fillId="16" borderId="1" xfId="2" applyNumberFormat="1" applyFont="1" applyFill="1" applyBorder="1" applyAlignment="1">
      <alignment horizontal="center" vertical="center"/>
    </xf>
    <xf numFmtId="1" fontId="9" fillId="16" borderId="1" xfId="2" applyNumberFormat="1" applyFont="1" applyFill="1" applyBorder="1" applyAlignment="1">
      <alignment horizontal="center" vertical="center"/>
    </xf>
    <xf numFmtId="1" fontId="7" fillId="11" borderId="1" xfId="1" applyNumberFormat="1" applyBorder="1" applyAlignment="1">
      <alignment horizontal="center" vertical="center"/>
    </xf>
    <xf numFmtId="16" fontId="11" fillId="17" borderId="1" xfId="3" applyNumberFormat="1" applyBorder="1" applyAlignment="1">
      <alignment horizontal="center" vertical="center"/>
    </xf>
    <xf numFmtId="1" fontId="11" fillId="17" borderId="1" xfId="3" applyNumberFormat="1" applyBorder="1" applyAlignment="1">
      <alignment horizontal="center" vertical="center"/>
    </xf>
    <xf numFmtId="0" fontId="9" fillId="16" borderId="1" xfId="2" applyFont="1" applyFill="1" applyBorder="1" applyAlignment="1">
      <alignment horizontal="center" vertical="center"/>
    </xf>
    <xf numFmtId="1" fontId="9" fillId="16" borderId="1" xfId="0" applyNumberFormat="1" applyFont="1" applyFill="1" applyBorder="1" applyAlignment="1">
      <alignment horizontal="center" vertical="center"/>
    </xf>
    <xf numFmtId="0" fontId="7" fillId="11" borderId="1" xfId="1" applyBorder="1" applyAlignment="1">
      <alignment horizontal="center" vertical="center"/>
    </xf>
    <xf numFmtId="0" fontId="11" fillId="17" borderId="1" xfId="3" applyBorder="1" applyAlignment="1">
      <alignment horizontal="center" vertical="center"/>
    </xf>
    <xf numFmtId="0" fontId="7" fillId="11" borderId="20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9" fillId="16" borderId="8" xfId="2" applyFont="1" applyFill="1" applyBorder="1" applyAlignment="1">
      <alignment horizontal="center" vertical="center"/>
    </xf>
    <xf numFmtId="16" fontId="9" fillId="16" borderId="8" xfId="2" applyNumberFormat="1" applyFont="1" applyFill="1" applyBorder="1" applyAlignment="1">
      <alignment horizontal="center" vertical="center"/>
    </xf>
    <xf numFmtId="1" fontId="9" fillId="16" borderId="8" xfId="0" applyNumberFormat="1" applyFont="1" applyFill="1" applyBorder="1" applyAlignment="1">
      <alignment horizontal="center" vertical="center"/>
    </xf>
    <xf numFmtId="0" fontId="7" fillId="11" borderId="8" xfId="1" applyBorder="1" applyAlignment="1">
      <alignment horizontal="center" vertical="center"/>
    </xf>
    <xf numFmtId="16" fontId="7" fillId="11" borderId="8" xfId="1" applyNumberFormat="1" applyBorder="1" applyAlignment="1">
      <alignment horizontal="center" vertical="center"/>
    </xf>
    <xf numFmtId="1" fontId="7" fillId="11" borderId="20" xfId="1" applyNumberFormat="1" applyBorder="1" applyAlignment="1">
      <alignment horizontal="center" vertical="center"/>
    </xf>
    <xf numFmtId="0" fontId="13" fillId="19" borderId="8" xfId="4" applyBorder="1" applyAlignment="1">
      <alignment horizontal="center" vertical="center"/>
    </xf>
    <xf numFmtId="16" fontId="13" fillId="19" borderId="8" xfId="4" applyNumberFormat="1" applyBorder="1" applyAlignment="1">
      <alignment horizontal="center" vertical="center"/>
    </xf>
    <xf numFmtId="1" fontId="13" fillId="19" borderId="20" xfId="4" applyNumberFormat="1" applyBorder="1" applyAlignment="1">
      <alignment horizontal="center" vertical="center"/>
    </xf>
    <xf numFmtId="0" fontId="13" fillId="19" borderId="1" xfId="4" applyBorder="1" applyAlignment="1">
      <alignment horizontal="center" vertical="center"/>
    </xf>
    <xf numFmtId="16" fontId="13" fillId="19" borderId="1" xfId="4" applyNumberFormat="1" applyBorder="1" applyAlignment="1">
      <alignment horizontal="center" vertical="center"/>
    </xf>
    <xf numFmtId="1" fontId="13" fillId="19" borderId="1" xfId="4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49" fontId="6" fillId="9" borderId="27" xfId="0" applyNumberFormat="1" applyFont="1" applyFill="1" applyBorder="1" applyAlignment="1">
      <alignment horizontal="center" vertical="center"/>
    </xf>
    <xf numFmtId="49" fontId="6" fillId="9" borderId="28" xfId="0" applyNumberFormat="1" applyFont="1" applyFill="1" applyBorder="1" applyAlignment="1">
      <alignment horizontal="center" vertical="center"/>
    </xf>
    <xf numFmtId="49" fontId="6" fillId="9" borderId="29" xfId="0" applyNumberFormat="1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textRotation="90"/>
    </xf>
    <xf numFmtId="0" fontId="4" fillId="5" borderId="15" xfId="0" applyFont="1" applyFill="1" applyBorder="1" applyAlignment="1">
      <alignment horizontal="center" vertical="center" textRotation="90"/>
    </xf>
    <xf numFmtId="0" fontId="4" fillId="5" borderId="1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textRotation="90"/>
    </xf>
    <xf numFmtId="0" fontId="8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Bad" xfId="3" builtinId="27"/>
    <cellStyle name="Check Cell" xfId="2" builtinId="23"/>
    <cellStyle name="Good" xfId="1" builtinId="26"/>
    <cellStyle name="Neutral" xfId="4" builtinId="28"/>
    <cellStyle name="Normal" xfId="0" builtinId="0"/>
  </cellStyles>
  <dxfs count="48"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[$-F800]dddd\,\ mmmm\ dd\,\ yyyy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7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color theme="9"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EA5036"/>
      </font>
      <fill>
        <patternFill>
          <bgColor rgb="FFEA503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6" tint="-0.24994659260841701"/>
      </font>
      <fill>
        <patternFill>
          <bgColor theme="6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FFDC8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[$-F800]dddd\,\ mmmm\ dd\,\ yy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C81"/>
      <color rgb="FFEA50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32330-27B6-422A-9D1F-1FC5BAE5E4DB}" name="Tabla1" displayName="Tabla1" ref="B4:K7" totalsRowShown="0" headerRowDxfId="47" headerRowBorderDxfId="46" tableBorderDxfId="45" totalsRowBorderDxfId="44">
  <autoFilter ref="B4:K7" xr:uid="{A0D32330-27B6-422A-9D1F-1FC5BAE5E4DB}"/>
  <tableColumns count="10">
    <tableColumn id="1" xr3:uid="{19F98066-679F-4EEC-9A8C-22860A587D58}" name="Language" dataDxfId="43"/>
    <tableColumn id="2" xr3:uid="{9BE73F99-3CBD-49DC-86AA-136DA5596E56}" name="Current Level" dataDxfId="42"/>
    <tableColumn id="3" xr3:uid="{D1CA6F26-E592-4F65-8835-ED17E93DB151}" name="Objective" dataDxfId="41"/>
    <tableColumn id="4" xr3:uid="{F859D955-4AE2-43E1-84D7-DDB739CAE75B}" name="Daily Intensity [h]" dataDxfId="40"/>
    <tableColumn id="5" xr3:uid="{D6D3DADB-90B1-49DA-9D0F-69E54089656D}" name="Estimated Time (Best) [months]" dataDxfId="39" dataCellStyle="Good"/>
    <tableColumn id="6" xr3:uid="{7BF26971-99B7-4341-9936-055654ADE3C7}" name="Estimated Time (Expected) [months]" dataDxfId="38" dataCellStyle="Good"/>
    <tableColumn id="7" xr3:uid="{2E85D0AD-3119-4874-89FE-74923BCA0E5B}" name="Actual Average Daily Intensity [h]" dataDxfId="37" dataCellStyle="Good"/>
    <tableColumn id="8" xr3:uid="{2E862DF0-5B48-469F-9CE4-BDBEF11C9796}" name="Actual Weekly Intensity [h]" dataDxfId="36" dataCellStyle="Good"/>
    <tableColumn id="9" xr3:uid="{E007EA51-E3B8-4B5E-B04D-776D525232C7}" name="Termination Date (Best)" dataDxfId="35" dataCellStyle="Good">
      <calculatedColumnFormula>EDATE(Logbook!$C$3,'Detailed Planning'!F5)</calculatedColumnFormula>
    </tableColumn>
    <tableColumn id="10" xr3:uid="{71F0CAF6-D6C3-43DE-A41C-85D4DA3C78E2}" name="Termination Date (Expected)" dataDxfId="34" dataCellStyle="Good">
      <calculatedColumnFormula>EDATE(Logbook!$C$3,'Detailed Planning'!G5)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0FA068-EA4A-45AE-A57E-F297B509054A}" name="Table8" displayName="Table8" ref="G11:I13" totalsRowShown="0" headerRowDxfId="33">
  <autoFilter ref="G11:I13" xr:uid="{A80FA068-EA4A-45AE-A57E-F297B509054A}"/>
  <tableColumns count="3">
    <tableColumn id="1" xr3:uid="{D8FF2D70-8D4E-40F6-8222-6587517BA496}" name="Task"/>
    <tableColumn id="2" xr3:uid="{178FC228-3B72-466B-939E-55B81A2A8551}" name="Condition"/>
    <tableColumn id="3" xr3:uid="{7A00B730-B233-4377-94C3-25553C7654A1}" name="Task Priority" dataDxfId="3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30F8FA-BB4E-4693-A0C5-CD0454701FBA}" name="Table1" displayName="Table1" ref="B2:G24" totalsRowShown="0" headerRowDxfId="27" dataDxfId="26">
  <autoFilter ref="B2:G24" xr:uid="{6D30F8FA-BB4E-4693-A0C5-CD0454701FBA}"/>
  <sortState xmlns:xlrd2="http://schemas.microsoft.com/office/spreadsheetml/2017/richdata2" ref="B3:G24">
    <sortCondition descending="1" ref="F2:F24"/>
  </sortState>
  <tableColumns count="6">
    <tableColumn id="1" xr3:uid="{05477FFA-5BEC-45BA-8CF7-36BEDCF32429}" name="Task" dataDxfId="25"/>
    <tableColumn id="2" xr3:uid="{0BA13A88-2DB2-42F4-9C09-E56CF8590AED}" name="Importance (1-5)" dataDxfId="24"/>
    <tableColumn id="3" xr3:uid="{1A6917C2-468C-48ED-9177-AA8E25AD4AF8}" name="Deadline" dataDxfId="23"/>
    <tableColumn id="4" xr3:uid="{FEAE9DBB-3AC6-424C-9191-E939A3B53451}" name="Progress (1-5)" dataDxfId="22"/>
    <tableColumn id="5" xr3:uid="{999FE4F4-1750-4966-B8AA-6A4C8C62DCC5}" name="Priority" dataDxfId="21">
      <calculatedColumnFormula>C3 + MAX(0, (30-_xlfn.DAYS(D3, TODAY()))) + (10-E3)</calculatedColumnFormula>
    </tableColumn>
    <tableColumn id="6" xr3:uid="{75E8F6A4-CE29-4B38-8EFC-46F951A46AE3}" name="Status Description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045C9D-EFD2-41E0-96DE-0347BB9EF768}" name="Tabla5" displayName="Tabla5" ref="B2:E17" totalsRowShown="0" headerRowDxfId="19" dataDxfId="18">
  <autoFilter ref="B2:E17" xr:uid="{70045C9D-EFD2-41E0-96DE-0347BB9EF768}"/>
  <sortState xmlns:xlrd2="http://schemas.microsoft.com/office/spreadsheetml/2017/richdata2" ref="B3:E17">
    <sortCondition ref="E2:E17"/>
  </sortState>
  <tableColumns count="4">
    <tableColumn id="1" xr3:uid="{0E6145F2-6F29-4A26-AB8F-9DF7DB3ECBE6}" name="Name" dataDxfId="17"/>
    <tableColumn id="2" xr3:uid="{01AABBA1-86AF-4CDD-8059-B6B90931FA25}" name="Frequency" dataDxfId="16"/>
    <tableColumn id="4" xr3:uid="{7E9972C0-1274-4C43-9D4F-294C74FAC42E}" name="Previous Check" dataDxfId="15"/>
    <tableColumn id="3" xr3:uid="{FF1D2EE6-735A-4AB4-9038-F2B4580252C7}" name="Next Check" dataDxfId="14">
      <calculatedColumnFormula>B1048562+_xlfn.CEILING.MATH((TODAY()-B1048562)/21, 1)*21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2D3A0-C9C6-4CC5-93AF-387804D1534E}" name="Tabla3" displayName="Tabla3" ref="B3:D7" totalsRowShown="0" headerRowDxfId="13" headerRowBorderDxfId="12" tableBorderDxfId="11" totalsRowBorderDxfId="10">
  <autoFilter ref="B3:D7" xr:uid="{6A82D3A0-C9C6-4CC5-93AF-387804D1534E}"/>
  <tableColumns count="3">
    <tableColumn id="2" xr3:uid="{C82188A7-91BB-4892-990F-80EEDD116086}" name="Duration [min]" dataDxfId="9"/>
    <tableColumn id="3" xr3:uid="{257FEA3E-E906-47EB-888B-4DEEEF6D8878}" name="Block" dataDxfId="8"/>
    <tableColumn id="4" xr3:uid="{527EA0BB-9801-4FAC-8F42-CA26BDEE1F3B}" name="Description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64237B-DD86-44AF-942F-8B66E19DA637}" name="Tabla6" displayName="Tabla6" ref="F3:H5" totalsRowShown="0" headerRowDxfId="6" headerRowBorderDxfId="5" tableBorderDxfId="4" totalsRowBorderDxfId="3">
  <autoFilter ref="F3:H5" xr:uid="{8364237B-DD86-44AF-942F-8B66E19DA637}"/>
  <tableColumns count="3">
    <tableColumn id="1" xr3:uid="{62BF850A-C29F-410C-A5B4-15F22457F59F}" name="Duration [min]" dataDxfId="2"/>
    <tableColumn id="2" xr3:uid="{3C68A4B7-0799-4829-93E5-5A00844CC609}" name="Block" dataDxfId="1"/>
    <tableColumn id="3" xr3:uid="{B46AE227-4594-4C8D-9283-576CF7CBEDA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6B06-AB03-4E19-B596-04EDEF386744}">
  <dimension ref="B1:L27"/>
  <sheetViews>
    <sheetView zoomScale="83" workbookViewId="0">
      <selection activeCell="B31" sqref="B31"/>
    </sheetView>
  </sheetViews>
  <sheetFormatPr defaultColWidth="11.42578125" defaultRowHeight="15" x14ac:dyDescent="0.25"/>
  <cols>
    <col min="1" max="3" width="11.42578125" style="1"/>
    <col min="4" max="4" width="19" style="1" bestFit="1" customWidth="1"/>
    <col min="5" max="6" width="11.42578125" style="1"/>
    <col min="7" max="7" width="36.5703125" style="1" bestFit="1" customWidth="1"/>
    <col min="8" max="9" width="11.42578125" style="1"/>
    <col min="10" max="10" width="26.85546875" style="1" bestFit="1" customWidth="1"/>
    <col min="11" max="16384" width="11.42578125" style="1"/>
  </cols>
  <sheetData>
    <row r="1" spans="2:12" ht="15.75" thickBot="1" x14ac:dyDescent="0.3"/>
    <row r="2" spans="2:12" ht="29.25" thickBot="1" x14ac:dyDescent="0.3">
      <c r="B2" s="142" t="s">
        <v>80</v>
      </c>
      <c r="C2" s="143"/>
      <c r="D2" s="143"/>
      <c r="E2" s="143"/>
      <c r="F2" s="143"/>
      <c r="G2" s="143"/>
      <c r="H2" s="143"/>
      <c r="I2" s="143"/>
      <c r="J2" s="143"/>
      <c r="K2" s="143"/>
      <c r="L2" s="144"/>
    </row>
    <row r="3" spans="2:12" x14ac:dyDescent="0.25">
      <c r="B3" s="33"/>
      <c r="C3" s="32"/>
      <c r="D3" s="32"/>
      <c r="E3" s="32"/>
      <c r="F3" s="32"/>
      <c r="G3" s="32"/>
      <c r="H3" s="32"/>
      <c r="I3" s="32"/>
      <c r="J3" s="32"/>
      <c r="K3" s="32"/>
      <c r="L3" s="34"/>
    </row>
    <row r="4" spans="2:12" x14ac:dyDescent="0.25">
      <c r="B4" s="33"/>
      <c r="C4" s="32"/>
      <c r="D4" s="32"/>
      <c r="E4" s="32"/>
      <c r="F4" s="32"/>
      <c r="G4" s="32"/>
      <c r="H4" s="32"/>
      <c r="I4" s="32"/>
      <c r="J4" s="32"/>
      <c r="K4" s="32"/>
      <c r="L4" s="34"/>
    </row>
    <row r="5" spans="2:12" x14ac:dyDescent="0.25">
      <c r="B5" s="33"/>
      <c r="C5" s="32"/>
      <c r="D5" s="32"/>
      <c r="E5" s="32"/>
      <c r="F5" s="32"/>
      <c r="G5" s="32"/>
      <c r="H5" s="32"/>
      <c r="I5" s="32"/>
      <c r="J5" s="32"/>
      <c r="K5" s="32"/>
      <c r="L5" s="34"/>
    </row>
    <row r="6" spans="2:12" x14ac:dyDescent="0.25">
      <c r="B6" s="33"/>
      <c r="C6" s="32"/>
      <c r="D6" s="38" t="s">
        <v>7</v>
      </c>
      <c r="E6" s="32"/>
      <c r="F6" s="32"/>
      <c r="G6" s="38" t="s">
        <v>74</v>
      </c>
      <c r="H6" s="32"/>
      <c r="I6" s="32"/>
      <c r="J6" s="38" t="s">
        <v>8</v>
      </c>
      <c r="K6" s="32"/>
      <c r="L6" s="34"/>
    </row>
    <row r="7" spans="2:12" x14ac:dyDescent="0.25">
      <c r="B7" s="33"/>
      <c r="C7" s="32"/>
      <c r="D7" s="32" t="s">
        <v>54</v>
      </c>
      <c r="E7" s="32"/>
      <c r="F7" s="32"/>
      <c r="G7" s="32" t="s">
        <v>71</v>
      </c>
      <c r="H7" s="32"/>
      <c r="I7" s="32"/>
      <c r="J7" s="32" t="s">
        <v>57</v>
      </c>
      <c r="K7" s="32"/>
      <c r="L7" s="34"/>
    </row>
    <row r="8" spans="2:12" x14ac:dyDescent="0.25">
      <c r="B8" s="33"/>
      <c r="C8" s="32"/>
      <c r="D8" s="32" t="s">
        <v>55</v>
      </c>
      <c r="E8" s="32"/>
      <c r="F8" s="32"/>
      <c r="G8" s="32" t="s">
        <v>72</v>
      </c>
      <c r="H8" s="32"/>
      <c r="I8" s="32"/>
      <c r="J8" s="32"/>
      <c r="K8" s="32"/>
      <c r="L8" s="34"/>
    </row>
    <row r="9" spans="2:12" x14ac:dyDescent="0.25">
      <c r="B9" s="33"/>
      <c r="C9" s="32"/>
      <c r="D9" s="32" t="s">
        <v>56</v>
      </c>
      <c r="E9" s="32"/>
      <c r="F9" s="32"/>
      <c r="G9" s="32" t="s">
        <v>73</v>
      </c>
      <c r="H9" s="32"/>
      <c r="I9" s="32"/>
      <c r="J9" s="32"/>
      <c r="K9" s="32"/>
      <c r="L9" s="34"/>
    </row>
    <row r="10" spans="2:12" x14ac:dyDescent="0.25">
      <c r="B10" s="33"/>
      <c r="C10" s="32"/>
      <c r="D10" s="32"/>
      <c r="E10" s="32"/>
      <c r="F10" s="32"/>
      <c r="G10" s="32" t="s">
        <v>75</v>
      </c>
      <c r="H10" s="32"/>
      <c r="I10" s="32"/>
      <c r="J10" s="32"/>
      <c r="K10" s="32"/>
      <c r="L10" s="34"/>
    </row>
    <row r="11" spans="2:12" x14ac:dyDescent="0.25">
      <c r="B11" s="33"/>
      <c r="C11" s="32"/>
      <c r="D11" s="32"/>
      <c r="E11" s="32"/>
      <c r="F11" s="32"/>
      <c r="G11" s="32" t="s">
        <v>76</v>
      </c>
      <c r="H11" s="32"/>
      <c r="I11" s="32"/>
      <c r="J11" s="32"/>
      <c r="K11" s="32"/>
      <c r="L11" s="34"/>
    </row>
    <row r="12" spans="2:12" x14ac:dyDescent="0.25">
      <c r="B12" s="33"/>
      <c r="C12" s="32"/>
      <c r="D12" s="32"/>
      <c r="E12" s="32"/>
      <c r="F12" s="32"/>
      <c r="G12" s="32" t="s">
        <v>77</v>
      </c>
      <c r="H12" s="32"/>
      <c r="I12" s="32"/>
      <c r="J12" s="32"/>
      <c r="K12" s="32"/>
      <c r="L12" s="34"/>
    </row>
    <row r="13" spans="2:12" x14ac:dyDescent="0.25">
      <c r="B13" s="33"/>
      <c r="C13" s="32"/>
      <c r="D13" s="32"/>
      <c r="E13" s="32"/>
      <c r="F13" s="32"/>
      <c r="G13" s="32" t="s">
        <v>78</v>
      </c>
      <c r="H13" s="32"/>
      <c r="I13" s="32"/>
      <c r="J13" s="32"/>
      <c r="K13" s="32"/>
      <c r="L13" s="34"/>
    </row>
    <row r="14" spans="2:12" x14ac:dyDescent="0.25">
      <c r="B14" s="33"/>
      <c r="C14" s="32"/>
      <c r="D14" s="32"/>
      <c r="E14" s="32"/>
      <c r="F14" s="32"/>
      <c r="G14" s="32"/>
      <c r="H14" s="32"/>
      <c r="I14" s="32"/>
      <c r="J14" s="32"/>
      <c r="K14" s="32"/>
      <c r="L14" s="34"/>
    </row>
    <row r="15" spans="2:12" x14ac:dyDescent="0.25"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4"/>
    </row>
    <row r="16" spans="2:12" x14ac:dyDescent="0.25">
      <c r="B16" s="33"/>
      <c r="C16" s="32"/>
      <c r="D16" s="38" t="s">
        <v>10</v>
      </c>
      <c r="E16" s="32"/>
      <c r="F16" s="32"/>
      <c r="G16" s="38" t="s">
        <v>59</v>
      </c>
      <c r="H16" s="32"/>
      <c r="I16" s="32"/>
      <c r="J16" s="39" t="s">
        <v>60</v>
      </c>
      <c r="K16" s="32"/>
      <c r="L16" s="34"/>
    </row>
    <row r="17" spans="2:12" x14ac:dyDescent="0.25">
      <c r="B17" s="33"/>
      <c r="C17" s="32"/>
      <c r="D17" s="32" t="s">
        <v>58</v>
      </c>
      <c r="E17" s="32"/>
      <c r="F17" s="32"/>
      <c r="G17" s="32" t="s">
        <v>61</v>
      </c>
      <c r="H17" s="32"/>
      <c r="I17" s="32"/>
      <c r="J17" s="32" t="s">
        <v>62</v>
      </c>
      <c r="K17" s="32"/>
      <c r="L17" s="34"/>
    </row>
    <row r="18" spans="2:12" x14ac:dyDescent="0.25">
      <c r="B18" s="33"/>
      <c r="C18" s="32"/>
      <c r="D18" s="32"/>
      <c r="E18" s="32"/>
      <c r="F18" s="32"/>
      <c r="G18" s="32" t="s">
        <v>65</v>
      </c>
      <c r="H18" s="32"/>
      <c r="I18" s="32"/>
      <c r="J18" s="32" t="s">
        <v>63</v>
      </c>
      <c r="K18" s="32"/>
      <c r="L18" s="34"/>
    </row>
    <row r="19" spans="2:12" x14ac:dyDescent="0.25">
      <c r="B19" s="33"/>
      <c r="C19" s="32"/>
      <c r="D19" s="32"/>
      <c r="E19" s="32"/>
      <c r="F19" s="32"/>
      <c r="G19" s="32" t="s">
        <v>66</v>
      </c>
      <c r="H19" s="32"/>
      <c r="I19" s="32"/>
      <c r="J19" s="32" t="s">
        <v>64</v>
      </c>
      <c r="K19" s="32"/>
      <c r="L19" s="34"/>
    </row>
    <row r="20" spans="2:12" x14ac:dyDescent="0.25">
      <c r="B20" s="33"/>
      <c r="C20" s="32"/>
      <c r="D20" s="32"/>
      <c r="E20" s="32"/>
      <c r="F20" s="32"/>
      <c r="G20" s="32" t="s">
        <v>67</v>
      </c>
      <c r="H20" s="32"/>
      <c r="I20" s="32"/>
      <c r="J20" s="32" t="s">
        <v>79</v>
      </c>
      <c r="K20" s="32"/>
      <c r="L20" s="34"/>
    </row>
    <row r="21" spans="2:12" x14ac:dyDescent="0.25">
      <c r="B21" s="33"/>
      <c r="C21" s="32"/>
      <c r="D21" s="32"/>
      <c r="E21" s="32"/>
      <c r="F21" s="32"/>
      <c r="G21" s="32" t="s">
        <v>68</v>
      </c>
      <c r="H21" s="32"/>
      <c r="I21" s="32"/>
      <c r="J21" s="32"/>
      <c r="K21" s="32"/>
      <c r="L21" s="34"/>
    </row>
    <row r="22" spans="2:12" x14ac:dyDescent="0.25">
      <c r="B22" s="33"/>
      <c r="C22" s="32"/>
      <c r="D22" s="32"/>
      <c r="E22" s="32"/>
      <c r="F22" s="32"/>
      <c r="G22" s="32" t="s">
        <v>69</v>
      </c>
      <c r="H22" s="32"/>
      <c r="I22" s="32"/>
      <c r="J22" s="32"/>
      <c r="K22" s="32"/>
      <c r="L22" s="34"/>
    </row>
    <row r="23" spans="2:12" x14ac:dyDescent="0.25">
      <c r="B23" s="33"/>
      <c r="C23" s="32"/>
      <c r="D23" s="32"/>
      <c r="E23" s="32"/>
      <c r="F23" s="32"/>
      <c r="G23" s="32" t="s">
        <v>70</v>
      </c>
      <c r="H23" s="32"/>
      <c r="I23" s="32"/>
      <c r="J23" s="32"/>
      <c r="K23" s="32"/>
      <c r="L23" s="34"/>
    </row>
    <row r="24" spans="2:12" x14ac:dyDescent="0.25">
      <c r="B24" s="33"/>
      <c r="C24" s="32"/>
      <c r="D24" s="32"/>
      <c r="E24" s="32"/>
      <c r="F24" s="32"/>
      <c r="G24" s="32"/>
      <c r="H24" s="32"/>
      <c r="I24" s="32"/>
      <c r="J24" s="32"/>
      <c r="K24" s="32"/>
      <c r="L24" s="34"/>
    </row>
    <row r="25" spans="2:12" x14ac:dyDescent="0.25">
      <c r="B25" s="33"/>
      <c r="C25" s="32"/>
      <c r="D25" s="32"/>
      <c r="E25" s="32"/>
      <c r="F25" s="32"/>
      <c r="G25" s="32"/>
      <c r="H25" s="32"/>
      <c r="I25" s="32"/>
      <c r="J25" s="32"/>
      <c r="K25" s="32"/>
      <c r="L25" s="34"/>
    </row>
    <row r="26" spans="2:12" x14ac:dyDescent="0.25">
      <c r="B26" s="33"/>
      <c r="C26" s="32"/>
      <c r="D26" s="32"/>
      <c r="E26" s="32"/>
      <c r="F26" s="32"/>
      <c r="G26" s="32"/>
      <c r="H26" s="32"/>
      <c r="I26" s="32"/>
      <c r="J26" s="32"/>
      <c r="K26" s="32"/>
      <c r="L26" s="34"/>
    </row>
    <row r="27" spans="2:12" ht="15.75" thickBot="1" x14ac:dyDescent="0.3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7"/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3CB1-554C-455C-A53A-36BAE898A385}">
  <dimension ref="B4:K61"/>
  <sheetViews>
    <sheetView topLeftCell="A16" zoomScale="80" workbookViewId="0">
      <selection activeCell="G41" sqref="G41"/>
    </sheetView>
  </sheetViews>
  <sheetFormatPr defaultColWidth="11.5703125" defaultRowHeight="15" x14ac:dyDescent="0.25"/>
  <cols>
    <col min="2" max="2" width="27" bestFit="1" customWidth="1"/>
    <col min="3" max="3" width="17.42578125" bestFit="1" customWidth="1"/>
    <col min="4" max="4" width="14.42578125" bestFit="1" customWidth="1"/>
    <col min="5" max="5" width="21.7109375" bestFit="1" customWidth="1"/>
    <col min="6" max="6" width="35.42578125" customWidth="1"/>
    <col min="7" max="7" width="36.42578125" bestFit="1" customWidth="1"/>
    <col min="8" max="8" width="33.42578125" bestFit="1" customWidth="1"/>
    <col min="9" max="9" width="28" bestFit="1" customWidth="1"/>
    <col min="10" max="10" width="28.5703125" customWidth="1"/>
    <col min="11" max="11" width="29.28515625" bestFit="1" customWidth="1"/>
  </cols>
  <sheetData>
    <row r="4" spans="2:11" x14ac:dyDescent="0.25">
      <c r="B4" s="98" t="s">
        <v>42</v>
      </c>
      <c r="C4" s="99" t="s">
        <v>48</v>
      </c>
      <c r="D4" s="100" t="s">
        <v>43</v>
      </c>
      <c r="E4" s="100" t="s">
        <v>208</v>
      </c>
      <c r="F4" s="100" t="s">
        <v>44</v>
      </c>
      <c r="G4" s="100" t="s">
        <v>45</v>
      </c>
      <c r="H4" s="100" t="s">
        <v>209</v>
      </c>
      <c r="I4" s="100" t="s">
        <v>210</v>
      </c>
      <c r="J4" s="100" t="s">
        <v>46</v>
      </c>
      <c r="K4" s="100" t="s">
        <v>47</v>
      </c>
    </row>
    <row r="5" spans="2:11" x14ac:dyDescent="0.25">
      <c r="B5" s="26" t="s">
        <v>0</v>
      </c>
      <c r="C5" s="25" t="s">
        <v>49</v>
      </c>
      <c r="D5" s="25" t="s">
        <v>50</v>
      </c>
      <c r="E5" s="95">
        <v>3</v>
      </c>
      <c r="F5">
        <v>4.5</v>
      </c>
      <c r="G5">
        <v>7.5</v>
      </c>
      <c r="H5" s="97">
        <f>Schedule!J21/7</f>
        <v>3</v>
      </c>
      <c r="I5">
        <f>Schedule!J21</f>
        <v>21</v>
      </c>
      <c r="J5">
        <f>EDATE(Logbook!$C$3,'Detailed Planning'!F5)</f>
        <v>46141</v>
      </c>
      <c r="K5" s="27">
        <f>EDATE(Logbook!$C$3,'Detailed Planning'!G5)</f>
        <v>46232</v>
      </c>
    </row>
    <row r="6" spans="2:11" x14ac:dyDescent="0.25">
      <c r="B6" s="91" t="s">
        <v>1</v>
      </c>
      <c r="C6" s="90" t="s">
        <v>51</v>
      </c>
      <c r="D6" s="90" t="s">
        <v>53</v>
      </c>
      <c r="E6" s="48">
        <v>1</v>
      </c>
      <c r="F6" s="90">
        <v>2</v>
      </c>
      <c r="G6" s="92">
        <v>3</v>
      </c>
      <c r="H6" s="96">
        <v>1</v>
      </c>
      <c r="I6" s="92">
        <v>7</v>
      </c>
      <c r="J6" s="93">
        <f>EDATE(Logbook!$C$3,'Detailed Planning'!F6)</f>
        <v>46081</v>
      </c>
      <c r="K6" s="94">
        <f>EDATE(Logbook!$C$3,'Detailed Planning'!G6)</f>
        <v>46110</v>
      </c>
    </row>
    <row r="7" spans="2:11" x14ac:dyDescent="0.25">
      <c r="B7" s="28" t="s">
        <v>101</v>
      </c>
      <c r="C7" s="29" t="s">
        <v>102</v>
      </c>
      <c r="D7" s="29" t="s">
        <v>106</v>
      </c>
      <c r="E7" s="29">
        <v>2</v>
      </c>
      <c r="F7">
        <v>2.5</v>
      </c>
      <c r="G7">
        <v>3.5</v>
      </c>
      <c r="H7" s="30">
        <f>Schedule!$J$27/7</f>
        <v>1.5118571428571428</v>
      </c>
      <c r="I7">
        <f>Schedule!$J$27</f>
        <v>10.583</v>
      </c>
      <c r="J7">
        <f>EDATE(Logbook!$C$3,'Detailed Planning'!F7)</f>
        <v>46081</v>
      </c>
      <c r="K7" s="31">
        <f>EDATE(Logbook!$C$3,'Detailed Planning'!G7)</f>
        <v>46110</v>
      </c>
    </row>
    <row r="10" spans="2:11" ht="18.75" x14ac:dyDescent="0.25">
      <c r="B10" s="106" t="s">
        <v>216</v>
      </c>
      <c r="C10" s="106" t="s">
        <v>217</v>
      </c>
      <c r="D10" s="106" t="s">
        <v>218</v>
      </c>
      <c r="E10" s="106" t="s">
        <v>219</v>
      </c>
      <c r="G10" s="147" t="s">
        <v>184</v>
      </c>
      <c r="H10" s="147"/>
      <c r="I10" s="147"/>
    </row>
    <row r="11" spans="2:11" ht="15.75" x14ac:dyDescent="0.25">
      <c r="B11" s="145" t="s">
        <v>86</v>
      </c>
      <c r="C11" s="146"/>
      <c r="D11" s="146"/>
      <c r="E11" s="146"/>
      <c r="G11" s="88" t="s">
        <v>107</v>
      </c>
      <c r="H11" s="88" t="s">
        <v>187</v>
      </c>
      <c r="I11" s="88" t="s">
        <v>188</v>
      </c>
      <c r="J11" s="45"/>
      <c r="K11" s="45"/>
    </row>
    <row r="12" spans="2:11" x14ac:dyDescent="0.25">
      <c r="B12" s="118" t="s">
        <v>87</v>
      </c>
      <c r="C12" s="107">
        <v>46024</v>
      </c>
      <c r="D12" s="107">
        <v>46029</v>
      </c>
      <c r="E12" s="113">
        <f>_xlfn.DAYS(D12, C12)+1</f>
        <v>6</v>
      </c>
      <c r="G12" t="s">
        <v>186</v>
      </c>
      <c r="H12" t="s">
        <v>189</v>
      </c>
      <c r="I12" s="87"/>
      <c r="J12" s="45"/>
      <c r="K12" s="45"/>
    </row>
    <row r="13" spans="2:11" x14ac:dyDescent="0.25">
      <c r="B13" s="118" t="s">
        <v>83</v>
      </c>
      <c r="C13" s="107">
        <v>46037</v>
      </c>
      <c r="D13" s="107">
        <v>46044</v>
      </c>
      <c r="E13" s="113">
        <f t="shared" ref="E13:E15" si="0">_xlfn.DAYS(D13, C13)+1</f>
        <v>8</v>
      </c>
      <c r="G13" t="s">
        <v>100</v>
      </c>
      <c r="H13" t="s">
        <v>185</v>
      </c>
      <c r="I13" s="87"/>
      <c r="J13" s="45"/>
      <c r="K13" s="45"/>
    </row>
    <row r="14" spans="2:11" x14ac:dyDescent="0.25">
      <c r="B14" s="119" t="s">
        <v>84</v>
      </c>
      <c r="C14" s="114">
        <v>46045</v>
      </c>
      <c r="D14" s="114">
        <v>46059</v>
      </c>
      <c r="E14" s="115">
        <f t="shared" si="0"/>
        <v>15</v>
      </c>
      <c r="I14" s="45"/>
      <c r="J14" s="45"/>
      <c r="K14" s="45"/>
    </row>
    <row r="15" spans="2:11" x14ac:dyDescent="0.25">
      <c r="B15" s="119" t="s">
        <v>85</v>
      </c>
      <c r="C15" s="114">
        <v>46060</v>
      </c>
      <c r="D15" s="114">
        <v>46060</v>
      </c>
      <c r="E15" s="115">
        <f t="shared" si="0"/>
        <v>1</v>
      </c>
      <c r="F15" s="45"/>
      <c r="G15" s="45"/>
      <c r="H15" s="45"/>
      <c r="I15" s="45"/>
      <c r="J15" s="45"/>
      <c r="K15" s="45"/>
    </row>
    <row r="16" spans="2:11" x14ac:dyDescent="0.25">
      <c r="B16" s="145" t="s">
        <v>97</v>
      </c>
      <c r="C16" s="146"/>
      <c r="D16" s="146"/>
      <c r="E16" s="146"/>
      <c r="F16" s="45"/>
      <c r="G16" s="45"/>
      <c r="H16" s="45"/>
      <c r="I16" s="45"/>
      <c r="J16" s="45"/>
      <c r="K16" s="45"/>
    </row>
    <row r="17" spans="2:11" x14ac:dyDescent="0.25">
      <c r="B17" s="76" t="s">
        <v>82</v>
      </c>
      <c r="C17" s="108" t="s">
        <v>104</v>
      </c>
      <c r="D17" s="108" t="s">
        <v>104</v>
      </c>
      <c r="E17" s="109" t="e">
        <f t="shared" ref="E17:E20" si="1">_xlfn.DAYS(D17, C17)</f>
        <v>#VALUE!</v>
      </c>
      <c r="F17" s="45"/>
      <c r="G17" s="45"/>
      <c r="H17" s="45"/>
      <c r="I17" s="45"/>
      <c r="J17" s="45"/>
      <c r="K17" s="45"/>
    </row>
    <row r="18" spans="2:11" x14ac:dyDescent="0.25">
      <c r="B18" s="76" t="s">
        <v>83</v>
      </c>
      <c r="C18" s="108" t="s">
        <v>104</v>
      </c>
      <c r="D18" s="108" t="s">
        <v>104</v>
      </c>
      <c r="E18" s="109" t="e">
        <f t="shared" si="1"/>
        <v>#VALUE!</v>
      </c>
      <c r="F18" s="45"/>
      <c r="G18" s="45"/>
      <c r="H18" s="45"/>
      <c r="I18" s="45"/>
      <c r="J18" s="45"/>
      <c r="K18" s="45"/>
    </row>
    <row r="19" spans="2:11" x14ac:dyDescent="0.25">
      <c r="B19" s="76" t="s">
        <v>84</v>
      </c>
      <c r="C19" s="108" t="s">
        <v>104</v>
      </c>
      <c r="D19" s="108" t="s">
        <v>104</v>
      </c>
      <c r="E19" s="109" t="e">
        <f t="shared" si="1"/>
        <v>#VALUE!</v>
      </c>
      <c r="F19" s="45"/>
      <c r="G19" s="45"/>
      <c r="H19" s="45"/>
      <c r="I19" s="45"/>
      <c r="J19" s="45"/>
      <c r="K19" s="45"/>
    </row>
    <row r="20" spans="2:11" x14ac:dyDescent="0.25">
      <c r="B20" s="76" t="s">
        <v>85</v>
      </c>
      <c r="C20" s="108" t="s">
        <v>104</v>
      </c>
      <c r="D20" s="108" t="s">
        <v>104</v>
      </c>
      <c r="E20" s="109" t="e">
        <f t="shared" si="1"/>
        <v>#VALUE!</v>
      </c>
      <c r="F20" s="45"/>
      <c r="G20" s="45"/>
      <c r="H20" s="45"/>
      <c r="I20" s="45"/>
      <c r="J20" s="45"/>
      <c r="K20" s="45"/>
    </row>
    <row r="21" spans="2:11" x14ac:dyDescent="0.25">
      <c r="B21" s="145" t="s">
        <v>220</v>
      </c>
      <c r="C21" s="146"/>
      <c r="D21" s="146"/>
      <c r="E21" s="146"/>
      <c r="F21" s="45"/>
      <c r="G21" s="45"/>
      <c r="H21" s="45"/>
      <c r="I21" s="45"/>
      <c r="J21" s="45"/>
      <c r="K21" s="45"/>
    </row>
    <row r="22" spans="2:11" x14ac:dyDescent="0.25">
      <c r="B22" s="118" t="s">
        <v>89</v>
      </c>
      <c r="C22" s="107">
        <v>46024</v>
      </c>
      <c r="D22" s="107">
        <v>46066</v>
      </c>
      <c r="E22" s="113">
        <f>_xlfn.DAYS(D22, C22)+1</f>
        <v>43</v>
      </c>
      <c r="F22" s="45"/>
      <c r="G22" s="45"/>
      <c r="H22" s="45"/>
      <c r="I22" s="45"/>
      <c r="J22" s="45"/>
      <c r="K22" s="45"/>
    </row>
    <row r="23" spans="2:11" x14ac:dyDescent="0.25">
      <c r="B23" s="118" t="s">
        <v>90</v>
      </c>
      <c r="C23" s="107">
        <v>46067</v>
      </c>
      <c r="D23" s="107">
        <v>46080</v>
      </c>
      <c r="E23" s="113">
        <f t="shared" ref="E23:E24" si="2">_xlfn.DAYS(D23, C23)+1</f>
        <v>14</v>
      </c>
      <c r="F23" s="45"/>
      <c r="G23" s="45"/>
      <c r="H23" s="45"/>
      <c r="I23" s="45"/>
      <c r="J23" s="45"/>
      <c r="K23" s="45"/>
    </row>
    <row r="24" spans="2:11" x14ac:dyDescent="0.25">
      <c r="B24" s="118" t="s">
        <v>91</v>
      </c>
      <c r="C24" s="107">
        <v>46081</v>
      </c>
      <c r="D24" s="107">
        <v>46094</v>
      </c>
      <c r="E24" s="113">
        <f t="shared" si="2"/>
        <v>14</v>
      </c>
      <c r="F24" s="45"/>
      <c r="G24" s="45"/>
      <c r="H24" s="45"/>
      <c r="I24" s="45"/>
      <c r="J24" s="45"/>
      <c r="K24" s="45"/>
    </row>
    <row r="25" spans="2:11" x14ac:dyDescent="0.25">
      <c r="B25" s="145" t="s">
        <v>88</v>
      </c>
      <c r="C25" s="146"/>
      <c r="D25" s="146"/>
      <c r="E25" s="146"/>
      <c r="F25" s="45"/>
      <c r="G25" s="45"/>
      <c r="H25" s="45"/>
      <c r="I25" s="45"/>
      <c r="J25" s="45"/>
      <c r="K25" s="45"/>
    </row>
    <row r="26" spans="2:11" x14ac:dyDescent="0.25">
      <c r="B26" s="76" t="s">
        <v>89</v>
      </c>
      <c r="C26" s="108">
        <v>46114</v>
      </c>
      <c r="D26" s="108">
        <v>46169</v>
      </c>
      <c r="E26" s="109">
        <f>_xlfn.DAYS(D26, C26)+1</f>
        <v>56</v>
      </c>
      <c r="F26" s="45"/>
      <c r="G26" s="45"/>
      <c r="H26" s="45"/>
      <c r="I26" s="45"/>
      <c r="J26" s="45"/>
      <c r="K26" s="45"/>
    </row>
    <row r="27" spans="2:11" x14ac:dyDescent="0.25">
      <c r="B27" s="118" t="s">
        <v>221</v>
      </c>
      <c r="C27" s="107">
        <v>46114</v>
      </c>
      <c r="D27" s="107">
        <v>46120</v>
      </c>
      <c r="E27" s="113">
        <f t="shared" ref="E27:E47" si="3">_xlfn.DAYS(D27, C27)+1</f>
        <v>7</v>
      </c>
      <c r="F27" s="45"/>
      <c r="G27" s="45"/>
      <c r="H27" s="45"/>
      <c r="I27" s="45"/>
      <c r="J27" s="45"/>
      <c r="K27" s="45"/>
    </row>
    <row r="28" spans="2:11" x14ac:dyDescent="0.25">
      <c r="B28" s="118" t="s">
        <v>222</v>
      </c>
      <c r="C28" s="107">
        <v>46121</v>
      </c>
      <c r="D28" s="107">
        <v>46127</v>
      </c>
      <c r="E28" s="113">
        <f t="shared" si="3"/>
        <v>7</v>
      </c>
      <c r="F28" s="45"/>
      <c r="G28" s="45"/>
      <c r="H28" s="45"/>
      <c r="I28" s="45"/>
      <c r="J28" s="45"/>
      <c r="K28" s="45"/>
    </row>
    <row r="29" spans="2:11" x14ac:dyDescent="0.25">
      <c r="B29" s="118" t="s">
        <v>223</v>
      </c>
      <c r="C29" s="107">
        <v>46128</v>
      </c>
      <c r="D29" s="107">
        <v>46134</v>
      </c>
      <c r="E29" s="113">
        <f t="shared" si="3"/>
        <v>7</v>
      </c>
      <c r="F29" s="45"/>
      <c r="G29" s="45"/>
      <c r="H29" s="45"/>
      <c r="I29" s="45"/>
      <c r="J29" s="45"/>
      <c r="K29" s="45"/>
    </row>
    <row r="30" spans="2:11" x14ac:dyDescent="0.25">
      <c r="B30" s="137" t="s">
        <v>224</v>
      </c>
      <c r="C30" s="138">
        <v>46135</v>
      </c>
      <c r="D30" s="138">
        <v>46141</v>
      </c>
      <c r="E30" s="139">
        <f t="shared" si="3"/>
        <v>7</v>
      </c>
      <c r="F30" s="45"/>
      <c r="G30" s="45"/>
      <c r="H30" s="45"/>
      <c r="I30" s="45"/>
      <c r="J30" s="45"/>
      <c r="K30" s="45"/>
    </row>
    <row r="31" spans="2:11" x14ac:dyDescent="0.25">
      <c r="B31" s="76" t="s">
        <v>225</v>
      </c>
      <c r="C31" s="108">
        <v>46142</v>
      </c>
      <c r="D31" s="108">
        <v>46148</v>
      </c>
      <c r="E31" s="109">
        <f t="shared" si="3"/>
        <v>7</v>
      </c>
      <c r="F31" s="45"/>
      <c r="G31" s="45"/>
      <c r="H31" s="45"/>
      <c r="I31" s="45"/>
      <c r="J31" s="45"/>
      <c r="K31" s="45"/>
    </row>
    <row r="32" spans="2:11" x14ac:dyDescent="0.25">
      <c r="B32" s="76" t="s">
        <v>226</v>
      </c>
      <c r="C32" s="108">
        <v>46149</v>
      </c>
      <c r="D32" s="108">
        <v>46155</v>
      </c>
      <c r="E32" s="109">
        <f t="shared" si="3"/>
        <v>7</v>
      </c>
      <c r="F32" s="45"/>
      <c r="G32" s="45"/>
      <c r="H32" s="45"/>
      <c r="I32" s="45"/>
      <c r="J32" s="45"/>
      <c r="K32" s="45"/>
    </row>
    <row r="33" spans="2:11" x14ac:dyDescent="0.25">
      <c r="B33" s="76" t="s">
        <v>227</v>
      </c>
      <c r="C33" s="108">
        <v>46156</v>
      </c>
      <c r="D33" s="108">
        <v>46162</v>
      </c>
      <c r="E33" s="109">
        <f t="shared" si="3"/>
        <v>7</v>
      </c>
      <c r="F33" s="45"/>
      <c r="G33" s="45"/>
      <c r="H33" s="45"/>
      <c r="I33" s="45"/>
      <c r="J33" s="45"/>
      <c r="K33" s="45"/>
    </row>
    <row r="34" spans="2:11" ht="15.75" thickBot="1" x14ac:dyDescent="0.3">
      <c r="B34" s="124" t="s">
        <v>228</v>
      </c>
      <c r="C34" s="125">
        <v>46163</v>
      </c>
      <c r="D34" s="125">
        <v>46169</v>
      </c>
      <c r="E34" s="126">
        <f t="shared" si="3"/>
        <v>7</v>
      </c>
      <c r="F34" s="45"/>
      <c r="G34" s="45"/>
      <c r="H34" s="45"/>
      <c r="I34" s="45"/>
      <c r="J34" s="45"/>
      <c r="K34" s="45"/>
    </row>
    <row r="35" spans="2:11" x14ac:dyDescent="0.25">
      <c r="B35" s="121" t="s">
        <v>231</v>
      </c>
      <c r="C35" s="122">
        <v>46114</v>
      </c>
      <c r="D35" s="108">
        <v>46163</v>
      </c>
      <c r="E35" s="127">
        <f t="shared" si="3"/>
        <v>50</v>
      </c>
      <c r="F35" s="45"/>
      <c r="G35" s="45"/>
      <c r="H35" s="45"/>
      <c r="I35" s="45"/>
      <c r="J35" s="45"/>
      <c r="K35" s="45"/>
    </row>
    <row r="36" spans="2:11" x14ac:dyDescent="0.25">
      <c r="B36" s="131" t="s">
        <v>221</v>
      </c>
      <c r="C36" s="132">
        <v>46114</v>
      </c>
      <c r="D36" s="132">
        <v>46123</v>
      </c>
      <c r="E36" s="133">
        <f t="shared" si="3"/>
        <v>10</v>
      </c>
      <c r="F36" s="45"/>
      <c r="G36" s="45"/>
      <c r="H36" s="45"/>
      <c r="I36" s="45"/>
      <c r="J36" s="45"/>
      <c r="K36" s="45"/>
    </row>
    <row r="37" spans="2:11" x14ac:dyDescent="0.25">
      <c r="B37" s="131" t="s">
        <v>222</v>
      </c>
      <c r="C37" s="132">
        <v>46124</v>
      </c>
      <c r="D37" s="132">
        <v>46133</v>
      </c>
      <c r="E37" s="133">
        <f t="shared" si="3"/>
        <v>10</v>
      </c>
      <c r="F37" s="45"/>
      <c r="G37" s="45"/>
      <c r="H37" s="45"/>
      <c r="I37" s="45"/>
      <c r="J37" s="45"/>
      <c r="K37" s="45"/>
    </row>
    <row r="38" spans="2:11" x14ac:dyDescent="0.25">
      <c r="B38" s="134" t="s">
        <v>223</v>
      </c>
      <c r="C38" s="135">
        <v>46134</v>
      </c>
      <c r="D38" s="135">
        <v>46143</v>
      </c>
      <c r="E38" s="136">
        <f t="shared" si="3"/>
        <v>10</v>
      </c>
      <c r="F38" s="45"/>
      <c r="G38" s="45"/>
      <c r="H38" s="45"/>
      <c r="I38" s="45"/>
      <c r="J38" s="45"/>
      <c r="K38" s="45"/>
    </row>
    <row r="39" spans="2:11" x14ac:dyDescent="0.25">
      <c r="B39" s="121" t="s">
        <v>224</v>
      </c>
      <c r="C39" s="122">
        <v>46144</v>
      </c>
      <c r="D39" s="122">
        <v>46153</v>
      </c>
      <c r="E39" s="127">
        <f t="shared" si="3"/>
        <v>10</v>
      </c>
      <c r="F39" s="45"/>
      <c r="G39" s="45"/>
      <c r="H39" s="45"/>
      <c r="I39" s="45"/>
      <c r="J39" s="45"/>
      <c r="K39" s="45"/>
    </row>
    <row r="40" spans="2:11" ht="15.75" thickBot="1" x14ac:dyDescent="0.3">
      <c r="B40" s="124" t="s">
        <v>225</v>
      </c>
      <c r="C40" s="125">
        <v>46154</v>
      </c>
      <c r="D40" s="125">
        <v>46163</v>
      </c>
      <c r="E40" s="126">
        <f t="shared" si="3"/>
        <v>10</v>
      </c>
      <c r="F40" s="45"/>
      <c r="G40" s="45"/>
      <c r="H40" s="45"/>
      <c r="I40" s="45"/>
      <c r="J40" s="45"/>
      <c r="K40" s="45"/>
    </row>
    <row r="41" spans="2:11" x14ac:dyDescent="0.25">
      <c r="B41" s="121" t="s">
        <v>229</v>
      </c>
      <c r="C41" s="122">
        <v>46170</v>
      </c>
      <c r="D41" s="122">
        <v>46170</v>
      </c>
      <c r="E41" s="123">
        <f t="shared" si="3"/>
        <v>1</v>
      </c>
      <c r="F41" s="45"/>
      <c r="G41" s="45"/>
      <c r="H41" s="45"/>
      <c r="I41" s="45"/>
      <c r="J41" s="45"/>
      <c r="K41" s="45"/>
    </row>
    <row r="42" spans="2:11" x14ac:dyDescent="0.25">
      <c r="B42" s="76" t="s">
        <v>230</v>
      </c>
      <c r="C42" s="108">
        <v>46171</v>
      </c>
      <c r="D42" s="108">
        <v>46171</v>
      </c>
      <c r="E42" s="109">
        <f t="shared" si="3"/>
        <v>1</v>
      </c>
      <c r="F42" s="45"/>
      <c r="G42" s="45"/>
      <c r="H42" s="45"/>
      <c r="I42" s="45"/>
      <c r="J42" s="45"/>
      <c r="K42" s="45"/>
    </row>
    <row r="43" spans="2:11" ht="15.75" thickBot="1" x14ac:dyDescent="0.3">
      <c r="B43" s="124" t="s">
        <v>90</v>
      </c>
      <c r="C43" s="125">
        <v>46172</v>
      </c>
      <c r="D43" s="125">
        <v>46197</v>
      </c>
      <c r="E43" s="126">
        <f t="shared" si="3"/>
        <v>26</v>
      </c>
      <c r="F43" s="45"/>
      <c r="G43" s="45"/>
      <c r="H43" s="45"/>
      <c r="I43" s="45"/>
      <c r="J43" s="45"/>
      <c r="K43" s="45"/>
    </row>
    <row r="44" spans="2:11" x14ac:dyDescent="0.25">
      <c r="B44" s="128" t="s">
        <v>93</v>
      </c>
      <c r="C44" s="129">
        <v>46146</v>
      </c>
      <c r="D44" s="129">
        <v>46148</v>
      </c>
      <c r="E44" s="130">
        <f t="shared" si="3"/>
        <v>3</v>
      </c>
      <c r="F44" s="45"/>
      <c r="G44" s="45"/>
      <c r="H44" s="45"/>
      <c r="I44" s="45"/>
      <c r="J44" s="45"/>
      <c r="K44" s="45"/>
    </row>
    <row r="45" spans="2:11" x14ac:dyDescent="0.25">
      <c r="B45" s="116" t="s">
        <v>94</v>
      </c>
      <c r="C45" s="111">
        <v>46169</v>
      </c>
      <c r="D45" s="111">
        <v>46169</v>
      </c>
      <c r="E45" s="117">
        <f t="shared" si="3"/>
        <v>1</v>
      </c>
      <c r="F45" s="45"/>
      <c r="G45" s="45"/>
      <c r="H45" s="45"/>
      <c r="I45" s="45"/>
      <c r="J45" s="45"/>
      <c r="K45" s="45"/>
    </row>
    <row r="46" spans="2:11" x14ac:dyDescent="0.25">
      <c r="B46" s="76" t="s">
        <v>96</v>
      </c>
      <c r="C46" s="108">
        <v>46174</v>
      </c>
      <c r="D46" s="108">
        <v>46176</v>
      </c>
      <c r="E46" s="109">
        <f t="shared" si="3"/>
        <v>3</v>
      </c>
    </row>
    <row r="47" spans="2:11" x14ac:dyDescent="0.25">
      <c r="B47" s="76" t="s">
        <v>95</v>
      </c>
      <c r="C47" s="108">
        <v>46197</v>
      </c>
      <c r="D47" s="108">
        <v>46197</v>
      </c>
      <c r="E47" s="109">
        <f t="shared" si="3"/>
        <v>1</v>
      </c>
    </row>
    <row r="48" spans="2:11" x14ac:dyDescent="0.25">
      <c r="B48" s="145" t="s">
        <v>53</v>
      </c>
      <c r="C48" s="146"/>
      <c r="D48" s="146"/>
      <c r="E48" s="146"/>
    </row>
    <row r="49" spans="2:5" x14ac:dyDescent="0.25">
      <c r="B49" s="118" t="s">
        <v>92</v>
      </c>
      <c r="C49" s="107">
        <v>46024</v>
      </c>
      <c r="D49" s="107">
        <v>46053</v>
      </c>
      <c r="E49" s="113">
        <f>_xlfn.DAYS(D49, C49)+1</f>
        <v>30</v>
      </c>
    </row>
    <row r="50" spans="2:5" x14ac:dyDescent="0.25">
      <c r="B50" s="118" t="s">
        <v>90</v>
      </c>
      <c r="C50" s="107">
        <v>46053</v>
      </c>
      <c r="D50" s="107">
        <v>46098</v>
      </c>
      <c r="E50" s="113">
        <f t="shared" ref="E50:E52" si="4">_xlfn.DAYS(D50, C50)+1</f>
        <v>46</v>
      </c>
    </row>
    <row r="51" spans="2:5" x14ac:dyDescent="0.25">
      <c r="B51" s="118" t="s">
        <v>93</v>
      </c>
      <c r="C51" s="107">
        <v>46041</v>
      </c>
      <c r="D51" s="107">
        <v>46069</v>
      </c>
      <c r="E51" s="113">
        <f t="shared" si="4"/>
        <v>29</v>
      </c>
    </row>
    <row r="52" spans="2:5" x14ac:dyDescent="0.25">
      <c r="B52" s="120" t="s">
        <v>94</v>
      </c>
      <c r="C52" s="110">
        <v>46100</v>
      </c>
      <c r="D52" s="110">
        <v>46100</v>
      </c>
      <c r="E52" s="113">
        <f t="shared" si="4"/>
        <v>1</v>
      </c>
    </row>
    <row r="53" spans="2:5" x14ac:dyDescent="0.25">
      <c r="B53" s="116" t="s">
        <v>96</v>
      </c>
      <c r="C53" s="111">
        <v>46139</v>
      </c>
      <c r="D53" s="111">
        <v>46165</v>
      </c>
      <c r="E53" s="112">
        <f>_xlfn.DAYS(D53, C53)+1</f>
        <v>27</v>
      </c>
    </row>
    <row r="54" spans="2:5" x14ac:dyDescent="0.25">
      <c r="B54" s="116" t="s">
        <v>95</v>
      </c>
      <c r="C54" s="111">
        <v>46191</v>
      </c>
      <c r="D54" s="111">
        <v>46191</v>
      </c>
      <c r="E54" s="112">
        <f>_xlfn.DAYS(D54, C54)+1</f>
        <v>1</v>
      </c>
    </row>
    <row r="55" spans="2:5" x14ac:dyDescent="0.25">
      <c r="B55" s="145" t="s">
        <v>103</v>
      </c>
      <c r="C55" s="146"/>
      <c r="D55" s="146"/>
      <c r="E55" s="146"/>
    </row>
    <row r="56" spans="2:5" x14ac:dyDescent="0.25">
      <c r="B56" s="76" t="s">
        <v>89</v>
      </c>
      <c r="C56" s="46"/>
      <c r="D56" s="46"/>
      <c r="E56" s="109">
        <f>_xlfn.DAYS(D56, C56)+1</f>
        <v>1</v>
      </c>
    </row>
    <row r="57" spans="2:5" x14ac:dyDescent="0.25">
      <c r="B57" s="76" t="s">
        <v>90</v>
      </c>
      <c r="C57" s="46"/>
      <c r="D57" s="46"/>
      <c r="E57" s="109">
        <f t="shared" ref="E57:E61" si="5">_xlfn.DAYS(D57, C57)+1</f>
        <v>1</v>
      </c>
    </row>
    <row r="58" spans="2:5" x14ac:dyDescent="0.25">
      <c r="B58" s="76" t="s">
        <v>93</v>
      </c>
      <c r="C58" s="46"/>
      <c r="D58" s="46"/>
      <c r="E58" s="109">
        <f t="shared" si="5"/>
        <v>1</v>
      </c>
    </row>
    <row r="59" spans="2:5" x14ac:dyDescent="0.25">
      <c r="B59" s="76" t="s">
        <v>94</v>
      </c>
      <c r="C59" s="46"/>
      <c r="D59" s="46"/>
      <c r="E59" s="109">
        <f t="shared" si="5"/>
        <v>1</v>
      </c>
    </row>
    <row r="60" spans="2:5" x14ac:dyDescent="0.25">
      <c r="B60" s="76" t="s">
        <v>96</v>
      </c>
      <c r="C60" s="46"/>
      <c r="D60" s="46"/>
      <c r="E60" s="109">
        <f t="shared" si="5"/>
        <v>1</v>
      </c>
    </row>
    <row r="61" spans="2:5" x14ac:dyDescent="0.25">
      <c r="B61" s="76" t="s">
        <v>95</v>
      </c>
      <c r="C61" s="46"/>
      <c r="D61" s="46"/>
      <c r="E61" s="109">
        <f t="shared" si="5"/>
        <v>1</v>
      </c>
    </row>
  </sheetData>
  <mergeCells count="7">
    <mergeCell ref="B25:E25"/>
    <mergeCell ref="B48:E48"/>
    <mergeCell ref="B55:E55"/>
    <mergeCell ref="G10:I10"/>
    <mergeCell ref="B11:E11"/>
    <mergeCell ref="B16:E16"/>
    <mergeCell ref="B21:E21"/>
  </mergeCells>
  <phoneticPr fontId="1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7420-0C7D-49A8-8B9A-AAD982F08176}">
  <dimension ref="B2:K29"/>
  <sheetViews>
    <sheetView zoomScale="66" zoomScaleNormal="55" workbookViewId="0">
      <pane xSplit="2" ySplit="3" topLeftCell="D13" activePane="bottomRight" state="frozen"/>
      <selection pane="topRight" activeCell="C1" sqref="C1"/>
      <selection pane="bottomLeft" activeCell="A4" sqref="A4"/>
      <selection pane="bottomRight" activeCell="I27" sqref="I27"/>
    </sheetView>
  </sheetViews>
  <sheetFormatPr defaultColWidth="11.5703125" defaultRowHeight="15" x14ac:dyDescent="0.25"/>
  <cols>
    <col min="2" max="2" width="26.42578125" bestFit="1" customWidth="1"/>
    <col min="3" max="3" width="28.7109375" bestFit="1" customWidth="1"/>
    <col min="4" max="4" width="30" bestFit="1" customWidth="1"/>
    <col min="5" max="5" width="28.7109375" bestFit="1" customWidth="1"/>
    <col min="6" max="6" width="30" bestFit="1" customWidth="1"/>
    <col min="7" max="9" width="28.7109375" bestFit="1" customWidth="1"/>
    <col min="10" max="10" width="30.7109375" bestFit="1" customWidth="1"/>
    <col min="11" max="13" width="29.42578125" bestFit="1" customWidth="1"/>
  </cols>
  <sheetData>
    <row r="2" spans="3:11" ht="15.75" thickBot="1" x14ac:dyDescent="0.3"/>
    <row r="3" spans="3:11" ht="21.75" thickBot="1" x14ac:dyDescent="0.3">
      <c r="C3" s="6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8" t="s">
        <v>17</v>
      </c>
      <c r="J3" s="148" t="s">
        <v>34</v>
      </c>
      <c r="K3" s="149"/>
    </row>
    <row r="4" spans="3:11" ht="42" x14ac:dyDescent="0.25">
      <c r="C4" s="16" t="s">
        <v>207</v>
      </c>
      <c r="D4" s="22" t="s">
        <v>207</v>
      </c>
      <c r="E4" s="22" t="s">
        <v>207</v>
      </c>
      <c r="F4" s="22" t="s">
        <v>207</v>
      </c>
      <c r="G4" s="22" t="s">
        <v>207</v>
      </c>
      <c r="H4" s="22" t="s">
        <v>207</v>
      </c>
      <c r="I4" s="17" t="s">
        <v>207</v>
      </c>
      <c r="J4" s="57"/>
      <c r="K4" s="58"/>
    </row>
    <row r="5" spans="3:11" ht="42" x14ac:dyDescent="0.25">
      <c r="C5" s="12" t="s">
        <v>18</v>
      </c>
      <c r="D5" s="18" t="s">
        <v>18</v>
      </c>
      <c r="E5" s="13" t="s">
        <v>18</v>
      </c>
      <c r="F5" s="13" t="s">
        <v>18</v>
      </c>
      <c r="G5" s="13" t="s">
        <v>18</v>
      </c>
      <c r="H5" s="13" t="s">
        <v>18</v>
      </c>
      <c r="I5" s="40" t="s">
        <v>18</v>
      </c>
      <c r="J5" s="59"/>
      <c r="K5" s="60"/>
    </row>
    <row r="6" spans="3:11" ht="58.5" x14ac:dyDescent="0.25">
      <c r="C6" s="4" t="s">
        <v>35</v>
      </c>
      <c r="D6" s="19" t="s">
        <v>19</v>
      </c>
      <c r="E6" s="2" t="s">
        <v>19</v>
      </c>
      <c r="F6" s="2" t="s">
        <v>35</v>
      </c>
      <c r="G6" s="2" t="s">
        <v>35</v>
      </c>
      <c r="H6" s="3" t="s">
        <v>164</v>
      </c>
      <c r="I6" s="41" t="s">
        <v>20</v>
      </c>
      <c r="J6" s="59"/>
      <c r="K6" s="60"/>
    </row>
    <row r="7" spans="3:11" ht="42.75" x14ac:dyDescent="0.25">
      <c r="C7" s="14" t="s">
        <v>36</v>
      </c>
      <c r="D7" s="20" t="s">
        <v>21</v>
      </c>
      <c r="E7" s="15" t="s">
        <v>21</v>
      </c>
      <c r="F7" s="15" t="s">
        <v>36</v>
      </c>
      <c r="G7" s="15" t="s">
        <v>36</v>
      </c>
      <c r="H7" s="15" t="s">
        <v>81</v>
      </c>
      <c r="I7" s="42" t="s">
        <v>166</v>
      </c>
      <c r="J7" s="59"/>
      <c r="K7" s="60"/>
    </row>
    <row r="8" spans="3:11" ht="42.75" x14ac:dyDescent="0.25">
      <c r="C8" s="5" t="s">
        <v>37</v>
      </c>
      <c r="D8" s="21" t="s">
        <v>197</v>
      </c>
      <c r="E8" s="3" t="s">
        <v>197</v>
      </c>
      <c r="F8" s="3" t="s">
        <v>37</v>
      </c>
      <c r="G8" s="3" t="s">
        <v>37</v>
      </c>
      <c r="H8" s="3" t="s">
        <v>39</v>
      </c>
      <c r="I8" s="41" t="s">
        <v>167</v>
      </c>
      <c r="J8" s="59"/>
      <c r="K8" s="60"/>
    </row>
    <row r="9" spans="3:11" ht="42.75" x14ac:dyDescent="0.25">
      <c r="C9" s="14" t="s">
        <v>38</v>
      </c>
      <c r="D9" s="20" t="s">
        <v>198</v>
      </c>
      <c r="E9" s="20" t="s">
        <v>198</v>
      </c>
      <c r="F9" s="15" t="s">
        <v>38</v>
      </c>
      <c r="G9" s="15" t="s">
        <v>38</v>
      </c>
      <c r="H9" s="15" t="s">
        <v>40</v>
      </c>
      <c r="I9" s="42" t="s">
        <v>168</v>
      </c>
      <c r="J9" s="59"/>
      <c r="K9" s="60"/>
    </row>
    <row r="10" spans="3:11" ht="42.75" x14ac:dyDescent="0.25">
      <c r="C10" s="5" t="s">
        <v>173</v>
      </c>
      <c r="D10" s="21" t="s">
        <v>199</v>
      </c>
      <c r="E10" s="21" t="s">
        <v>199</v>
      </c>
      <c r="F10" s="3" t="s">
        <v>173</v>
      </c>
      <c r="G10" s="3" t="s">
        <v>173</v>
      </c>
      <c r="H10" s="3" t="s">
        <v>163</v>
      </c>
      <c r="I10" s="41" t="s">
        <v>22</v>
      </c>
      <c r="J10" s="59"/>
      <c r="K10" s="60"/>
    </row>
    <row r="11" spans="3:11" ht="42.75" x14ac:dyDescent="0.25">
      <c r="C11" s="101" t="s">
        <v>192</v>
      </c>
      <c r="D11" s="15" t="s">
        <v>200</v>
      </c>
      <c r="E11" s="15" t="s">
        <v>200</v>
      </c>
      <c r="F11" s="15" t="s">
        <v>192</v>
      </c>
      <c r="G11" s="15" t="s">
        <v>192</v>
      </c>
      <c r="H11" s="15" t="s">
        <v>24</v>
      </c>
      <c r="I11" s="40" t="s">
        <v>23</v>
      </c>
      <c r="J11" s="59"/>
      <c r="K11" s="60"/>
    </row>
    <row r="12" spans="3:11" ht="42.75" x14ac:dyDescent="0.25">
      <c r="C12" s="5" t="s">
        <v>190</v>
      </c>
      <c r="D12" s="3" t="s">
        <v>201</v>
      </c>
      <c r="E12" s="3" t="s">
        <v>201</v>
      </c>
      <c r="F12" s="23" t="s">
        <v>190</v>
      </c>
      <c r="G12" s="23" t="s">
        <v>190</v>
      </c>
      <c r="H12" s="3" t="s">
        <v>25</v>
      </c>
      <c r="I12" s="41" t="s">
        <v>24</v>
      </c>
      <c r="J12" s="59"/>
      <c r="K12" s="60"/>
    </row>
    <row r="13" spans="3:11" ht="42.75" x14ac:dyDescent="0.25">
      <c r="C13" s="14" t="s">
        <v>24</v>
      </c>
      <c r="D13" s="20" t="s">
        <v>24</v>
      </c>
      <c r="E13" s="20" t="s">
        <v>24</v>
      </c>
      <c r="F13" s="15" t="s">
        <v>24</v>
      </c>
      <c r="G13" s="15" t="s">
        <v>24</v>
      </c>
      <c r="H13" s="15" t="s">
        <v>211</v>
      </c>
      <c r="I13" s="42" t="s">
        <v>25</v>
      </c>
      <c r="J13" s="59"/>
      <c r="K13" s="60"/>
    </row>
    <row r="14" spans="3:11" ht="42.75" x14ac:dyDescent="0.25">
      <c r="C14" s="5" t="s">
        <v>191</v>
      </c>
      <c r="D14" s="3" t="s">
        <v>191</v>
      </c>
      <c r="E14" s="3" t="s">
        <v>191</v>
      </c>
      <c r="F14" s="3" t="s">
        <v>191</v>
      </c>
      <c r="G14" s="3" t="s">
        <v>191</v>
      </c>
      <c r="H14" s="3" t="s">
        <v>212</v>
      </c>
      <c r="I14" s="3" t="s">
        <v>211</v>
      </c>
      <c r="J14" s="59"/>
      <c r="K14" s="60"/>
    </row>
    <row r="15" spans="3:11" ht="42.75" x14ac:dyDescent="0.25">
      <c r="C15" s="14" t="s">
        <v>194</v>
      </c>
      <c r="D15" s="15" t="s">
        <v>202</v>
      </c>
      <c r="E15" s="15" t="s">
        <v>202</v>
      </c>
      <c r="F15" s="15" t="s">
        <v>193</v>
      </c>
      <c r="G15" s="15" t="s">
        <v>194</v>
      </c>
      <c r="H15" s="15" t="s">
        <v>195</v>
      </c>
      <c r="I15" s="15" t="s">
        <v>212</v>
      </c>
      <c r="J15" s="59"/>
      <c r="K15" s="60"/>
    </row>
    <row r="16" spans="3:11" ht="42.75" x14ac:dyDescent="0.25">
      <c r="C16" s="5" t="s">
        <v>195</v>
      </c>
      <c r="D16" s="3" t="s">
        <v>203</v>
      </c>
      <c r="E16" s="3" t="s">
        <v>205</v>
      </c>
      <c r="F16" s="3" t="s">
        <v>26</v>
      </c>
      <c r="G16" s="3" t="s">
        <v>195</v>
      </c>
      <c r="H16" s="3" t="s">
        <v>28</v>
      </c>
      <c r="I16" s="3" t="s">
        <v>195</v>
      </c>
      <c r="J16" s="59"/>
      <c r="K16" s="60"/>
    </row>
    <row r="17" spans="2:11" ht="42.75" x14ac:dyDescent="0.25">
      <c r="C17" s="14" t="s">
        <v>28</v>
      </c>
      <c r="D17" s="15" t="s">
        <v>29</v>
      </c>
      <c r="E17" s="15" t="s">
        <v>206</v>
      </c>
      <c r="F17" s="15" t="s">
        <v>27</v>
      </c>
      <c r="G17" s="15" t="s">
        <v>28</v>
      </c>
      <c r="H17" s="10"/>
      <c r="I17" s="15" t="s">
        <v>28</v>
      </c>
      <c r="J17" s="59"/>
      <c r="K17" s="60"/>
    </row>
    <row r="18" spans="2:11" ht="42.75" x14ac:dyDescent="0.25">
      <c r="C18" s="9"/>
      <c r="D18" s="3" t="s">
        <v>30</v>
      </c>
      <c r="E18" s="3" t="s">
        <v>165</v>
      </c>
      <c r="F18" s="3" t="s">
        <v>29</v>
      </c>
      <c r="G18" s="10"/>
      <c r="H18" s="10"/>
      <c r="I18" s="43"/>
      <c r="J18" s="59"/>
      <c r="K18" s="60"/>
    </row>
    <row r="19" spans="2:11" ht="63" customHeight="1" x14ac:dyDescent="0.25">
      <c r="C19" s="9"/>
      <c r="D19" s="15" t="s">
        <v>31</v>
      </c>
      <c r="E19" s="10"/>
      <c r="F19" s="15" t="s">
        <v>30</v>
      </c>
      <c r="G19" s="10"/>
      <c r="H19" s="10"/>
      <c r="I19" s="11"/>
      <c r="J19" s="59"/>
      <c r="K19" s="60"/>
    </row>
    <row r="20" spans="2:11" ht="66.75" customHeight="1" thickBot="1" x14ac:dyDescent="0.3">
      <c r="C20" s="9"/>
      <c r="D20" s="10"/>
      <c r="E20" s="10"/>
      <c r="F20" s="51" t="s">
        <v>31</v>
      </c>
      <c r="G20" s="10"/>
      <c r="H20" s="10"/>
      <c r="I20" s="10"/>
      <c r="J20" s="59"/>
      <c r="K20" s="60"/>
    </row>
    <row r="21" spans="2:11" ht="21" x14ac:dyDescent="0.25">
      <c r="B21" s="102" t="s">
        <v>0</v>
      </c>
      <c r="C21" s="69" t="str">
        <f>ROUND(3,3)&amp;" (3h)"</f>
        <v>3 (3h)</v>
      </c>
      <c r="D21" s="52" t="str">
        <f>ROUND(2,3)&amp;" (2h)"</f>
        <v>2 (2h)</v>
      </c>
      <c r="E21" s="52" t="str">
        <f>ROUND(2,3)&amp;" (2h)"</f>
        <v>2 (2h)</v>
      </c>
      <c r="F21" s="52" t="str">
        <f>ROUND(3,3)&amp;" (3h)"</f>
        <v>3 (3h)</v>
      </c>
      <c r="G21" s="52" t="str">
        <f>ROUND(3,3)&amp;" (3h)"</f>
        <v>3 (3h)</v>
      </c>
      <c r="H21" s="52" t="str">
        <f>ROUND(4,3)&amp;" (4h)"</f>
        <v>4 (4h)</v>
      </c>
      <c r="I21" s="62" t="str">
        <f>ROUND(4,3)&amp;" (4h)"</f>
        <v>4 (4h)</v>
      </c>
      <c r="J21" s="65">
        <f t="shared" ref="J21" si="0">SUM(VALUE(LEFT(C21,FIND(" ",C21)-1)),VALUE(LEFT(D21,FIND(" ",D21)-1)),VALUE(LEFT(E21,FIND(" ",E21)-1)),VALUE(LEFT(F21,FIND(" ",F21)-1)),VALUE(LEFT(G21,FIND(" ",G21)-1)),VALUE(LEFT(H21,FIND(" ",H21)-1)),VALUE(LEFT(I21,FIND(" ",I21)-1)))</f>
        <v>21</v>
      </c>
      <c r="K21" s="53" t="str">
        <f t="shared" ref="K21" si="1">ROUNDDOWN(J21,0)&amp;"h"&amp;ROUND((J21-ROUNDDOWN(J21,0))*60,0)</f>
        <v>21h0</v>
      </c>
    </row>
    <row r="22" spans="2:11" ht="21" x14ac:dyDescent="0.25">
      <c r="B22" s="103" t="s">
        <v>2</v>
      </c>
      <c r="C22" s="70" t="str">
        <f>ROUND(95/60,3)&amp;" (1h35)"</f>
        <v>1,583 (1h35)</v>
      </c>
      <c r="D22" s="50" t="str">
        <f>ROUND(50/60,3)&amp;" (0h50)"</f>
        <v>0,833 (0h50)</v>
      </c>
      <c r="E22" s="50" t="str">
        <f>ROUND(50/60,3)&amp;" (0h55)"</f>
        <v>0,833 (0h55)</v>
      </c>
      <c r="F22" s="50" t="str">
        <f>ROUND(95/60,3)&amp;" (1h35)"</f>
        <v>1,583 (1h35)</v>
      </c>
      <c r="G22" s="50" t="str">
        <f t="shared" ref="G22" si="2">ROUND(95/60,3)&amp;" (1h35)"</f>
        <v>1,583 (1h35)</v>
      </c>
      <c r="H22" s="50" t="str">
        <f>ROUND(0,3)&amp;" (0h)"</f>
        <v>0 (0h)</v>
      </c>
      <c r="I22" s="63" t="str">
        <f>ROUND(0,3)&amp;" (0h)"</f>
        <v>0 (0h)</v>
      </c>
      <c r="J22" s="66">
        <f>SUM(VALUE(LEFT(C22,FIND(" ",C22)-1)),VALUE(LEFT(D22,FIND(" ",D22)-1)),VALUE(LEFT(E22,FIND(" ",E22)-1)),VALUE(LEFT(F22,FIND(" ",F22)-1)),VALUE(LEFT(G22,FIND(" ",G22)-1)),VALUE(LEFT(H22,FIND(" ",H22)-1)),VALUE(LEFT(I22,FIND(" ",I22)-1)))</f>
        <v>6.415</v>
      </c>
      <c r="K22" s="54" t="str">
        <f>ROUNDDOWN(J22,0)&amp;"h"&amp;ROUND((J22-ROUNDDOWN(J22,0))*60,0)</f>
        <v>6h25</v>
      </c>
    </row>
    <row r="23" spans="2:11" ht="21" x14ac:dyDescent="0.25">
      <c r="B23" s="103" t="s">
        <v>204</v>
      </c>
      <c r="C23" s="70" t="str">
        <f>ROUND(3,3)&amp;" (3h)"</f>
        <v>3 (3h)</v>
      </c>
      <c r="D23" s="70" t="str">
        <f>ROUND(5.5,3)&amp;" (5h30)"</f>
        <v>5,5 (5h30)</v>
      </c>
      <c r="E23" s="70" t="str">
        <f>ROUND(5.5,3)&amp;" (5h30)"</f>
        <v>5,5 (5h30)</v>
      </c>
      <c r="F23" s="70" t="str">
        <f>ROUND(3,3)&amp;" (3h)"</f>
        <v>3 (3h)</v>
      </c>
      <c r="G23" s="70" t="str">
        <f>ROUND(3,3)&amp;" (3h)"</f>
        <v>3 (3h)</v>
      </c>
      <c r="H23" s="70" t="str">
        <f t="shared" ref="C23:I28" si="3">ROUND(0,3)&amp;" (0h)"</f>
        <v>0 (0h)</v>
      </c>
      <c r="I23" s="70" t="str">
        <f t="shared" si="3"/>
        <v>0 (0h)</v>
      </c>
      <c r="J23" s="66">
        <f>SUM(VALUE(LEFT(C23,FIND(" ",C23)-1)),VALUE(LEFT(D23,FIND(" ",D23)-1)),VALUE(LEFT(E23,FIND(" ",E23)-1)),VALUE(LEFT(F23,FIND(" ",F23)-1)),VALUE(LEFT(G23,FIND(" ",G23)-1)),VALUE(LEFT(H23,FIND(" ",H23)-1)),VALUE(LEFT(I23,FIND(" ",I23)-1)))</f>
        <v>20</v>
      </c>
      <c r="K23" s="54" t="str">
        <f>ROUNDDOWN(J23,0)&amp;"h"&amp;ROUND((J23-ROUNDDOWN(J23,0))*60,0)</f>
        <v>20h0</v>
      </c>
    </row>
    <row r="24" spans="2:11" ht="21" x14ac:dyDescent="0.25">
      <c r="B24" s="103" t="s">
        <v>3</v>
      </c>
      <c r="C24" s="70" t="str">
        <f t="shared" si="3"/>
        <v>0 (0h)</v>
      </c>
      <c r="D24" s="50" t="str">
        <f t="shared" si="3"/>
        <v>0 (0h)</v>
      </c>
      <c r="E24" s="50" t="str">
        <f t="shared" si="3"/>
        <v>0 (0h)</v>
      </c>
      <c r="F24" s="50" t="str">
        <f t="shared" si="3"/>
        <v>0 (0h)</v>
      </c>
      <c r="G24" s="50" t="str">
        <f t="shared" si="3"/>
        <v>0 (0h)</v>
      </c>
      <c r="H24" s="50" t="str">
        <f>ROUND(2,3)&amp;" (2h)"</f>
        <v>2 (2h)</v>
      </c>
      <c r="I24" s="63" t="str">
        <f>ROUND(1,3)&amp;" (1h)"</f>
        <v>1 (1h)</v>
      </c>
      <c r="J24" s="66">
        <f>SUM(VALUE(LEFT(C24,FIND(" ",C24)-1)),VALUE(LEFT(D24,FIND(" ",D24)-1)),VALUE(LEFT(E24,FIND(" ",E24)-1)),VALUE(LEFT(F24,FIND(" ",F24)-1)),VALUE(LEFT(G24,FIND(" ",G24)-1)),VALUE(LEFT(H24,FIND(" ",H24)-1)),VALUE(LEFT(I24,FIND(" ",I24)-1)))</f>
        <v>3</v>
      </c>
      <c r="K24" s="54" t="str">
        <f>ROUNDDOWN(J24,0)&amp;"h"&amp;ROUND((J24-ROUNDDOWN(J24,0))*60,0)</f>
        <v>3h0</v>
      </c>
    </row>
    <row r="25" spans="2:11" ht="21" x14ac:dyDescent="0.25">
      <c r="B25" s="103" t="s">
        <v>213</v>
      </c>
      <c r="C25" s="70" t="str">
        <f t="shared" si="3"/>
        <v>0 (0h)</v>
      </c>
      <c r="D25" s="50" t="str">
        <f>ROUND(2.5,3)&amp;" (2h30)"</f>
        <v>2,5 (2h30)</v>
      </c>
      <c r="E25" s="50" t="str">
        <f t="shared" si="3"/>
        <v>0 (0h)</v>
      </c>
      <c r="F25" s="50" t="str">
        <f>ROUND(2.5,3)&amp;" (2h30)"</f>
        <v>2,5 (2h30)</v>
      </c>
      <c r="G25" s="50" t="str">
        <f t="shared" si="3"/>
        <v>0 (0h)</v>
      </c>
      <c r="H25" s="50" t="str">
        <f t="shared" si="3"/>
        <v>0 (0h)</v>
      </c>
      <c r="I25" s="63" t="str">
        <f>ROUND(1.5,3)&amp;" (1h30)"</f>
        <v>1,5 (1h30)</v>
      </c>
      <c r="J25" s="66">
        <f>SUM(VALUE(LEFT(C25,FIND(" ",C25)-1)),VALUE(LEFT(D25,FIND(" ",D25)-1)),VALUE(LEFT(E25,FIND(" ",E25)-1)),VALUE(LEFT(F25,FIND(" ",F25)-1)),VALUE(LEFT(G25,FIND(" ",G25)-1)),VALUE(LEFT(H25,FIND(" ",H25)-1)),VALUE(LEFT(I25,FIND(" ",I25)-1)))</f>
        <v>6.5</v>
      </c>
      <c r="K25" s="54" t="str">
        <f>ROUNDDOWN(J25,0)&amp;"h"&amp;ROUND((J25-ROUNDDOWN(J25,0))*60,0)</f>
        <v>6h30</v>
      </c>
    </row>
    <row r="26" spans="2:11" ht="21" x14ac:dyDescent="0.25">
      <c r="B26" s="103" t="s">
        <v>9</v>
      </c>
      <c r="C26" s="70" t="str">
        <f t="shared" si="3"/>
        <v>0 (0h)</v>
      </c>
      <c r="D26" s="50" t="str">
        <f t="shared" si="3"/>
        <v>0 (0h)</v>
      </c>
      <c r="E26" s="50" t="str">
        <f t="shared" si="3"/>
        <v>0 (0h)</v>
      </c>
      <c r="F26" s="50" t="str">
        <f t="shared" si="3"/>
        <v>0 (0h)</v>
      </c>
      <c r="G26" s="50" t="str">
        <f t="shared" si="3"/>
        <v>0 (0h)</v>
      </c>
      <c r="H26" s="50" t="str">
        <f>ROUND(2,3)&amp;" (2h)"</f>
        <v>2 (2h)</v>
      </c>
      <c r="I26" s="63" t="str">
        <f>ROUND(2,3)&amp;" (2h)"</f>
        <v>2 (2h)</v>
      </c>
      <c r="J26" s="66">
        <f t="shared" ref="J26:J27" si="4">SUM(VALUE(LEFT(C26,FIND(" ",C26)-1)),VALUE(LEFT(D26,FIND(" ",D26)-1)),VALUE(LEFT(E26,FIND(" ",E26)-1)),VALUE(LEFT(F26,FIND(" ",F26)-1)),VALUE(LEFT(G26,FIND(" ",G26)-1)),VALUE(LEFT(H26,FIND(" ",H26)-1)),VALUE(LEFT(I26,FIND(" ",I26)-1)))</f>
        <v>4</v>
      </c>
      <c r="K26" s="54" t="str">
        <f t="shared" ref="K26:K27" si="5">ROUNDDOWN(J26,0)&amp;"h"&amp;ROUND((J26-ROUNDDOWN(J26,0))*60,0)</f>
        <v>4h0</v>
      </c>
    </row>
    <row r="27" spans="2:11" ht="21" x14ac:dyDescent="0.25">
      <c r="B27" s="103" t="s">
        <v>33</v>
      </c>
      <c r="C27" s="70" t="str">
        <f>ROUND(3,3)&amp;" (3h)"</f>
        <v>3 (3h)</v>
      </c>
      <c r="D27" s="50" t="str">
        <f>ROUND(0,3)&amp;" (0h)"</f>
        <v>0 (0h)</v>
      </c>
      <c r="E27" s="50" t="str">
        <f>ROUND(0,3)&amp;" (0h)"</f>
        <v>0 (0h)</v>
      </c>
      <c r="F27" s="50" t="str">
        <f>ROUND(2.5,3)&amp;" (2h30)"</f>
        <v>2,5 (2h30)</v>
      </c>
      <c r="G27" s="70" t="str">
        <f>ROUND(3,3)&amp;" (3h)"</f>
        <v>3 (3h)</v>
      </c>
      <c r="H27" s="50" t="str">
        <f>ROUND(125/60,3)&amp;" (2h5)"</f>
        <v>2,083 (2h5)</v>
      </c>
      <c r="I27" s="63" t="str">
        <f>ROUND(0,3)&amp;" (0h)"</f>
        <v>0 (0h)</v>
      </c>
      <c r="J27" s="66">
        <f t="shared" si="4"/>
        <v>10.583</v>
      </c>
      <c r="K27" s="54" t="str">
        <f t="shared" si="5"/>
        <v>10h35</v>
      </c>
    </row>
    <row r="28" spans="2:11" ht="21" x14ac:dyDescent="0.25">
      <c r="B28" s="104" t="s">
        <v>105</v>
      </c>
      <c r="C28" s="70" t="str">
        <f>ROUND(2,3)&amp;" (2h)"</f>
        <v>2 (2h)</v>
      </c>
      <c r="D28" s="50" t="str">
        <f>ROUND(0,3)&amp;" (0h)"</f>
        <v>0 (0h)</v>
      </c>
      <c r="E28" s="50" t="str">
        <f>ROUND(1.5,3)&amp;" (1h30)"</f>
        <v>1,5 (1h30)</v>
      </c>
      <c r="F28" s="50" t="str">
        <f t="shared" si="3"/>
        <v>0 (0h)</v>
      </c>
      <c r="G28" s="50" t="str">
        <f>ROUND(2,3)&amp;" (2h)"</f>
        <v>2 (2h)</v>
      </c>
      <c r="H28" s="50" t="str">
        <f>ROUND(3.5,3)&amp;" (3h30)"</f>
        <v>3,5 (3h30)</v>
      </c>
      <c r="I28" s="50" t="str">
        <f>ROUND(3.5,3)&amp;" (3h30)"</f>
        <v>3,5 (3h30)</v>
      </c>
      <c r="J28" s="67">
        <f>SUM(VALUE(LEFT(C28,FIND(" ",C28)-1)),VALUE(LEFT(D28,FIND(" ",D28)-1)),VALUE(LEFT(E28,FIND(" ",E28)-1)),VALUE(LEFT(F28,FIND(" ",F28)-1)),VALUE(LEFT(G28,FIND(" ",G28)-1)),VALUE(LEFT(H28,FIND(" ",H28)-1)),VALUE(LEFT(I28,FIND(" ",I28)-1)))</f>
        <v>12.5</v>
      </c>
      <c r="K28" s="61" t="str">
        <f>ROUNDDOWN(J28,0)&amp;"h"&amp;ROUND((J28-ROUNDDOWN(J28,0))*60,0)</f>
        <v>12h30</v>
      </c>
    </row>
    <row r="29" spans="2:11" ht="21.75" thickBot="1" x14ac:dyDescent="0.3">
      <c r="B29" s="105" t="s">
        <v>196</v>
      </c>
      <c r="C29" s="71" t="str">
        <f>ROUND(7.5,3)&amp;" (7h30)"</f>
        <v>7,5 (7h30)</v>
      </c>
      <c r="D29" s="55" t="str">
        <f t="shared" ref="D29:I29" si="6">ROUND(7.5,3)&amp;" (7h30)"</f>
        <v>7,5 (7h30)</v>
      </c>
      <c r="E29" s="55" t="str">
        <f t="shared" si="6"/>
        <v>7,5 (7h30)</v>
      </c>
      <c r="F29" s="55" t="str">
        <f t="shared" si="6"/>
        <v>7,5 (7h30)</v>
      </c>
      <c r="G29" s="55" t="str">
        <f t="shared" si="6"/>
        <v>7,5 (7h30)</v>
      </c>
      <c r="H29" s="55" t="str">
        <f t="shared" si="6"/>
        <v>7,5 (7h30)</v>
      </c>
      <c r="I29" s="64" t="str">
        <f t="shared" si="6"/>
        <v>7,5 (7h30)</v>
      </c>
      <c r="J29" s="68">
        <f>SUM(VALUE(LEFT(C29,FIND(" ",C29)-1)),VALUE(LEFT(D29,FIND(" ",D29)-1)),VALUE(LEFT(E29,FIND(" ",E29)-1)),VALUE(LEFT(F29,FIND(" ",F29)-1)),VALUE(LEFT(G29,FIND(" ",G29)-1)),VALUE(LEFT(H29,FIND(" ",H29)-1)),VALUE(LEFT(I29,FIND(" ",I29)-1)))</f>
        <v>52.5</v>
      </c>
      <c r="K29" s="56" t="str">
        <f>ROUNDDOWN(J29,0)&amp;"h"&amp;ROUND((J29-ROUNDDOWN(J29,0))*60,0)</f>
        <v>52h30</v>
      </c>
    </row>
  </sheetData>
  <mergeCells count="1">
    <mergeCell ref="J3:K3"/>
  </mergeCells>
  <pageMargins left="0.7" right="0.7" top="0.75" bottom="0.75" header="0.3" footer="0.3"/>
  <pageSetup paperSize="9" orientation="portrait" r:id="rId1"/>
  <ignoredErrors>
    <ignoredError sqref="H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C10"/>
  <sheetViews>
    <sheetView tabSelected="1" zoomScale="85" zoomScaleNormal="85" workbookViewId="0">
      <pane xSplit="2" ySplit="4" topLeftCell="DD5" activePane="bottomRight" state="frozen"/>
      <selection pane="topRight" activeCell="C1" sqref="C1"/>
      <selection pane="bottomLeft" activeCell="A5" sqref="A5"/>
      <selection pane="bottomRight" activeCell="DQ5" sqref="DQ5"/>
    </sheetView>
  </sheetViews>
  <sheetFormatPr defaultColWidth="13.7109375" defaultRowHeight="15" x14ac:dyDescent="0.25"/>
  <cols>
    <col min="2" max="2" width="24.28515625" bestFit="1" customWidth="1"/>
    <col min="3" max="3" width="18" bestFit="1" customWidth="1"/>
  </cols>
  <sheetData>
    <row r="2" spans="1:367" x14ac:dyDescent="0.25">
      <c r="C2" s="152" t="str">
        <f>"Week "&amp;ROUNDDOWN(C4/7,0)+1</f>
        <v>Week 1</v>
      </c>
      <c r="D2" s="153"/>
      <c r="E2" s="153"/>
      <c r="F2" s="153"/>
      <c r="G2" s="153"/>
      <c r="H2" s="153"/>
      <c r="I2" s="153"/>
      <c r="J2" s="152" t="str">
        <f>"Week "&amp;ROUNDDOWN(J4/7,0)+1</f>
        <v>Week 2</v>
      </c>
      <c r="K2" s="153"/>
      <c r="L2" s="153"/>
      <c r="M2" s="153"/>
      <c r="N2" s="153"/>
      <c r="O2" s="153"/>
      <c r="P2" s="153"/>
      <c r="Q2" s="152" t="str">
        <f>"Week "&amp;ROUNDDOWN(Q4/7,0)+1</f>
        <v>Week 3</v>
      </c>
      <c r="R2" s="153"/>
      <c r="S2" s="153"/>
      <c r="T2" s="153"/>
      <c r="U2" s="153"/>
      <c r="V2" s="153"/>
      <c r="W2" s="153"/>
      <c r="X2" s="152" t="str">
        <f>"Week "&amp;ROUNDDOWN(X4/7,0)+1</f>
        <v>Week 4</v>
      </c>
      <c r="Y2" s="153"/>
      <c r="Z2" s="153"/>
      <c r="AA2" s="153"/>
      <c r="AB2" s="153"/>
      <c r="AC2" s="153"/>
      <c r="AD2" s="153"/>
      <c r="AE2" s="152" t="str">
        <f>"Week "&amp;ROUNDDOWN(AE4/7,0)+1</f>
        <v>Week 5</v>
      </c>
      <c r="AF2" s="153"/>
      <c r="AG2" s="153"/>
      <c r="AH2" s="153"/>
      <c r="AI2" s="153"/>
      <c r="AJ2" s="153"/>
      <c r="AK2" s="153"/>
      <c r="AL2" s="152" t="str">
        <f>"Week "&amp;ROUNDDOWN(AL4/7,0)+1</f>
        <v>Week 6</v>
      </c>
      <c r="AM2" s="153"/>
      <c r="AN2" s="153"/>
      <c r="AO2" s="153"/>
      <c r="AP2" s="153"/>
      <c r="AQ2" s="153"/>
      <c r="AR2" s="153"/>
      <c r="AS2" s="152" t="str">
        <f>"Week "&amp;ROUNDDOWN(AS4/7,0)+1</f>
        <v>Week 7</v>
      </c>
      <c r="AT2" s="153"/>
      <c r="AU2" s="153"/>
      <c r="AV2" s="153"/>
      <c r="AW2" s="153"/>
      <c r="AX2" s="153"/>
      <c r="AY2" s="153"/>
      <c r="AZ2" s="152" t="str">
        <f>"Week "&amp;ROUNDDOWN(AZ4/7,0)+1</f>
        <v>Week 8</v>
      </c>
      <c r="BA2" s="153"/>
      <c r="BB2" s="153"/>
      <c r="BC2" s="153"/>
      <c r="BD2" s="153"/>
      <c r="BE2" s="153"/>
      <c r="BF2" s="153"/>
      <c r="BG2" s="152" t="str">
        <f>"Week "&amp;ROUNDDOWN(BG4/7,0)+1</f>
        <v>Week 9</v>
      </c>
      <c r="BH2" s="153"/>
      <c r="BI2" s="153"/>
      <c r="BJ2" s="153"/>
      <c r="BK2" s="153"/>
      <c r="BL2" s="153"/>
      <c r="BM2" s="153"/>
      <c r="BN2" s="152" t="str">
        <f>"Week "&amp;ROUNDDOWN(BN4/7,0)+1</f>
        <v>Week 10</v>
      </c>
      <c r="BO2" s="153"/>
      <c r="BP2" s="153"/>
      <c r="BQ2" s="153"/>
      <c r="BR2" s="153"/>
      <c r="BS2" s="153"/>
      <c r="BT2" s="153"/>
      <c r="BU2" s="152" t="str">
        <f>"Week "&amp;ROUNDDOWN(BU4/7,0)+1</f>
        <v>Week 11</v>
      </c>
      <c r="BV2" s="153"/>
      <c r="BW2" s="153"/>
      <c r="BX2" s="153"/>
      <c r="BY2" s="153"/>
      <c r="BZ2" s="153"/>
      <c r="CA2" s="153"/>
      <c r="CB2" s="152" t="str">
        <f>"Week "&amp;ROUNDDOWN(CB4/7,0)+1</f>
        <v>Week 12</v>
      </c>
      <c r="CC2" s="153"/>
      <c r="CD2" s="153"/>
      <c r="CE2" s="153"/>
      <c r="CF2" s="153"/>
      <c r="CG2" s="153"/>
      <c r="CH2" s="153"/>
      <c r="CI2" s="152" t="str">
        <f>"Week "&amp;ROUNDDOWN(CI4/7,0)+1</f>
        <v>Week 13</v>
      </c>
      <c r="CJ2" s="153"/>
      <c r="CK2" s="153"/>
      <c r="CL2" s="153"/>
      <c r="CM2" s="153"/>
      <c r="CN2" s="153"/>
      <c r="CO2" s="153"/>
      <c r="CP2" s="152" t="str">
        <f>"Week "&amp;ROUNDDOWN(CP4/7,0)+1</f>
        <v>Week 14</v>
      </c>
      <c r="CQ2" s="153"/>
      <c r="CR2" s="153"/>
      <c r="CS2" s="153"/>
      <c r="CT2" s="153"/>
      <c r="CU2" s="153"/>
      <c r="CV2" s="153"/>
      <c r="CW2" s="152" t="str">
        <f>"Week "&amp;ROUNDDOWN(CW4/7,0)+1</f>
        <v>Week 15</v>
      </c>
      <c r="CX2" s="153"/>
      <c r="CY2" s="153"/>
      <c r="CZ2" s="153"/>
      <c r="DA2" s="153"/>
      <c r="DB2" s="153"/>
      <c r="DC2" s="153"/>
      <c r="DD2" s="152" t="str">
        <f>"Week "&amp;ROUNDDOWN(DD4/7,0)+1</f>
        <v>Week 16</v>
      </c>
      <c r="DE2" s="153"/>
      <c r="DF2" s="153"/>
      <c r="DG2" s="153"/>
      <c r="DH2" s="153"/>
      <c r="DI2" s="153"/>
      <c r="DJ2" s="153"/>
      <c r="DK2" s="152" t="str">
        <f>"Week "&amp;ROUNDDOWN(DK4/7,0)+1</f>
        <v>Week 17</v>
      </c>
      <c r="DL2" s="153"/>
      <c r="DM2" s="153"/>
      <c r="DN2" s="153"/>
      <c r="DO2" s="153"/>
      <c r="DP2" s="153"/>
      <c r="DQ2" s="153"/>
      <c r="DR2" s="152" t="str">
        <f>"Week "&amp;ROUNDDOWN(DR4/7,0)+1</f>
        <v>Week 18</v>
      </c>
      <c r="DS2" s="153"/>
      <c r="DT2" s="153"/>
      <c r="DU2" s="153"/>
      <c r="DV2" s="153"/>
      <c r="DW2" s="153"/>
      <c r="DX2" s="153"/>
      <c r="DY2" s="152" t="str">
        <f>"Week "&amp;ROUNDDOWN(DY4/7,0)+1</f>
        <v>Week 19</v>
      </c>
      <c r="DZ2" s="153"/>
      <c r="EA2" s="153"/>
      <c r="EB2" s="153"/>
      <c r="EC2" s="153"/>
      <c r="ED2" s="153"/>
      <c r="EE2" s="153"/>
      <c r="EF2" s="152" t="str">
        <f>"Week "&amp;ROUNDDOWN(EF4/7,0)+1</f>
        <v>Week 20</v>
      </c>
      <c r="EG2" s="153"/>
      <c r="EH2" s="153"/>
      <c r="EI2" s="153"/>
      <c r="EJ2" s="153"/>
      <c r="EK2" s="153"/>
      <c r="EL2" s="153"/>
      <c r="EM2" s="152" t="str">
        <f>"Week "&amp;ROUNDDOWN(EM4/7,0)+1</f>
        <v>Week 21</v>
      </c>
      <c r="EN2" s="153"/>
      <c r="EO2" s="153"/>
      <c r="EP2" s="153"/>
      <c r="EQ2" s="153"/>
      <c r="ER2" s="153"/>
      <c r="ES2" s="153"/>
      <c r="ET2" s="152" t="str">
        <f>"Week "&amp;ROUNDDOWN(ET4/7,0)+1</f>
        <v>Week 22</v>
      </c>
      <c r="EU2" s="153"/>
      <c r="EV2" s="153"/>
      <c r="EW2" s="153"/>
      <c r="EX2" s="153"/>
      <c r="EY2" s="153"/>
      <c r="EZ2" s="153"/>
      <c r="FA2" s="152" t="str">
        <f>"Week "&amp;ROUNDDOWN(FA4/7,0)+1</f>
        <v>Week 23</v>
      </c>
      <c r="FB2" s="153"/>
      <c r="FC2" s="153"/>
      <c r="FD2" s="153"/>
      <c r="FE2" s="153"/>
      <c r="FF2" s="153"/>
      <c r="FG2" s="153"/>
      <c r="FH2" s="152" t="str">
        <f>"Week "&amp;ROUNDDOWN(FH4/7,0)+1</f>
        <v>Week 24</v>
      </c>
      <c r="FI2" s="153"/>
      <c r="FJ2" s="153"/>
      <c r="FK2" s="153"/>
      <c r="FL2" s="153"/>
      <c r="FM2" s="153"/>
      <c r="FN2" s="153"/>
      <c r="FO2" s="152" t="str">
        <f>"Week "&amp;ROUNDDOWN(FO4/7,0)+1</f>
        <v>Week 25</v>
      </c>
      <c r="FP2" s="153"/>
      <c r="FQ2" s="153"/>
      <c r="FR2" s="153"/>
      <c r="FS2" s="153"/>
      <c r="FT2" s="153"/>
      <c r="FU2" s="153"/>
      <c r="FV2" s="152" t="str">
        <f>"Week "&amp;ROUNDDOWN(FV4/7,0)+1</f>
        <v>Week 26</v>
      </c>
      <c r="FW2" s="153"/>
      <c r="FX2" s="153"/>
      <c r="FY2" s="153"/>
      <c r="FZ2" s="153"/>
      <c r="GA2" s="153"/>
      <c r="GB2" s="153"/>
      <c r="GC2" s="152" t="str">
        <f>"Week "&amp;ROUNDDOWN(GC4/7,0)+1</f>
        <v>Week 27</v>
      </c>
      <c r="GD2" s="153"/>
      <c r="GE2" s="153"/>
      <c r="GF2" s="153"/>
      <c r="GG2" s="153"/>
      <c r="GH2" s="153"/>
      <c r="GI2" s="153"/>
      <c r="GJ2" s="152" t="str">
        <f>"Week "&amp;ROUNDDOWN(GJ4/7,0)+1</f>
        <v>Week 28</v>
      </c>
      <c r="GK2" s="153"/>
      <c r="GL2" s="153"/>
      <c r="GM2" s="153"/>
      <c r="GN2" s="153"/>
      <c r="GO2" s="153"/>
      <c r="GP2" s="153"/>
      <c r="GQ2" s="152" t="str">
        <f>"Week "&amp;ROUNDDOWN(GQ4/7,0)+1</f>
        <v>Week 29</v>
      </c>
      <c r="GR2" s="153"/>
      <c r="GS2" s="153"/>
      <c r="GT2" s="153"/>
      <c r="GU2" s="153"/>
      <c r="GV2" s="153"/>
      <c r="GW2" s="153"/>
      <c r="GX2" s="152" t="str">
        <f>"Week "&amp;ROUNDDOWN(GX4/7,0)+1</f>
        <v>Week 30</v>
      </c>
      <c r="GY2" s="153"/>
      <c r="GZ2" s="153"/>
      <c r="HA2" s="153"/>
      <c r="HB2" s="153"/>
      <c r="HC2" s="153"/>
      <c r="HD2" s="153"/>
      <c r="HE2" s="152" t="str">
        <f>"Week "&amp;ROUNDDOWN(HE4/7,0)+1</f>
        <v>Week 31</v>
      </c>
      <c r="HF2" s="153"/>
      <c r="HG2" s="153"/>
      <c r="HH2" s="153"/>
      <c r="HI2" s="153"/>
      <c r="HJ2" s="153"/>
      <c r="HK2" s="153"/>
      <c r="HL2" s="152" t="str">
        <f>"Week "&amp;ROUNDDOWN(HL4/7,0)+1</f>
        <v>Week 32</v>
      </c>
      <c r="HM2" s="153"/>
      <c r="HN2" s="153"/>
      <c r="HO2" s="153"/>
      <c r="HP2" s="153"/>
      <c r="HQ2" s="153"/>
      <c r="HR2" s="153"/>
      <c r="HS2" s="152" t="str">
        <f>"Week "&amp;ROUNDDOWN(HS4/7,0)+1</f>
        <v>Week 33</v>
      </c>
      <c r="HT2" s="153"/>
      <c r="HU2" s="153"/>
      <c r="HV2" s="153"/>
      <c r="HW2" s="153"/>
      <c r="HX2" s="153"/>
      <c r="HY2" s="153"/>
      <c r="HZ2" s="152" t="str">
        <f>"Week "&amp;ROUNDDOWN(HZ4/7,0)+1</f>
        <v>Week 34</v>
      </c>
      <c r="IA2" s="153"/>
      <c r="IB2" s="153"/>
      <c r="IC2" s="153"/>
      <c r="ID2" s="153"/>
      <c r="IE2" s="153"/>
      <c r="IF2" s="153"/>
      <c r="IG2" s="152" t="str">
        <f>"Week "&amp;ROUNDDOWN(IG4/7,0)+1</f>
        <v>Week 35</v>
      </c>
      <c r="IH2" s="153"/>
      <c r="II2" s="153"/>
      <c r="IJ2" s="153"/>
      <c r="IK2" s="153"/>
      <c r="IL2" s="153"/>
      <c r="IM2" s="153"/>
      <c r="IN2" s="152" t="str">
        <f>"Week "&amp;ROUNDDOWN(IN4/7,0)+1</f>
        <v>Week 36</v>
      </c>
      <c r="IO2" s="153"/>
      <c r="IP2" s="153"/>
      <c r="IQ2" s="153"/>
      <c r="IR2" s="153"/>
      <c r="IS2" s="153"/>
      <c r="IT2" s="153"/>
      <c r="IU2" s="152" t="str">
        <f>"Week "&amp;ROUNDDOWN(IU4/7,0)+1</f>
        <v>Week 37</v>
      </c>
      <c r="IV2" s="153"/>
      <c r="IW2" s="153"/>
      <c r="IX2" s="153"/>
      <c r="IY2" s="153"/>
      <c r="IZ2" s="153"/>
      <c r="JA2" s="153"/>
      <c r="JB2" s="152" t="str">
        <f>"Week "&amp;ROUNDDOWN(JB4/7,0)+1</f>
        <v>Week 38</v>
      </c>
      <c r="JC2" s="153"/>
      <c r="JD2" s="153"/>
      <c r="JE2" s="153"/>
      <c r="JF2" s="153"/>
      <c r="JG2" s="153"/>
      <c r="JH2" s="153"/>
      <c r="JI2" s="152" t="str">
        <f>"Week "&amp;ROUNDDOWN(JI4/7,0)+1</f>
        <v>Week 39</v>
      </c>
      <c r="JJ2" s="153"/>
      <c r="JK2" s="153"/>
      <c r="JL2" s="153"/>
      <c r="JM2" s="153"/>
      <c r="JN2" s="153"/>
      <c r="JO2" s="153"/>
      <c r="JP2" s="152" t="str">
        <f>"Week "&amp;ROUNDDOWN(JP4/7,0)+1</f>
        <v>Week 40</v>
      </c>
      <c r="JQ2" s="153"/>
      <c r="JR2" s="153"/>
      <c r="JS2" s="153"/>
      <c r="JT2" s="153"/>
      <c r="JU2" s="153"/>
      <c r="JV2" s="153"/>
      <c r="JW2" s="152" t="str">
        <f>"Week "&amp;ROUNDDOWN(JW4/7,0)+1</f>
        <v>Week 41</v>
      </c>
      <c r="JX2" s="153"/>
      <c r="JY2" s="153"/>
      <c r="JZ2" s="153"/>
      <c r="KA2" s="153"/>
      <c r="KB2" s="153"/>
      <c r="KC2" s="153"/>
      <c r="KD2" s="152" t="str">
        <f>"Week "&amp;ROUNDDOWN(KD4/7,0)+1</f>
        <v>Week 42</v>
      </c>
      <c r="KE2" s="153"/>
      <c r="KF2" s="153"/>
      <c r="KG2" s="153"/>
      <c r="KH2" s="153"/>
      <c r="KI2" s="153"/>
      <c r="KJ2" s="153"/>
      <c r="KK2" s="152" t="str">
        <f>"Week "&amp;ROUNDDOWN(KK4/7,0)+1</f>
        <v>Week 43</v>
      </c>
      <c r="KL2" s="153"/>
      <c r="KM2" s="153"/>
      <c r="KN2" s="153"/>
      <c r="KO2" s="153"/>
      <c r="KP2" s="153"/>
      <c r="KQ2" s="153"/>
      <c r="KR2" s="152" t="str">
        <f>"Week "&amp;ROUNDDOWN(KR4/7,0)+1</f>
        <v>Week 44</v>
      </c>
      <c r="KS2" s="153"/>
      <c r="KT2" s="153"/>
      <c r="KU2" s="153"/>
      <c r="KV2" s="153"/>
      <c r="KW2" s="153"/>
      <c r="KX2" s="153"/>
      <c r="KY2" s="152" t="str">
        <f>"Week "&amp;ROUNDDOWN(KY4/7,0)+1</f>
        <v>Week 45</v>
      </c>
      <c r="KZ2" s="153"/>
      <c r="LA2" s="153"/>
      <c r="LB2" s="153"/>
      <c r="LC2" s="153"/>
      <c r="LD2" s="153"/>
      <c r="LE2" s="153"/>
      <c r="LF2" s="152" t="str">
        <f>"Week "&amp;ROUNDDOWN(LF4/7,0)+1</f>
        <v>Week 46</v>
      </c>
      <c r="LG2" s="153"/>
      <c r="LH2" s="153"/>
      <c r="LI2" s="153"/>
      <c r="LJ2" s="153"/>
      <c r="LK2" s="153"/>
      <c r="LL2" s="153"/>
      <c r="LM2" s="152" t="str">
        <f>"Week "&amp;ROUNDDOWN(LM4/7,0)+1</f>
        <v>Week 47</v>
      </c>
      <c r="LN2" s="153"/>
      <c r="LO2" s="153"/>
      <c r="LP2" s="153"/>
      <c r="LQ2" s="153"/>
      <c r="LR2" s="153"/>
      <c r="LS2" s="153"/>
      <c r="LT2" s="152" t="str">
        <f>"Week "&amp;ROUNDDOWN(LT4/7,0)+1</f>
        <v>Week 48</v>
      </c>
      <c r="LU2" s="153"/>
      <c r="LV2" s="153"/>
      <c r="LW2" s="153"/>
      <c r="LX2" s="153"/>
      <c r="LY2" s="153"/>
      <c r="LZ2" s="153"/>
      <c r="MA2" s="152" t="str">
        <f>"Week "&amp;ROUNDDOWN(MA4/7,0)+1</f>
        <v>Week 49</v>
      </c>
      <c r="MB2" s="153"/>
      <c r="MC2" s="153"/>
      <c r="MD2" s="153"/>
      <c r="ME2" s="153"/>
      <c r="MF2" s="153"/>
      <c r="MG2" s="153"/>
      <c r="MH2" s="152" t="str">
        <f>"Week "&amp;ROUNDDOWN(MH4/7,0)+1</f>
        <v>Week 50</v>
      </c>
      <c r="MI2" s="153"/>
      <c r="MJ2" s="153"/>
      <c r="MK2" s="153"/>
      <c r="ML2" s="153"/>
      <c r="MM2" s="153"/>
      <c r="MN2" s="153"/>
      <c r="MO2" s="152" t="str">
        <f>"Week "&amp;ROUNDDOWN(MO4/7,0)+1</f>
        <v>Week 51</v>
      </c>
      <c r="MP2" s="153"/>
      <c r="MQ2" s="153"/>
      <c r="MR2" s="153"/>
      <c r="MS2" s="153"/>
      <c r="MT2" s="153"/>
      <c r="MU2" s="153"/>
      <c r="MV2" s="152" t="str">
        <f>"Week "&amp;ROUNDDOWN(MV4/7,0)+1</f>
        <v>Week 52</v>
      </c>
      <c r="MW2" s="153"/>
      <c r="MX2" s="153"/>
      <c r="MY2" s="153"/>
      <c r="MZ2" s="153"/>
      <c r="NA2" s="153"/>
      <c r="NB2" s="153"/>
      <c r="NC2" s="24"/>
    </row>
    <row r="3" spans="1:367" x14ac:dyDescent="0.25">
      <c r="C3" s="47">
        <v>46020</v>
      </c>
      <c r="D3" s="47">
        <f t="shared" ref="D3:BO3" si="0">C$3+1</f>
        <v>46021</v>
      </c>
      <c r="E3" s="47">
        <f t="shared" si="0"/>
        <v>46022</v>
      </c>
      <c r="F3" s="47">
        <f t="shared" si="0"/>
        <v>46023</v>
      </c>
      <c r="G3" s="47">
        <f t="shared" si="0"/>
        <v>46024</v>
      </c>
      <c r="H3" s="47">
        <f t="shared" si="0"/>
        <v>46025</v>
      </c>
      <c r="I3" s="47">
        <f t="shared" si="0"/>
        <v>46026</v>
      </c>
      <c r="J3" s="47">
        <f t="shared" si="0"/>
        <v>46027</v>
      </c>
      <c r="K3" s="47">
        <f t="shared" si="0"/>
        <v>46028</v>
      </c>
      <c r="L3" s="47">
        <f t="shared" si="0"/>
        <v>46029</v>
      </c>
      <c r="M3" s="47">
        <f t="shared" si="0"/>
        <v>46030</v>
      </c>
      <c r="N3" s="47">
        <f t="shared" si="0"/>
        <v>46031</v>
      </c>
      <c r="O3" s="47">
        <f t="shared" si="0"/>
        <v>46032</v>
      </c>
      <c r="P3" s="47">
        <f t="shared" si="0"/>
        <v>46033</v>
      </c>
      <c r="Q3" s="47">
        <f t="shared" si="0"/>
        <v>46034</v>
      </c>
      <c r="R3" s="47">
        <f t="shared" si="0"/>
        <v>46035</v>
      </c>
      <c r="S3" s="47">
        <f t="shared" si="0"/>
        <v>46036</v>
      </c>
      <c r="T3" s="47">
        <f t="shared" si="0"/>
        <v>46037</v>
      </c>
      <c r="U3" s="47">
        <f t="shared" si="0"/>
        <v>46038</v>
      </c>
      <c r="V3" s="47">
        <f t="shared" si="0"/>
        <v>46039</v>
      </c>
      <c r="W3" s="47">
        <f t="shared" si="0"/>
        <v>46040</v>
      </c>
      <c r="X3" s="47">
        <f t="shared" si="0"/>
        <v>46041</v>
      </c>
      <c r="Y3" s="47">
        <f t="shared" si="0"/>
        <v>46042</v>
      </c>
      <c r="Z3" s="47">
        <f t="shared" si="0"/>
        <v>46043</v>
      </c>
      <c r="AA3" s="47">
        <f t="shared" si="0"/>
        <v>46044</v>
      </c>
      <c r="AB3" s="47">
        <f t="shared" si="0"/>
        <v>46045</v>
      </c>
      <c r="AC3" s="47">
        <f t="shared" si="0"/>
        <v>46046</v>
      </c>
      <c r="AD3" s="47">
        <f t="shared" si="0"/>
        <v>46047</v>
      </c>
      <c r="AE3" s="47">
        <f t="shared" si="0"/>
        <v>46048</v>
      </c>
      <c r="AF3" s="47">
        <f t="shared" si="0"/>
        <v>46049</v>
      </c>
      <c r="AG3" s="47">
        <f t="shared" si="0"/>
        <v>46050</v>
      </c>
      <c r="AH3" s="47">
        <f t="shared" si="0"/>
        <v>46051</v>
      </c>
      <c r="AI3" s="47">
        <f t="shared" si="0"/>
        <v>46052</v>
      </c>
      <c r="AJ3" s="47">
        <f t="shared" si="0"/>
        <v>46053</v>
      </c>
      <c r="AK3" s="47">
        <f t="shared" si="0"/>
        <v>46054</v>
      </c>
      <c r="AL3" s="47">
        <f t="shared" si="0"/>
        <v>46055</v>
      </c>
      <c r="AM3" s="47">
        <f t="shared" si="0"/>
        <v>46056</v>
      </c>
      <c r="AN3" s="47">
        <f t="shared" si="0"/>
        <v>46057</v>
      </c>
      <c r="AO3" s="47">
        <f t="shared" si="0"/>
        <v>46058</v>
      </c>
      <c r="AP3" s="47">
        <f t="shared" si="0"/>
        <v>46059</v>
      </c>
      <c r="AQ3" s="47">
        <f t="shared" si="0"/>
        <v>46060</v>
      </c>
      <c r="AR3" s="47">
        <f t="shared" si="0"/>
        <v>46061</v>
      </c>
      <c r="AS3" s="47">
        <f t="shared" si="0"/>
        <v>46062</v>
      </c>
      <c r="AT3" s="47">
        <f t="shared" si="0"/>
        <v>46063</v>
      </c>
      <c r="AU3" s="47">
        <f t="shared" si="0"/>
        <v>46064</v>
      </c>
      <c r="AV3" s="47">
        <f t="shared" si="0"/>
        <v>46065</v>
      </c>
      <c r="AW3" s="47">
        <f t="shared" si="0"/>
        <v>46066</v>
      </c>
      <c r="AX3" s="47">
        <f t="shared" si="0"/>
        <v>46067</v>
      </c>
      <c r="AY3" s="47">
        <f t="shared" si="0"/>
        <v>46068</v>
      </c>
      <c r="AZ3" s="47">
        <f t="shared" si="0"/>
        <v>46069</v>
      </c>
      <c r="BA3" s="47">
        <f t="shared" si="0"/>
        <v>46070</v>
      </c>
      <c r="BB3" s="47">
        <f t="shared" si="0"/>
        <v>46071</v>
      </c>
      <c r="BC3" s="47">
        <f t="shared" si="0"/>
        <v>46072</v>
      </c>
      <c r="BD3" s="47">
        <f t="shared" si="0"/>
        <v>46073</v>
      </c>
      <c r="BE3" s="47">
        <f t="shared" si="0"/>
        <v>46074</v>
      </c>
      <c r="BF3" s="47">
        <f t="shared" si="0"/>
        <v>46075</v>
      </c>
      <c r="BG3" s="47">
        <f t="shared" si="0"/>
        <v>46076</v>
      </c>
      <c r="BH3" s="47">
        <f t="shared" si="0"/>
        <v>46077</v>
      </c>
      <c r="BI3" s="47">
        <f t="shared" si="0"/>
        <v>46078</v>
      </c>
      <c r="BJ3" s="47">
        <f t="shared" si="0"/>
        <v>46079</v>
      </c>
      <c r="BK3" s="47">
        <f t="shared" si="0"/>
        <v>46080</v>
      </c>
      <c r="BL3" s="47">
        <f t="shared" si="0"/>
        <v>46081</v>
      </c>
      <c r="BM3" s="47">
        <f t="shared" si="0"/>
        <v>46082</v>
      </c>
      <c r="BN3" s="47">
        <f t="shared" si="0"/>
        <v>46083</v>
      </c>
      <c r="BO3" s="47">
        <f t="shared" si="0"/>
        <v>46084</v>
      </c>
      <c r="BP3" s="47">
        <f t="shared" ref="BP3:EA3" si="1">BO$3+1</f>
        <v>46085</v>
      </c>
      <c r="BQ3" s="47">
        <f t="shared" si="1"/>
        <v>46086</v>
      </c>
      <c r="BR3" s="47">
        <f t="shared" si="1"/>
        <v>46087</v>
      </c>
      <c r="BS3" s="47">
        <f t="shared" si="1"/>
        <v>46088</v>
      </c>
      <c r="BT3" s="47">
        <f t="shared" si="1"/>
        <v>46089</v>
      </c>
      <c r="BU3" s="47">
        <f t="shared" si="1"/>
        <v>46090</v>
      </c>
      <c r="BV3" s="47">
        <f t="shared" si="1"/>
        <v>46091</v>
      </c>
      <c r="BW3" s="47">
        <f t="shared" si="1"/>
        <v>46092</v>
      </c>
      <c r="BX3" s="47">
        <f t="shared" si="1"/>
        <v>46093</v>
      </c>
      <c r="BY3" s="47">
        <f t="shared" si="1"/>
        <v>46094</v>
      </c>
      <c r="BZ3" s="47">
        <f t="shared" si="1"/>
        <v>46095</v>
      </c>
      <c r="CA3" s="47">
        <f t="shared" si="1"/>
        <v>46096</v>
      </c>
      <c r="CB3" s="47">
        <f t="shared" si="1"/>
        <v>46097</v>
      </c>
      <c r="CC3" s="47">
        <f t="shared" si="1"/>
        <v>46098</v>
      </c>
      <c r="CD3" s="47">
        <f t="shared" si="1"/>
        <v>46099</v>
      </c>
      <c r="CE3" s="47">
        <f t="shared" si="1"/>
        <v>46100</v>
      </c>
      <c r="CF3" s="47">
        <f t="shared" si="1"/>
        <v>46101</v>
      </c>
      <c r="CG3" s="47">
        <f t="shared" si="1"/>
        <v>46102</v>
      </c>
      <c r="CH3" s="47">
        <f t="shared" si="1"/>
        <v>46103</v>
      </c>
      <c r="CI3" s="47">
        <f t="shared" si="1"/>
        <v>46104</v>
      </c>
      <c r="CJ3" s="47">
        <f t="shared" si="1"/>
        <v>46105</v>
      </c>
      <c r="CK3" s="47">
        <f t="shared" si="1"/>
        <v>46106</v>
      </c>
      <c r="CL3" s="47">
        <f t="shared" si="1"/>
        <v>46107</v>
      </c>
      <c r="CM3" s="47">
        <f t="shared" si="1"/>
        <v>46108</v>
      </c>
      <c r="CN3" s="47">
        <f t="shared" si="1"/>
        <v>46109</v>
      </c>
      <c r="CO3" s="47">
        <f t="shared" si="1"/>
        <v>46110</v>
      </c>
      <c r="CP3" s="47">
        <f t="shared" si="1"/>
        <v>46111</v>
      </c>
      <c r="CQ3" s="47">
        <f t="shared" si="1"/>
        <v>46112</v>
      </c>
      <c r="CR3" s="47">
        <f t="shared" si="1"/>
        <v>46113</v>
      </c>
      <c r="CS3" s="47">
        <f t="shared" si="1"/>
        <v>46114</v>
      </c>
      <c r="CT3" s="47">
        <f t="shared" si="1"/>
        <v>46115</v>
      </c>
      <c r="CU3" s="47">
        <f t="shared" si="1"/>
        <v>46116</v>
      </c>
      <c r="CV3" s="47">
        <f t="shared" si="1"/>
        <v>46117</v>
      </c>
      <c r="CW3" s="47">
        <f t="shared" si="1"/>
        <v>46118</v>
      </c>
      <c r="CX3" s="47">
        <f t="shared" si="1"/>
        <v>46119</v>
      </c>
      <c r="CY3" s="47">
        <f t="shared" si="1"/>
        <v>46120</v>
      </c>
      <c r="CZ3" s="47">
        <f t="shared" si="1"/>
        <v>46121</v>
      </c>
      <c r="DA3" s="47">
        <f t="shared" si="1"/>
        <v>46122</v>
      </c>
      <c r="DB3" s="47">
        <f t="shared" si="1"/>
        <v>46123</v>
      </c>
      <c r="DC3" s="47">
        <f t="shared" si="1"/>
        <v>46124</v>
      </c>
      <c r="DD3" s="47">
        <f t="shared" si="1"/>
        <v>46125</v>
      </c>
      <c r="DE3" s="47">
        <f t="shared" si="1"/>
        <v>46126</v>
      </c>
      <c r="DF3" s="47">
        <f t="shared" si="1"/>
        <v>46127</v>
      </c>
      <c r="DG3" s="47">
        <f t="shared" si="1"/>
        <v>46128</v>
      </c>
      <c r="DH3" s="47">
        <f t="shared" si="1"/>
        <v>46129</v>
      </c>
      <c r="DI3" s="47">
        <f t="shared" si="1"/>
        <v>46130</v>
      </c>
      <c r="DJ3" s="47">
        <f t="shared" si="1"/>
        <v>46131</v>
      </c>
      <c r="DK3" s="47">
        <f t="shared" si="1"/>
        <v>46132</v>
      </c>
      <c r="DL3" s="47">
        <f t="shared" si="1"/>
        <v>46133</v>
      </c>
      <c r="DM3" s="47">
        <f t="shared" si="1"/>
        <v>46134</v>
      </c>
      <c r="DN3" s="47">
        <f t="shared" si="1"/>
        <v>46135</v>
      </c>
      <c r="DO3" s="47">
        <f t="shared" si="1"/>
        <v>46136</v>
      </c>
      <c r="DP3" s="47">
        <f t="shared" si="1"/>
        <v>46137</v>
      </c>
      <c r="DQ3" s="47">
        <f t="shared" si="1"/>
        <v>46138</v>
      </c>
      <c r="DR3" s="47">
        <f t="shared" si="1"/>
        <v>46139</v>
      </c>
      <c r="DS3" s="47">
        <f t="shared" si="1"/>
        <v>46140</v>
      </c>
      <c r="DT3" s="47">
        <f t="shared" si="1"/>
        <v>46141</v>
      </c>
      <c r="DU3" s="47">
        <f t="shared" si="1"/>
        <v>46142</v>
      </c>
      <c r="DV3" s="47">
        <f t="shared" si="1"/>
        <v>46143</v>
      </c>
      <c r="DW3" s="47">
        <f t="shared" si="1"/>
        <v>46144</v>
      </c>
      <c r="DX3" s="47">
        <f t="shared" si="1"/>
        <v>46145</v>
      </c>
      <c r="DY3" s="47">
        <f t="shared" si="1"/>
        <v>46146</v>
      </c>
      <c r="DZ3" s="47">
        <f t="shared" si="1"/>
        <v>46147</v>
      </c>
      <c r="EA3" s="47">
        <f t="shared" si="1"/>
        <v>46148</v>
      </c>
      <c r="EB3" s="47">
        <f t="shared" ref="EB3:GM3" si="2">EA$3+1</f>
        <v>46149</v>
      </c>
      <c r="EC3" s="47">
        <f t="shared" si="2"/>
        <v>46150</v>
      </c>
      <c r="ED3" s="47">
        <f t="shared" si="2"/>
        <v>46151</v>
      </c>
      <c r="EE3" s="47">
        <f t="shared" si="2"/>
        <v>46152</v>
      </c>
      <c r="EF3" s="47">
        <f t="shared" si="2"/>
        <v>46153</v>
      </c>
      <c r="EG3" s="47">
        <f t="shared" si="2"/>
        <v>46154</v>
      </c>
      <c r="EH3" s="47">
        <f t="shared" si="2"/>
        <v>46155</v>
      </c>
      <c r="EI3" s="47">
        <f t="shared" si="2"/>
        <v>46156</v>
      </c>
      <c r="EJ3" s="47">
        <f t="shared" si="2"/>
        <v>46157</v>
      </c>
      <c r="EK3" s="47">
        <f t="shared" si="2"/>
        <v>46158</v>
      </c>
      <c r="EL3" s="47">
        <f t="shared" si="2"/>
        <v>46159</v>
      </c>
      <c r="EM3" s="47">
        <f t="shared" si="2"/>
        <v>46160</v>
      </c>
      <c r="EN3" s="47">
        <f t="shared" si="2"/>
        <v>46161</v>
      </c>
      <c r="EO3" s="47">
        <f t="shared" si="2"/>
        <v>46162</v>
      </c>
      <c r="EP3" s="47">
        <f t="shared" si="2"/>
        <v>46163</v>
      </c>
      <c r="EQ3" s="47">
        <f t="shared" si="2"/>
        <v>46164</v>
      </c>
      <c r="ER3" s="47">
        <f t="shared" si="2"/>
        <v>46165</v>
      </c>
      <c r="ES3" s="47">
        <f t="shared" si="2"/>
        <v>46166</v>
      </c>
      <c r="ET3" s="47">
        <f t="shared" si="2"/>
        <v>46167</v>
      </c>
      <c r="EU3" s="47">
        <f t="shared" si="2"/>
        <v>46168</v>
      </c>
      <c r="EV3" s="47">
        <f t="shared" si="2"/>
        <v>46169</v>
      </c>
      <c r="EW3" s="47">
        <f t="shared" si="2"/>
        <v>46170</v>
      </c>
      <c r="EX3" s="47">
        <f t="shared" si="2"/>
        <v>46171</v>
      </c>
      <c r="EY3" s="47">
        <f t="shared" si="2"/>
        <v>46172</v>
      </c>
      <c r="EZ3" s="47">
        <f t="shared" si="2"/>
        <v>46173</v>
      </c>
      <c r="FA3" s="47">
        <f t="shared" si="2"/>
        <v>46174</v>
      </c>
      <c r="FB3" s="47">
        <f t="shared" si="2"/>
        <v>46175</v>
      </c>
      <c r="FC3" s="47">
        <f t="shared" si="2"/>
        <v>46176</v>
      </c>
      <c r="FD3" s="47">
        <f t="shared" si="2"/>
        <v>46177</v>
      </c>
      <c r="FE3" s="47">
        <f t="shared" si="2"/>
        <v>46178</v>
      </c>
      <c r="FF3" s="47">
        <f t="shared" si="2"/>
        <v>46179</v>
      </c>
      <c r="FG3" s="47">
        <f t="shared" si="2"/>
        <v>46180</v>
      </c>
      <c r="FH3" s="47">
        <f t="shared" si="2"/>
        <v>46181</v>
      </c>
      <c r="FI3" s="47">
        <f t="shared" si="2"/>
        <v>46182</v>
      </c>
      <c r="FJ3" s="47">
        <f t="shared" si="2"/>
        <v>46183</v>
      </c>
      <c r="FK3" s="47">
        <f t="shared" si="2"/>
        <v>46184</v>
      </c>
      <c r="FL3" s="47">
        <f t="shared" si="2"/>
        <v>46185</v>
      </c>
      <c r="FM3" s="47">
        <f t="shared" si="2"/>
        <v>46186</v>
      </c>
      <c r="FN3" s="47">
        <f t="shared" si="2"/>
        <v>46187</v>
      </c>
      <c r="FO3" s="47">
        <f t="shared" si="2"/>
        <v>46188</v>
      </c>
      <c r="FP3" s="47">
        <f t="shared" si="2"/>
        <v>46189</v>
      </c>
      <c r="FQ3" s="47">
        <f t="shared" si="2"/>
        <v>46190</v>
      </c>
      <c r="FR3" s="47">
        <f t="shared" si="2"/>
        <v>46191</v>
      </c>
      <c r="FS3" s="47">
        <f t="shared" si="2"/>
        <v>46192</v>
      </c>
      <c r="FT3" s="47">
        <f t="shared" si="2"/>
        <v>46193</v>
      </c>
      <c r="FU3" s="47">
        <f t="shared" si="2"/>
        <v>46194</v>
      </c>
      <c r="FV3" s="47">
        <f t="shared" si="2"/>
        <v>46195</v>
      </c>
      <c r="FW3" s="47">
        <f t="shared" si="2"/>
        <v>46196</v>
      </c>
      <c r="FX3" s="47">
        <f t="shared" si="2"/>
        <v>46197</v>
      </c>
      <c r="FY3" s="47">
        <f t="shared" si="2"/>
        <v>46198</v>
      </c>
      <c r="FZ3" s="47">
        <f t="shared" si="2"/>
        <v>46199</v>
      </c>
      <c r="GA3" s="47">
        <f t="shared" si="2"/>
        <v>46200</v>
      </c>
      <c r="GB3" s="47">
        <f t="shared" si="2"/>
        <v>46201</v>
      </c>
      <c r="GC3" s="47">
        <f t="shared" si="2"/>
        <v>46202</v>
      </c>
      <c r="GD3" s="47">
        <f t="shared" si="2"/>
        <v>46203</v>
      </c>
      <c r="GE3" s="47">
        <f t="shared" si="2"/>
        <v>46204</v>
      </c>
      <c r="GF3" s="47">
        <f t="shared" si="2"/>
        <v>46205</v>
      </c>
      <c r="GG3" s="47">
        <f t="shared" si="2"/>
        <v>46206</v>
      </c>
      <c r="GH3" s="47">
        <f t="shared" si="2"/>
        <v>46207</v>
      </c>
      <c r="GI3" s="47">
        <f t="shared" si="2"/>
        <v>46208</v>
      </c>
      <c r="GJ3" s="47">
        <f t="shared" si="2"/>
        <v>46209</v>
      </c>
      <c r="GK3" s="47">
        <f t="shared" si="2"/>
        <v>46210</v>
      </c>
      <c r="GL3" s="47">
        <f t="shared" si="2"/>
        <v>46211</v>
      </c>
      <c r="GM3" s="47">
        <f t="shared" si="2"/>
        <v>46212</v>
      </c>
      <c r="GN3" s="47">
        <f t="shared" ref="GN3:IY3" si="3">GM$3+1</f>
        <v>46213</v>
      </c>
      <c r="GO3" s="47">
        <f t="shared" si="3"/>
        <v>46214</v>
      </c>
      <c r="GP3" s="47">
        <f t="shared" si="3"/>
        <v>46215</v>
      </c>
      <c r="GQ3" s="47">
        <f t="shared" si="3"/>
        <v>46216</v>
      </c>
      <c r="GR3" s="47">
        <f t="shared" si="3"/>
        <v>46217</v>
      </c>
      <c r="GS3" s="47">
        <f t="shared" si="3"/>
        <v>46218</v>
      </c>
      <c r="GT3" s="47">
        <f t="shared" si="3"/>
        <v>46219</v>
      </c>
      <c r="GU3" s="47">
        <f t="shared" si="3"/>
        <v>46220</v>
      </c>
      <c r="GV3" s="47">
        <f t="shared" si="3"/>
        <v>46221</v>
      </c>
      <c r="GW3" s="47">
        <f t="shared" si="3"/>
        <v>46222</v>
      </c>
      <c r="GX3" s="47">
        <f t="shared" si="3"/>
        <v>46223</v>
      </c>
      <c r="GY3" s="47">
        <f t="shared" si="3"/>
        <v>46224</v>
      </c>
      <c r="GZ3" s="47">
        <f t="shared" si="3"/>
        <v>46225</v>
      </c>
      <c r="HA3" s="47">
        <f t="shared" si="3"/>
        <v>46226</v>
      </c>
      <c r="HB3" s="47">
        <f t="shared" si="3"/>
        <v>46227</v>
      </c>
      <c r="HC3" s="47">
        <f t="shared" si="3"/>
        <v>46228</v>
      </c>
      <c r="HD3" s="47">
        <f t="shared" si="3"/>
        <v>46229</v>
      </c>
      <c r="HE3" s="47">
        <f t="shared" si="3"/>
        <v>46230</v>
      </c>
      <c r="HF3" s="47">
        <f t="shared" si="3"/>
        <v>46231</v>
      </c>
      <c r="HG3" s="47">
        <f t="shared" si="3"/>
        <v>46232</v>
      </c>
      <c r="HH3" s="47">
        <f t="shared" si="3"/>
        <v>46233</v>
      </c>
      <c r="HI3" s="47">
        <f t="shared" si="3"/>
        <v>46234</v>
      </c>
      <c r="HJ3" s="47">
        <f t="shared" si="3"/>
        <v>46235</v>
      </c>
      <c r="HK3" s="47">
        <f t="shared" si="3"/>
        <v>46236</v>
      </c>
      <c r="HL3" s="47">
        <f t="shared" si="3"/>
        <v>46237</v>
      </c>
      <c r="HM3" s="47">
        <f t="shared" si="3"/>
        <v>46238</v>
      </c>
      <c r="HN3" s="47">
        <f t="shared" si="3"/>
        <v>46239</v>
      </c>
      <c r="HO3" s="47">
        <f t="shared" si="3"/>
        <v>46240</v>
      </c>
      <c r="HP3" s="47">
        <f t="shared" si="3"/>
        <v>46241</v>
      </c>
      <c r="HQ3" s="47">
        <f t="shared" si="3"/>
        <v>46242</v>
      </c>
      <c r="HR3" s="47">
        <f t="shared" si="3"/>
        <v>46243</v>
      </c>
      <c r="HS3" s="47">
        <f t="shared" si="3"/>
        <v>46244</v>
      </c>
      <c r="HT3" s="47">
        <f t="shared" si="3"/>
        <v>46245</v>
      </c>
      <c r="HU3" s="47">
        <f t="shared" si="3"/>
        <v>46246</v>
      </c>
      <c r="HV3" s="47">
        <f t="shared" si="3"/>
        <v>46247</v>
      </c>
      <c r="HW3" s="47">
        <f t="shared" si="3"/>
        <v>46248</v>
      </c>
      <c r="HX3" s="47">
        <f t="shared" si="3"/>
        <v>46249</v>
      </c>
      <c r="HY3" s="47">
        <f t="shared" si="3"/>
        <v>46250</v>
      </c>
      <c r="HZ3" s="47">
        <f t="shared" si="3"/>
        <v>46251</v>
      </c>
      <c r="IA3" s="47">
        <f t="shared" si="3"/>
        <v>46252</v>
      </c>
      <c r="IB3" s="47">
        <f t="shared" si="3"/>
        <v>46253</v>
      </c>
      <c r="IC3" s="47">
        <f t="shared" si="3"/>
        <v>46254</v>
      </c>
      <c r="ID3" s="47">
        <f t="shared" si="3"/>
        <v>46255</v>
      </c>
      <c r="IE3" s="47">
        <f t="shared" si="3"/>
        <v>46256</v>
      </c>
      <c r="IF3" s="47">
        <f t="shared" si="3"/>
        <v>46257</v>
      </c>
      <c r="IG3" s="47">
        <f t="shared" si="3"/>
        <v>46258</v>
      </c>
      <c r="IH3" s="47">
        <f t="shared" si="3"/>
        <v>46259</v>
      </c>
      <c r="II3" s="47">
        <f t="shared" si="3"/>
        <v>46260</v>
      </c>
      <c r="IJ3" s="47">
        <f t="shared" si="3"/>
        <v>46261</v>
      </c>
      <c r="IK3" s="47">
        <f t="shared" si="3"/>
        <v>46262</v>
      </c>
      <c r="IL3" s="47">
        <f t="shared" si="3"/>
        <v>46263</v>
      </c>
      <c r="IM3" s="47">
        <f t="shared" si="3"/>
        <v>46264</v>
      </c>
      <c r="IN3" s="47">
        <f t="shared" si="3"/>
        <v>46265</v>
      </c>
      <c r="IO3" s="47">
        <f t="shared" si="3"/>
        <v>46266</v>
      </c>
      <c r="IP3" s="47">
        <f t="shared" si="3"/>
        <v>46267</v>
      </c>
      <c r="IQ3" s="47">
        <f t="shared" si="3"/>
        <v>46268</v>
      </c>
      <c r="IR3" s="47">
        <f t="shared" si="3"/>
        <v>46269</v>
      </c>
      <c r="IS3" s="47">
        <f t="shared" si="3"/>
        <v>46270</v>
      </c>
      <c r="IT3" s="47">
        <f t="shared" si="3"/>
        <v>46271</v>
      </c>
      <c r="IU3" s="47">
        <f t="shared" si="3"/>
        <v>46272</v>
      </c>
      <c r="IV3" s="47">
        <f t="shared" si="3"/>
        <v>46273</v>
      </c>
      <c r="IW3" s="47">
        <f t="shared" si="3"/>
        <v>46274</v>
      </c>
      <c r="IX3" s="47">
        <f t="shared" si="3"/>
        <v>46275</v>
      </c>
      <c r="IY3" s="47">
        <f t="shared" si="3"/>
        <v>46276</v>
      </c>
      <c r="IZ3" s="47">
        <f t="shared" ref="IZ3:LK3" si="4">IY$3+1</f>
        <v>46277</v>
      </c>
      <c r="JA3" s="47">
        <f t="shared" si="4"/>
        <v>46278</v>
      </c>
      <c r="JB3" s="47">
        <f t="shared" si="4"/>
        <v>46279</v>
      </c>
      <c r="JC3" s="47">
        <f t="shared" si="4"/>
        <v>46280</v>
      </c>
      <c r="JD3" s="47">
        <f t="shared" si="4"/>
        <v>46281</v>
      </c>
      <c r="JE3" s="47">
        <f t="shared" si="4"/>
        <v>46282</v>
      </c>
      <c r="JF3" s="47">
        <f t="shared" si="4"/>
        <v>46283</v>
      </c>
      <c r="JG3" s="47">
        <f t="shared" si="4"/>
        <v>46284</v>
      </c>
      <c r="JH3" s="47">
        <f t="shared" si="4"/>
        <v>46285</v>
      </c>
      <c r="JI3" s="47">
        <f t="shared" si="4"/>
        <v>46286</v>
      </c>
      <c r="JJ3" s="47">
        <f t="shared" si="4"/>
        <v>46287</v>
      </c>
      <c r="JK3" s="47">
        <f t="shared" si="4"/>
        <v>46288</v>
      </c>
      <c r="JL3" s="47">
        <f t="shared" si="4"/>
        <v>46289</v>
      </c>
      <c r="JM3" s="47">
        <f t="shared" si="4"/>
        <v>46290</v>
      </c>
      <c r="JN3" s="47">
        <f t="shared" si="4"/>
        <v>46291</v>
      </c>
      <c r="JO3" s="47">
        <f t="shared" si="4"/>
        <v>46292</v>
      </c>
      <c r="JP3" s="47">
        <f t="shared" si="4"/>
        <v>46293</v>
      </c>
      <c r="JQ3" s="47">
        <f t="shared" si="4"/>
        <v>46294</v>
      </c>
      <c r="JR3" s="47">
        <f t="shared" si="4"/>
        <v>46295</v>
      </c>
      <c r="JS3" s="47">
        <f t="shared" si="4"/>
        <v>46296</v>
      </c>
      <c r="JT3" s="47">
        <f t="shared" si="4"/>
        <v>46297</v>
      </c>
      <c r="JU3" s="47">
        <f t="shared" si="4"/>
        <v>46298</v>
      </c>
      <c r="JV3" s="47">
        <f t="shared" si="4"/>
        <v>46299</v>
      </c>
      <c r="JW3" s="47">
        <f t="shared" si="4"/>
        <v>46300</v>
      </c>
      <c r="JX3" s="47">
        <f t="shared" si="4"/>
        <v>46301</v>
      </c>
      <c r="JY3" s="47">
        <f t="shared" si="4"/>
        <v>46302</v>
      </c>
      <c r="JZ3" s="47">
        <f t="shared" si="4"/>
        <v>46303</v>
      </c>
      <c r="KA3" s="47">
        <f t="shared" si="4"/>
        <v>46304</v>
      </c>
      <c r="KB3" s="47">
        <f t="shared" si="4"/>
        <v>46305</v>
      </c>
      <c r="KC3" s="47">
        <f t="shared" si="4"/>
        <v>46306</v>
      </c>
      <c r="KD3" s="47">
        <f t="shared" si="4"/>
        <v>46307</v>
      </c>
      <c r="KE3" s="47">
        <f t="shared" si="4"/>
        <v>46308</v>
      </c>
      <c r="KF3" s="47">
        <f t="shared" si="4"/>
        <v>46309</v>
      </c>
      <c r="KG3" s="47">
        <f t="shared" si="4"/>
        <v>46310</v>
      </c>
      <c r="KH3" s="47">
        <f t="shared" si="4"/>
        <v>46311</v>
      </c>
      <c r="KI3" s="47">
        <f t="shared" si="4"/>
        <v>46312</v>
      </c>
      <c r="KJ3" s="47">
        <f t="shared" si="4"/>
        <v>46313</v>
      </c>
      <c r="KK3" s="47">
        <f t="shared" si="4"/>
        <v>46314</v>
      </c>
      <c r="KL3" s="47">
        <f t="shared" si="4"/>
        <v>46315</v>
      </c>
      <c r="KM3" s="47">
        <f t="shared" si="4"/>
        <v>46316</v>
      </c>
      <c r="KN3" s="47">
        <f t="shared" si="4"/>
        <v>46317</v>
      </c>
      <c r="KO3" s="47">
        <f t="shared" si="4"/>
        <v>46318</v>
      </c>
      <c r="KP3" s="47">
        <f t="shared" si="4"/>
        <v>46319</v>
      </c>
      <c r="KQ3" s="47">
        <f t="shared" si="4"/>
        <v>46320</v>
      </c>
      <c r="KR3" s="47">
        <f t="shared" si="4"/>
        <v>46321</v>
      </c>
      <c r="KS3" s="47">
        <f t="shared" si="4"/>
        <v>46322</v>
      </c>
      <c r="KT3" s="47">
        <f t="shared" si="4"/>
        <v>46323</v>
      </c>
      <c r="KU3" s="47">
        <f t="shared" si="4"/>
        <v>46324</v>
      </c>
      <c r="KV3" s="47">
        <f t="shared" si="4"/>
        <v>46325</v>
      </c>
      <c r="KW3" s="47">
        <f t="shared" si="4"/>
        <v>46326</v>
      </c>
      <c r="KX3" s="47">
        <f t="shared" si="4"/>
        <v>46327</v>
      </c>
      <c r="KY3" s="47">
        <f t="shared" si="4"/>
        <v>46328</v>
      </c>
      <c r="KZ3" s="47">
        <f t="shared" si="4"/>
        <v>46329</v>
      </c>
      <c r="LA3" s="47">
        <f t="shared" si="4"/>
        <v>46330</v>
      </c>
      <c r="LB3" s="47">
        <f t="shared" si="4"/>
        <v>46331</v>
      </c>
      <c r="LC3" s="47">
        <f t="shared" si="4"/>
        <v>46332</v>
      </c>
      <c r="LD3" s="47">
        <f t="shared" si="4"/>
        <v>46333</v>
      </c>
      <c r="LE3" s="47">
        <f t="shared" si="4"/>
        <v>46334</v>
      </c>
      <c r="LF3" s="47">
        <f t="shared" si="4"/>
        <v>46335</v>
      </c>
      <c r="LG3" s="47">
        <f t="shared" si="4"/>
        <v>46336</v>
      </c>
      <c r="LH3" s="47">
        <f t="shared" si="4"/>
        <v>46337</v>
      </c>
      <c r="LI3" s="47">
        <f t="shared" si="4"/>
        <v>46338</v>
      </c>
      <c r="LJ3" s="47">
        <f t="shared" si="4"/>
        <v>46339</v>
      </c>
      <c r="LK3" s="47">
        <f t="shared" si="4"/>
        <v>46340</v>
      </c>
      <c r="LL3" s="47">
        <f t="shared" ref="LL3:NC3" si="5">LK$3+1</f>
        <v>46341</v>
      </c>
      <c r="LM3" s="47">
        <f t="shared" si="5"/>
        <v>46342</v>
      </c>
      <c r="LN3" s="47">
        <f t="shared" si="5"/>
        <v>46343</v>
      </c>
      <c r="LO3" s="47">
        <f t="shared" si="5"/>
        <v>46344</v>
      </c>
      <c r="LP3" s="47">
        <f t="shared" si="5"/>
        <v>46345</v>
      </c>
      <c r="LQ3" s="47">
        <f t="shared" si="5"/>
        <v>46346</v>
      </c>
      <c r="LR3" s="47">
        <f t="shared" si="5"/>
        <v>46347</v>
      </c>
      <c r="LS3" s="47">
        <f t="shared" si="5"/>
        <v>46348</v>
      </c>
      <c r="LT3" s="47">
        <f t="shared" si="5"/>
        <v>46349</v>
      </c>
      <c r="LU3" s="47">
        <f t="shared" si="5"/>
        <v>46350</v>
      </c>
      <c r="LV3" s="47">
        <f t="shared" si="5"/>
        <v>46351</v>
      </c>
      <c r="LW3" s="47">
        <f t="shared" si="5"/>
        <v>46352</v>
      </c>
      <c r="LX3" s="47">
        <f t="shared" si="5"/>
        <v>46353</v>
      </c>
      <c r="LY3" s="47">
        <f t="shared" si="5"/>
        <v>46354</v>
      </c>
      <c r="LZ3" s="47">
        <f t="shared" si="5"/>
        <v>46355</v>
      </c>
      <c r="MA3" s="47">
        <f t="shared" si="5"/>
        <v>46356</v>
      </c>
      <c r="MB3" s="47">
        <f t="shared" si="5"/>
        <v>46357</v>
      </c>
      <c r="MC3" s="47">
        <f t="shared" si="5"/>
        <v>46358</v>
      </c>
      <c r="MD3" s="47">
        <f t="shared" si="5"/>
        <v>46359</v>
      </c>
      <c r="ME3" s="47">
        <f t="shared" si="5"/>
        <v>46360</v>
      </c>
      <c r="MF3" s="47">
        <f t="shared" si="5"/>
        <v>46361</v>
      </c>
      <c r="MG3" s="47">
        <f t="shared" si="5"/>
        <v>46362</v>
      </c>
      <c r="MH3" s="47">
        <f t="shared" si="5"/>
        <v>46363</v>
      </c>
      <c r="MI3" s="47">
        <f t="shared" si="5"/>
        <v>46364</v>
      </c>
      <c r="MJ3" s="47">
        <f t="shared" si="5"/>
        <v>46365</v>
      </c>
      <c r="MK3" s="47">
        <f t="shared" si="5"/>
        <v>46366</v>
      </c>
      <c r="ML3" s="47">
        <f t="shared" si="5"/>
        <v>46367</v>
      </c>
      <c r="MM3" s="47">
        <f t="shared" si="5"/>
        <v>46368</v>
      </c>
      <c r="MN3" s="47">
        <f t="shared" si="5"/>
        <v>46369</v>
      </c>
      <c r="MO3" s="47">
        <f t="shared" si="5"/>
        <v>46370</v>
      </c>
      <c r="MP3" s="47">
        <f t="shared" si="5"/>
        <v>46371</v>
      </c>
      <c r="MQ3" s="47">
        <f t="shared" si="5"/>
        <v>46372</v>
      </c>
      <c r="MR3" s="47">
        <f t="shared" si="5"/>
        <v>46373</v>
      </c>
      <c r="MS3" s="47">
        <f t="shared" si="5"/>
        <v>46374</v>
      </c>
      <c r="MT3" s="47">
        <f t="shared" si="5"/>
        <v>46375</v>
      </c>
      <c r="MU3" s="47">
        <f t="shared" si="5"/>
        <v>46376</v>
      </c>
      <c r="MV3" s="47">
        <f t="shared" si="5"/>
        <v>46377</v>
      </c>
      <c r="MW3" s="47">
        <f t="shared" si="5"/>
        <v>46378</v>
      </c>
      <c r="MX3" s="47">
        <f t="shared" si="5"/>
        <v>46379</v>
      </c>
      <c r="MY3" s="47">
        <f t="shared" si="5"/>
        <v>46380</v>
      </c>
      <c r="MZ3" s="47">
        <f t="shared" si="5"/>
        <v>46381</v>
      </c>
      <c r="NA3" s="47">
        <f t="shared" si="5"/>
        <v>46382</v>
      </c>
      <c r="NB3" s="47">
        <f t="shared" si="5"/>
        <v>46383</v>
      </c>
      <c r="NC3" s="47">
        <f t="shared" si="5"/>
        <v>46384</v>
      </c>
    </row>
    <row r="4" spans="1:367" x14ac:dyDescent="0.25">
      <c r="C4" s="24" cm="1">
        <f t="array" ref="C4:NC4">_xlfn.SEQUENCE(,365)</f>
        <v>1</v>
      </c>
      <c r="D4" s="24">
        <v>2</v>
      </c>
      <c r="E4" s="24">
        <v>3</v>
      </c>
      <c r="F4" s="24">
        <v>4</v>
      </c>
      <c r="G4" s="24">
        <v>5</v>
      </c>
      <c r="H4" s="24">
        <v>6</v>
      </c>
      <c r="I4" s="24">
        <v>7</v>
      </c>
      <c r="J4" s="24">
        <v>8</v>
      </c>
      <c r="K4" s="24">
        <v>9</v>
      </c>
      <c r="L4" s="24">
        <v>10</v>
      </c>
      <c r="M4" s="24">
        <v>11</v>
      </c>
      <c r="N4" s="24">
        <v>12</v>
      </c>
      <c r="O4" s="24">
        <v>13</v>
      </c>
      <c r="P4" s="24">
        <v>14</v>
      </c>
      <c r="Q4" s="24">
        <v>15</v>
      </c>
      <c r="R4" s="24">
        <v>16</v>
      </c>
      <c r="S4" s="24">
        <v>17</v>
      </c>
      <c r="T4" s="24">
        <v>18</v>
      </c>
      <c r="U4" s="24">
        <v>19</v>
      </c>
      <c r="V4" s="24">
        <v>20</v>
      </c>
      <c r="W4" s="24">
        <v>21</v>
      </c>
      <c r="X4" s="24">
        <v>22</v>
      </c>
      <c r="Y4" s="24">
        <v>23</v>
      </c>
      <c r="Z4" s="24">
        <v>24</v>
      </c>
      <c r="AA4" s="24">
        <v>25</v>
      </c>
      <c r="AB4" s="24">
        <v>26</v>
      </c>
      <c r="AC4" s="24">
        <v>27</v>
      </c>
      <c r="AD4" s="24">
        <v>28</v>
      </c>
      <c r="AE4" s="24">
        <v>29</v>
      </c>
      <c r="AF4" s="24">
        <v>30</v>
      </c>
      <c r="AG4" s="24">
        <v>31</v>
      </c>
      <c r="AH4" s="24">
        <v>32</v>
      </c>
      <c r="AI4" s="24">
        <v>33</v>
      </c>
      <c r="AJ4" s="24">
        <v>34</v>
      </c>
      <c r="AK4" s="24">
        <v>35</v>
      </c>
      <c r="AL4" s="24">
        <v>36</v>
      </c>
      <c r="AM4" s="24">
        <v>37</v>
      </c>
      <c r="AN4" s="24">
        <v>38</v>
      </c>
      <c r="AO4" s="24">
        <v>39</v>
      </c>
      <c r="AP4" s="24">
        <v>40</v>
      </c>
      <c r="AQ4" s="24">
        <v>41</v>
      </c>
      <c r="AR4" s="24">
        <v>42</v>
      </c>
      <c r="AS4" s="24">
        <v>43</v>
      </c>
      <c r="AT4" s="24">
        <v>44</v>
      </c>
      <c r="AU4" s="24">
        <v>45</v>
      </c>
      <c r="AV4" s="24">
        <v>46</v>
      </c>
      <c r="AW4" s="24">
        <v>47</v>
      </c>
      <c r="AX4" s="24">
        <v>48</v>
      </c>
      <c r="AY4" s="24">
        <v>49</v>
      </c>
      <c r="AZ4" s="24">
        <v>50</v>
      </c>
      <c r="BA4" s="24">
        <v>51</v>
      </c>
      <c r="BB4" s="24">
        <v>52</v>
      </c>
      <c r="BC4" s="24">
        <v>53</v>
      </c>
      <c r="BD4" s="24">
        <v>54</v>
      </c>
      <c r="BE4" s="24">
        <v>55</v>
      </c>
      <c r="BF4" s="24">
        <v>56</v>
      </c>
      <c r="BG4" s="24">
        <v>57</v>
      </c>
      <c r="BH4" s="24">
        <v>58</v>
      </c>
      <c r="BI4" s="24">
        <v>59</v>
      </c>
      <c r="BJ4" s="24">
        <v>60</v>
      </c>
      <c r="BK4" s="24">
        <v>61</v>
      </c>
      <c r="BL4" s="24">
        <v>62</v>
      </c>
      <c r="BM4" s="24">
        <v>63</v>
      </c>
      <c r="BN4" s="24">
        <v>64</v>
      </c>
      <c r="BO4" s="24">
        <v>65</v>
      </c>
      <c r="BP4" s="24">
        <v>66</v>
      </c>
      <c r="BQ4" s="24">
        <v>67</v>
      </c>
      <c r="BR4" s="24">
        <v>68</v>
      </c>
      <c r="BS4" s="24">
        <v>69</v>
      </c>
      <c r="BT4" s="24">
        <v>70</v>
      </c>
      <c r="BU4" s="24">
        <v>71</v>
      </c>
      <c r="BV4" s="24">
        <v>72</v>
      </c>
      <c r="BW4" s="24">
        <v>73</v>
      </c>
      <c r="BX4" s="24">
        <v>74</v>
      </c>
      <c r="BY4" s="24">
        <v>75</v>
      </c>
      <c r="BZ4" s="24">
        <v>76</v>
      </c>
      <c r="CA4" s="24">
        <v>77</v>
      </c>
      <c r="CB4" s="24">
        <v>78</v>
      </c>
      <c r="CC4" s="24">
        <v>79</v>
      </c>
      <c r="CD4" s="24">
        <v>80</v>
      </c>
      <c r="CE4" s="24">
        <v>81</v>
      </c>
      <c r="CF4" s="24">
        <v>82</v>
      </c>
      <c r="CG4" s="24">
        <v>83</v>
      </c>
      <c r="CH4" s="24">
        <v>84</v>
      </c>
      <c r="CI4" s="24">
        <v>85</v>
      </c>
      <c r="CJ4" s="24">
        <v>86</v>
      </c>
      <c r="CK4" s="24">
        <v>87</v>
      </c>
      <c r="CL4" s="24">
        <v>88</v>
      </c>
      <c r="CM4" s="24">
        <v>89</v>
      </c>
      <c r="CN4" s="24">
        <v>90</v>
      </c>
      <c r="CO4" s="24">
        <v>91</v>
      </c>
      <c r="CP4" s="24">
        <v>92</v>
      </c>
      <c r="CQ4" s="24">
        <v>93</v>
      </c>
      <c r="CR4" s="24">
        <v>94</v>
      </c>
      <c r="CS4" s="24">
        <v>95</v>
      </c>
      <c r="CT4" s="24">
        <v>96</v>
      </c>
      <c r="CU4" s="24">
        <v>97</v>
      </c>
      <c r="CV4" s="24">
        <v>98</v>
      </c>
      <c r="CW4" s="24">
        <v>99</v>
      </c>
      <c r="CX4" s="24">
        <v>100</v>
      </c>
      <c r="CY4" s="24">
        <v>101</v>
      </c>
      <c r="CZ4" s="24">
        <v>102</v>
      </c>
      <c r="DA4" s="24">
        <v>103</v>
      </c>
      <c r="DB4" s="24">
        <v>104</v>
      </c>
      <c r="DC4" s="24">
        <v>105</v>
      </c>
      <c r="DD4" s="24">
        <v>106</v>
      </c>
      <c r="DE4" s="24">
        <v>107</v>
      </c>
      <c r="DF4" s="24">
        <v>108</v>
      </c>
      <c r="DG4" s="24">
        <v>109</v>
      </c>
      <c r="DH4" s="24">
        <v>110</v>
      </c>
      <c r="DI4" s="24">
        <v>111</v>
      </c>
      <c r="DJ4" s="24">
        <v>112</v>
      </c>
      <c r="DK4" s="24">
        <v>113</v>
      </c>
      <c r="DL4" s="24">
        <v>114</v>
      </c>
      <c r="DM4" s="24">
        <v>115</v>
      </c>
      <c r="DN4" s="24">
        <v>116</v>
      </c>
      <c r="DO4" s="24">
        <v>117</v>
      </c>
      <c r="DP4" s="24">
        <v>118</v>
      </c>
      <c r="DQ4" s="24">
        <v>119</v>
      </c>
      <c r="DR4" s="24">
        <v>120</v>
      </c>
      <c r="DS4" s="24">
        <v>121</v>
      </c>
      <c r="DT4" s="24">
        <v>122</v>
      </c>
      <c r="DU4" s="24">
        <v>123</v>
      </c>
      <c r="DV4" s="24">
        <v>124</v>
      </c>
      <c r="DW4" s="24">
        <v>125</v>
      </c>
      <c r="DX4" s="24">
        <v>126</v>
      </c>
      <c r="DY4" s="24">
        <v>127</v>
      </c>
      <c r="DZ4" s="24">
        <v>128</v>
      </c>
      <c r="EA4" s="24">
        <v>129</v>
      </c>
      <c r="EB4" s="24">
        <v>130</v>
      </c>
      <c r="EC4" s="24">
        <v>131</v>
      </c>
      <c r="ED4" s="24">
        <v>132</v>
      </c>
      <c r="EE4" s="24">
        <v>133</v>
      </c>
      <c r="EF4" s="24">
        <v>134</v>
      </c>
      <c r="EG4" s="24">
        <v>135</v>
      </c>
      <c r="EH4" s="24">
        <v>136</v>
      </c>
      <c r="EI4" s="24">
        <v>137</v>
      </c>
      <c r="EJ4" s="24">
        <v>138</v>
      </c>
      <c r="EK4" s="24">
        <v>139</v>
      </c>
      <c r="EL4" s="24">
        <v>140</v>
      </c>
      <c r="EM4" s="24">
        <v>141</v>
      </c>
      <c r="EN4" s="24">
        <v>142</v>
      </c>
      <c r="EO4" s="24">
        <v>143</v>
      </c>
      <c r="EP4" s="24">
        <v>144</v>
      </c>
      <c r="EQ4" s="24">
        <v>145</v>
      </c>
      <c r="ER4" s="24">
        <v>146</v>
      </c>
      <c r="ES4" s="24">
        <v>147</v>
      </c>
      <c r="ET4" s="24">
        <v>148</v>
      </c>
      <c r="EU4" s="24">
        <v>149</v>
      </c>
      <c r="EV4" s="24">
        <v>150</v>
      </c>
      <c r="EW4" s="24">
        <v>151</v>
      </c>
      <c r="EX4" s="24">
        <v>152</v>
      </c>
      <c r="EY4" s="24">
        <v>153</v>
      </c>
      <c r="EZ4" s="24">
        <v>154</v>
      </c>
      <c r="FA4" s="24">
        <v>155</v>
      </c>
      <c r="FB4" s="24">
        <v>156</v>
      </c>
      <c r="FC4" s="24">
        <v>157</v>
      </c>
      <c r="FD4" s="24">
        <v>158</v>
      </c>
      <c r="FE4" s="24">
        <v>159</v>
      </c>
      <c r="FF4" s="24">
        <v>160</v>
      </c>
      <c r="FG4" s="24">
        <v>161</v>
      </c>
      <c r="FH4" s="24">
        <v>162</v>
      </c>
      <c r="FI4" s="24">
        <v>163</v>
      </c>
      <c r="FJ4" s="24">
        <v>164</v>
      </c>
      <c r="FK4" s="24">
        <v>165</v>
      </c>
      <c r="FL4" s="24">
        <v>166</v>
      </c>
      <c r="FM4" s="24">
        <v>167</v>
      </c>
      <c r="FN4" s="24">
        <v>168</v>
      </c>
      <c r="FO4" s="24">
        <v>169</v>
      </c>
      <c r="FP4" s="24">
        <v>170</v>
      </c>
      <c r="FQ4" s="24">
        <v>171</v>
      </c>
      <c r="FR4" s="24">
        <v>172</v>
      </c>
      <c r="FS4" s="24">
        <v>173</v>
      </c>
      <c r="FT4" s="24">
        <v>174</v>
      </c>
      <c r="FU4" s="24">
        <v>175</v>
      </c>
      <c r="FV4" s="24">
        <v>176</v>
      </c>
      <c r="FW4" s="24">
        <v>177</v>
      </c>
      <c r="FX4" s="24">
        <v>178</v>
      </c>
      <c r="FY4" s="24">
        <v>179</v>
      </c>
      <c r="FZ4" s="24">
        <v>180</v>
      </c>
      <c r="GA4" s="24">
        <v>181</v>
      </c>
      <c r="GB4" s="24">
        <v>182</v>
      </c>
      <c r="GC4" s="24">
        <v>183</v>
      </c>
      <c r="GD4" s="24">
        <v>184</v>
      </c>
      <c r="GE4" s="24">
        <v>185</v>
      </c>
      <c r="GF4" s="24">
        <v>186</v>
      </c>
      <c r="GG4" s="24">
        <v>187</v>
      </c>
      <c r="GH4" s="24">
        <v>188</v>
      </c>
      <c r="GI4" s="24">
        <v>189</v>
      </c>
      <c r="GJ4" s="24">
        <v>190</v>
      </c>
      <c r="GK4" s="24">
        <v>191</v>
      </c>
      <c r="GL4" s="24">
        <v>192</v>
      </c>
      <c r="GM4" s="24">
        <v>193</v>
      </c>
      <c r="GN4" s="24">
        <v>194</v>
      </c>
      <c r="GO4" s="24">
        <v>195</v>
      </c>
      <c r="GP4" s="24">
        <v>196</v>
      </c>
      <c r="GQ4" s="24">
        <v>197</v>
      </c>
      <c r="GR4" s="24">
        <v>198</v>
      </c>
      <c r="GS4" s="24">
        <v>199</v>
      </c>
      <c r="GT4" s="24">
        <v>200</v>
      </c>
      <c r="GU4" s="24">
        <v>201</v>
      </c>
      <c r="GV4" s="24">
        <v>202</v>
      </c>
      <c r="GW4" s="24">
        <v>203</v>
      </c>
      <c r="GX4" s="24">
        <v>204</v>
      </c>
      <c r="GY4" s="24">
        <v>205</v>
      </c>
      <c r="GZ4" s="24">
        <v>206</v>
      </c>
      <c r="HA4" s="24">
        <v>207</v>
      </c>
      <c r="HB4" s="24">
        <v>208</v>
      </c>
      <c r="HC4" s="24">
        <v>209</v>
      </c>
      <c r="HD4" s="24">
        <v>210</v>
      </c>
      <c r="HE4" s="24">
        <v>211</v>
      </c>
      <c r="HF4" s="24">
        <v>212</v>
      </c>
      <c r="HG4" s="24">
        <v>213</v>
      </c>
      <c r="HH4" s="24">
        <v>214</v>
      </c>
      <c r="HI4" s="24">
        <v>215</v>
      </c>
      <c r="HJ4" s="24">
        <v>216</v>
      </c>
      <c r="HK4" s="24">
        <v>217</v>
      </c>
      <c r="HL4" s="24">
        <v>218</v>
      </c>
      <c r="HM4" s="24">
        <v>219</v>
      </c>
      <c r="HN4" s="24">
        <v>220</v>
      </c>
      <c r="HO4" s="24">
        <v>221</v>
      </c>
      <c r="HP4" s="24">
        <v>222</v>
      </c>
      <c r="HQ4" s="24">
        <v>223</v>
      </c>
      <c r="HR4" s="24">
        <v>224</v>
      </c>
      <c r="HS4" s="24">
        <v>225</v>
      </c>
      <c r="HT4" s="24">
        <v>226</v>
      </c>
      <c r="HU4" s="24">
        <v>227</v>
      </c>
      <c r="HV4" s="24">
        <v>228</v>
      </c>
      <c r="HW4" s="24">
        <v>229</v>
      </c>
      <c r="HX4" s="24">
        <v>230</v>
      </c>
      <c r="HY4" s="24">
        <v>231</v>
      </c>
      <c r="HZ4" s="24">
        <v>232</v>
      </c>
      <c r="IA4" s="24">
        <v>233</v>
      </c>
      <c r="IB4" s="24">
        <v>234</v>
      </c>
      <c r="IC4" s="24">
        <v>235</v>
      </c>
      <c r="ID4" s="24">
        <v>236</v>
      </c>
      <c r="IE4" s="24">
        <v>237</v>
      </c>
      <c r="IF4" s="24">
        <v>238</v>
      </c>
      <c r="IG4" s="24">
        <v>239</v>
      </c>
      <c r="IH4" s="24">
        <v>240</v>
      </c>
      <c r="II4" s="24">
        <v>241</v>
      </c>
      <c r="IJ4" s="24">
        <v>242</v>
      </c>
      <c r="IK4" s="24">
        <v>243</v>
      </c>
      <c r="IL4" s="24">
        <v>244</v>
      </c>
      <c r="IM4" s="24">
        <v>245</v>
      </c>
      <c r="IN4" s="24">
        <v>246</v>
      </c>
      <c r="IO4" s="24">
        <v>247</v>
      </c>
      <c r="IP4" s="24">
        <v>248</v>
      </c>
      <c r="IQ4" s="24">
        <v>249</v>
      </c>
      <c r="IR4" s="24">
        <v>250</v>
      </c>
      <c r="IS4" s="24">
        <v>251</v>
      </c>
      <c r="IT4" s="24">
        <v>252</v>
      </c>
      <c r="IU4" s="24">
        <v>253</v>
      </c>
      <c r="IV4" s="24">
        <v>254</v>
      </c>
      <c r="IW4" s="24">
        <v>255</v>
      </c>
      <c r="IX4" s="24">
        <v>256</v>
      </c>
      <c r="IY4" s="24">
        <v>257</v>
      </c>
      <c r="IZ4" s="24">
        <v>258</v>
      </c>
      <c r="JA4" s="24">
        <v>259</v>
      </c>
      <c r="JB4" s="24">
        <v>260</v>
      </c>
      <c r="JC4" s="24">
        <v>261</v>
      </c>
      <c r="JD4" s="24">
        <v>262</v>
      </c>
      <c r="JE4" s="24">
        <v>263</v>
      </c>
      <c r="JF4" s="24">
        <v>264</v>
      </c>
      <c r="JG4" s="24">
        <v>265</v>
      </c>
      <c r="JH4" s="24">
        <v>266</v>
      </c>
      <c r="JI4" s="24">
        <v>267</v>
      </c>
      <c r="JJ4" s="24">
        <v>268</v>
      </c>
      <c r="JK4" s="24">
        <v>269</v>
      </c>
      <c r="JL4" s="24">
        <v>270</v>
      </c>
      <c r="JM4" s="24">
        <v>271</v>
      </c>
      <c r="JN4" s="24">
        <v>272</v>
      </c>
      <c r="JO4" s="24">
        <v>273</v>
      </c>
      <c r="JP4" s="24">
        <v>274</v>
      </c>
      <c r="JQ4" s="24">
        <v>275</v>
      </c>
      <c r="JR4" s="24">
        <v>276</v>
      </c>
      <c r="JS4" s="24">
        <v>277</v>
      </c>
      <c r="JT4" s="24">
        <v>278</v>
      </c>
      <c r="JU4" s="24">
        <v>279</v>
      </c>
      <c r="JV4" s="24">
        <v>280</v>
      </c>
      <c r="JW4" s="24">
        <v>281</v>
      </c>
      <c r="JX4" s="24">
        <v>282</v>
      </c>
      <c r="JY4" s="24">
        <v>283</v>
      </c>
      <c r="JZ4" s="24">
        <v>284</v>
      </c>
      <c r="KA4" s="24">
        <v>285</v>
      </c>
      <c r="KB4" s="24">
        <v>286</v>
      </c>
      <c r="KC4" s="24">
        <v>287</v>
      </c>
      <c r="KD4" s="24">
        <v>288</v>
      </c>
      <c r="KE4" s="24">
        <v>289</v>
      </c>
      <c r="KF4" s="24">
        <v>290</v>
      </c>
      <c r="KG4" s="24">
        <v>291</v>
      </c>
      <c r="KH4" s="24">
        <v>292</v>
      </c>
      <c r="KI4" s="24">
        <v>293</v>
      </c>
      <c r="KJ4" s="24">
        <v>294</v>
      </c>
      <c r="KK4" s="24">
        <v>295</v>
      </c>
      <c r="KL4" s="24">
        <v>296</v>
      </c>
      <c r="KM4" s="24">
        <v>297</v>
      </c>
      <c r="KN4" s="24">
        <v>298</v>
      </c>
      <c r="KO4" s="24">
        <v>299</v>
      </c>
      <c r="KP4" s="24">
        <v>300</v>
      </c>
      <c r="KQ4" s="24">
        <v>301</v>
      </c>
      <c r="KR4" s="24">
        <v>302</v>
      </c>
      <c r="KS4" s="24">
        <v>303</v>
      </c>
      <c r="KT4" s="24">
        <v>304</v>
      </c>
      <c r="KU4" s="24">
        <v>305</v>
      </c>
      <c r="KV4" s="24">
        <v>306</v>
      </c>
      <c r="KW4" s="24">
        <v>307</v>
      </c>
      <c r="KX4" s="24">
        <v>308</v>
      </c>
      <c r="KY4" s="24">
        <v>309</v>
      </c>
      <c r="KZ4" s="24">
        <v>310</v>
      </c>
      <c r="LA4" s="24">
        <v>311</v>
      </c>
      <c r="LB4" s="24">
        <v>312</v>
      </c>
      <c r="LC4" s="24">
        <v>313</v>
      </c>
      <c r="LD4" s="24">
        <v>314</v>
      </c>
      <c r="LE4" s="24">
        <v>315</v>
      </c>
      <c r="LF4" s="24">
        <v>316</v>
      </c>
      <c r="LG4" s="24">
        <v>317</v>
      </c>
      <c r="LH4" s="24">
        <v>318</v>
      </c>
      <c r="LI4" s="24">
        <v>319</v>
      </c>
      <c r="LJ4" s="24">
        <v>320</v>
      </c>
      <c r="LK4" s="24">
        <v>321</v>
      </c>
      <c r="LL4" s="24">
        <v>322</v>
      </c>
      <c r="LM4" s="24">
        <v>323</v>
      </c>
      <c r="LN4" s="24">
        <v>324</v>
      </c>
      <c r="LO4" s="24">
        <v>325</v>
      </c>
      <c r="LP4" s="24">
        <v>326</v>
      </c>
      <c r="LQ4" s="24">
        <v>327</v>
      </c>
      <c r="LR4" s="24">
        <v>328</v>
      </c>
      <c r="LS4" s="24">
        <v>329</v>
      </c>
      <c r="LT4" s="24">
        <v>330</v>
      </c>
      <c r="LU4" s="24">
        <v>331</v>
      </c>
      <c r="LV4" s="24">
        <v>332</v>
      </c>
      <c r="LW4" s="24">
        <v>333</v>
      </c>
      <c r="LX4" s="24">
        <v>334</v>
      </c>
      <c r="LY4" s="24">
        <v>335</v>
      </c>
      <c r="LZ4" s="24">
        <v>336</v>
      </c>
      <c r="MA4" s="24">
        <v>337</v>
      </c>
      <c r="MB4" s="24">
        <v>338</v>
      </c>
      <c r="MC4" s="24">
        <v>339</v>
      </c>
      <c r="MD4" s="24">
        <v>340</v>
      </c>
      <c r="ME4" s="24">
        <v>341</v>
      </c>
      <c r="MF4" s="24">
        <v>342</v>
      </c>
      <c r="MG4" s="24">
        <v>343</v>
      </c>
      <c r="MH4" s="24">
        <v>344</v>
      </c>
      <c r="MI4" s="24">
        <v>345</v>
      </c>
      <c r="MJ4" s="24">
        <v>346</v>
      </c>
      <c r="MK4" s="24">
        <v>347</v>
      </c>
      <c r="ML4" s="24">
        <v>348</v>
      </c>
      <c r="MM4" s="24">
        <v>349</v>
      </c>
      <c r="MN4" s="24">
        <v>350</v>
      </c>
      <c r="MO4" s="24">
        <v>351</v>
      </c>
      <c r="MP4" s="24">
        <v>352</v>
      </c>
      <c r="MQ4" s="24">
        <v>353</v>
      </c>
      <c r="MR4" s="24">
        <v>354</v>
      </c>
      <c r="MS4" s="24">
        <v>355</v>
      </c>
      <c r="MT4" s="24">
        <v>356</v>
      </c>
      <c r="MU4" s="24">
        <v>357</v>
      </c>
      <c r="MV4" s="24">
        <v>358</v>
      </c>
      <c r="MW4" s="24">
        <v>359</v>
      </c>
      <c r="MX4" s="24">
        <v>360</v>
      </c>
      <c r="MY4" s="24">
        <v>361</v>
      </c>
      <c r="MZ4" s="24">
        <v>362</v>
      </c>
      <c r="NA4" s="24">
        <v>363</v>
      </c>
      <c r="NB4" s="24">
        <v>364</v>
      </c>
      <c r="NC4" s="24">
        <v>365</v>
      </c>
    </row>
    <row r="5" spans="1:367" ht="132.75" customHeight="1" x14ac:dyDescent="0.25">
      <c r="A5" s="44" t="s">
        <v>233</v>
      </c>
      <c r="B5" s="24" t="s">
        <v>6</v>
      </c>
      <c r="C5" t="s">
        <v>32</v>
      </c>
      <c r="D5" t="s">
        <v>32</v>
      </c>
      <c r="E5" t="s">
        <v>32</v>
      </c>
      <c r="F5" t="s">
        <v>52</v>
      </c>
      <c r="G5" t="s">
        <v>32</v>
      </c>
      <c r="H5" t="s">
        <v>32</v>
      </c>
      <c r="I5" t="s">
        <v>52</v>
      </c>
      <c r="J5" t="s">
        <v>32</v>
      </c>
      <c r="K5" t="s">
        <v>32</v>
      </c>
      <c r="L5" t="s">
        <v>32</v>
      </c>
      <c r="M5" t="s">
        <v>32</v>
      </c>
      <c r="N5" t="s">
        <v>41</v>
      </c>
      <c r="O5" t="s">
        <v>32</v>
      </c>
      <c r="P5" t="s">
        <v>41</v>
      </c>
      <c r="Q5" t="s">
        <v>32</v>
      </c>
      <c r="R5" t="s">
        <v>32</v>
      </c>
      <c r="S5" t="s">
        <v>32</v>
      </c>
      <c r="T5" t="s">
        <v>41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41</v>
      </c>
      <c r="AC5" t="s">
        <v>32</v>
      </c>
      <c r="AD5" t="s">
        <v>52</v>
      </c>
      <c r="AE5" t="s">
        <v>32</v>
      </c>
      <c r="AF5" t="s">
        <v>32</v>
      </c>
      <c r="AG5" t="s">
        <v>41</v>
      </c>
      <c r="AH5" t="s">
        <v>41</v>
      </c>
      <c r="AI5" t="s">
        <v>32</v>
      </c>
      <c r="AJ5" t="s">
        <v>41</v>
      </c>
      <c r="AK5" t="s">
        <v>41</v>
      </c>
      <c r="AL5" t="s">
        <v>32</v>
      </c>
      <c r="AM5" t="s">
        <v>32</v>
      </c>
      <c r="AN5" t="s">
        <v>32</v>
      </c>
      <c r="AO5" t="s">
        <v>41</v>
      </c>
      <c r="AP5" t="s">
        <v>32</v>
      </c>
      <c r="AQ5" t="s">
        <v>41</v>
      </c>
      <c r="AR5" t="s">
        <v>52</v>
      </c>
      <c r="AS5" t="s">
        <v>41</v>
      </c>
      <c r="AT5" t="s">
        <v>32</v>
      </c>
      <c r="AU5" t="s">
        <v>32</v>
      </c>
      <c r="AV5" t="s">
        <v>32</v>
      </c>
      <c r="AW5" t="s">
        <v>32</v>
      </c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t="s">
        <v>32</v>
      </c>
      <c r="CO5" t="s">
        <v>32</v>
      </c>
      <c r="CP5" t="s">
        <v>32</v>
      </c>
      <c r="CQ5" t="s">
        <v>32</v>
      </c>
      <c r="CR5" t="s">
        <v>32</v>
      </c>
      <c r="CS5" t="s">
        <v>52</v>
      </c>
      <c r="CT5" t="s">
        <v>52</v>
      </c>
      <c r="CU5" t="s">
        <v>52</v>
      </c>
      <c r="CV5" t="s">
        <v>32</v>
      </c>
      <c r="CW5" t="s">
        <v>32</v>
      </c>
      <c r="CX5" t="s">
        <v>32</v>
      </c>
      <c r="CY5" t="s">
        <v>52</v>
      </c>
      <c r="CZ5" t="s">
        <v>32</v>
      </c>
      <c r="DA5" t="s">
        <v>32</v>
      </c>
      <c r="DB5" t="s">
        <v>32</v>
      </c>
      <c r="DC5" t="s">
        <v>32</v>
      </c>
      <c r="DD5" t="s">
        <v>32</v>
      </c>
      <c r="DE5" t="s">
        <v>32</v>
      </c>
      <c r="DF5" t="s">
        <v>32</v>
      </c>
      <c r="DG5" t="s">
        <v>52</v>
      </c>
      <c r="DH5" t="s">
        <v>41</v>
      </c>
      <c r="DI5" t="s">
        <v>32</v>
      </c>
      <c r="DJ5" t="s">
        <v>41</v>
      </c>
      <c r="DK5" t="s">
        <v>32</v>
      </c>
      <c r="DL5" t="s">
        <v>52</v>
      </c>
      <c r="DM5" t="s">
        <v>52</v>
      </c>
      <c r="DN5" t="s">
        <v>32</v>
      </c>
      <c r="DO5" t="s">
        <v>52</v>
      </c>
      <c r="DP5" t="s">
        <v>32</v>
      </c>
    </row>
    <row r="6" spans="1:367" ht="57.75" customHeight="1" x14ac:dyDescent="0.25">
      <c r="A6" s="150" t="s">
        <v>98</v>
      </c>
      <c r="B6" s="24" t="s">
        <v>99</v>
      </c>
      <c r="C6" t="s">
        <v>32</v>
      </c>
      <c r="D6" t="s">
        <v>32</v>
      </c>
      <c r="E6" t="s">
        <v>32</v>
      </c>
      <c r="F6" t="s">
        <v>52</v>
      </c>
      <c r="G6" t="s">
        <v>52</v>
      </c>
      <c r="H6" t="s">
        <v>52</v>
      </c>
      <c r="I6" t="s">
        <v>52</v>
      </c>
      <c r="J6" t="s">
        <v>41</v>
      </c>
      <c r="K6" t="s">
        <v>52</v>
      </c>
      <c r="L6" t="s">
        <v>32</v>
      </c>
      <c r="M6" t="s">
        <v>52</v>
      </c>
      <c r="N6" t="s">
        <v>41</v>
      </c>
      <c r="O6" t="s">
        <v>41</v>
      </c>
      <c r="P6" t="s">
        <v>41</v>
      </c>
      <c r="Q6" t="s">
        <v>32</v>
      </c>
      <c r="R6" t="s">
        <v>52</v>
      </c>
      <c r="S6" t="s">
        <v>52</v>
      </c>
      <c r="T6" t="s">
        <v>32</v>
      </c>
      <c r="U6" t="s">
        <v>32</v>
      </c>
      <c r="V6" t="s">
        <v>41</v>
      </c>
      <c r="W6" t="s">
        <v>52</v>
      </c>
      <c r="X6" t="s">
        <v>32</v>
      </c>
      <c r="Y6" t="s">
        <v>52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52</v>
      </c>
      <c r="AF6" t="s">
        <v>52</v>
      </c>
      <c r="AG6" t="s">
        <v>52</v>
      </c>
      <c r="AH6" t="s">
        <v>41</v>
      </c>
      <c r="AI6" t="s">
        <v>32</v>
      </c>
      <c r="AJ6" t="s">
        <v>41</v>
      </c>
      <c r="AK6" t="s">
        <v>41</v>
      </c>
      <c r="AL6" t="s">
        <v>32</v>
      </c>
      <c r="AM6" t="s">
        <v>52</v>
      </c>
      <c r="AN6" t="s">
        <v>52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52</v>
      </c>
      <c r="AU6" t="s">
        <v>32</v>
      </c>
      <c r="AV6" t="s">
        <v>32</v>
      </c>
      <c r="AW6" t="s">
        <v>32</v>
      </c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t="s">
        <v>32</v>
      </c>
      <c r="CO6" t="s">
        <v>52</v>
      </c>
      <c r="CP6" t="s">
        <v>32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41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41</v>
      </c>
      <c r="DH6" t="s">
        <v>41</v>
      </c>
      <c r="DI6" t="s">
        <v>52</v>
      </c>
      <c r="DJ6" t="s">
        <v>52</v>
      </c>
      <c r="DK6" t="s">
        <v>41</v>
      </c>
      <c r="DL6" t="s">
        <v>52</v>
      </c>
      <c r="DM6" t="s">
        <v>52</v>
      </c>
      <c r="DN6" t="s">
        <v>52</v>
      </c>
      <c r="DO6" t="s">
        <v>32</v>
      </c>
      <c r="DP6" t="s">
        <v>52</v>
      </c>
    </row>
    <row r="7" spans="1:367" ht="46.5" customHeight="1" x14ac:dyDescent="0.25">
      <c r="A7" s="154"/>
      <c r="B7" s="24" t="s">
        <v>215</v>
      </c>
      <c r="C7" t="s">
        <v>32</v>
      </c>
      <c r="D7" t="s">
        <v>32</v>
      </c>
      <c r="E7" t="s">
        <v>32</v>
      </c>
      <c r="F7" t="s">
        <v>52</v>
      </c>
      <c r="G7" t="s">
        <v>52</v>
      </c>
      <c r="H7" t="s">
        <v>52</v>
      </c>
      <c r="I7" t="s">
        <v>32</v>
      </c>
      <c r="J7" t="s">
        <v>32</v>
      </c>
      <c r="K7" t="s">
        <v>32</v>
      </c>
      <c r="L7" t="s">
        <v>32</v>
      </c>
      <c r="M7" t="s">
        <v>52</v>
      </c>
      <c r="N7" t="s">
        <v>41</v>
      </c>
      <c r="O7" t="s">
        <v>41</v>
      </c>
      <c r="P7" t="s">
        <v>41</v>
      </c>
      <c r="Q7" t="s">
        <v>32</v>
      </c>
      <c r="R7" t="s">
        <v>52</v>
      </c>
      <c r="S7" t="s">
        <v>52</v>
      </c>
      <c r="T7" t="s">
        <v>32</v>
      </c>
      <c r="U7" t="s">
        <v>32</v>
      </c>
      <c r="V7" t="s">
        <v>41</v>
      </c>
      <c r="W7" t="s">
        <v>52</v>
      </c>
      <c r="X7" t="s">
        <v>52</v>
      </c>
      <c r="Y7" t="s">
        <v>52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32</v>
      </c>
      <c r="AF7" t="s">
        <v>52</v>
      </c>
      <c r="AG7" t="s">
        <v>52</v>
      </c>
      <c r="AH7" t="s">
        <v>41</v>
      </c>
      <c r="AI7" t="s">
        <v>32</v>
      </c>
      <c r="AJ7" t="s">
        <v>41</v>
      </c>
      <c r="AK7" t="s">
        <v>41</v>
      </c>
      <c r="AL7" t="s">
        <v>32</v>
      </c>
      <c r="AM7" t="s">
        <v>52</v>
      </c>
      <c r="AN7" t="s">
        <v>52</v>
      </c>
      <c r="AO7" t="s">
        <v>32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t="s">
        <v>32</v>
      </c>
      <c r="CO7" t="s">
        <v>32</v>
      </c>
      <c r="CP7" t="s">
        <v>32</v>
      </c>
      <c r="CQ7" t="s">
        <v>52</v>
      </c>
      <c r="CR7" t="s">
        <v>52</v>
      </c>
      <c r="CS7" t="s">
        <v>52</v>
      </c>
      <c r="CT7" t="s">
        <v>41</v>
      </c>
      <c r="CU7" t="s">
        <v>41</v>
      </c>
      <c r="CV7" t="s">
        <v>52</v>
      </c>
      <c r="CW7" t="s">
        <v>32</v>
      </c>
      <c r="CX7" t="s">
        <v>52</v>
      </c>
      <c r="CY7" t="s">
        <v>52</v>
      </c>
      <c r="CZ7" t="s">
        <v>32</v>
      </c>
      <c r="DA7" t="s">
        <v>32</v>
      </c>
      <c r="DB7" t="s">
        <v>32</v>
      </c>
      <c r="DC7" t="s">
        <v>52</v>
      </c>
      <c r="DD7" t="s">
        <v>32</v>
      </c>
      <c r="DE7" t="s">
        <v>52</v>
      </c>
      <c r="DF7" t="s">
        <v>52</v>
      </c>
      <c r="DG7" t="s">
        <v>41</v>
      </c>
      <c r="DH7" t="s">
        <v>41</v>
      </c>
      <c r="DI7" t="s">
        <v>32</v>
      </c>
      <c r="DJ7" t="s">
        <v>52</v>
      </c>
      <c r="DK7" t="s">
        <v>41</v>
      </c>
      <c r="DL7" t="s">
        <v>52</v>
      </c>
      <c r="DM7" t="s">
        <v>52</v>
      </c>
      <c r="DN7" t="s">
        <v>32</v>
      </c>
      <c r="DO7" t="s">
        <v>32</v>
      </c>
      <c r="DP7" t="s">
        <v>32</v>
      </c>
    </row>
    <row r="8" spans="1:367" ht="33" customHeight="1" x14ac:dyDescent="0.25">
      <c r="A8" s="150" t="s">
        <v>8</v>
      </c>
      <c r="B8" s="24" t="s">
        <v>5</v>
      </c>
      <c r="C8" t="s">
        <v>32</v>
      </c>
      <c r="D8" t="s">
        <v>32</v>
      </c>
      <c r="E8" t="s">
        <v>52</v>
      </c>
      <c r="F8" t="s">
        <v>32</v>
      </c>
      <c r="G8" t="s">
        <v>32</v>
      </c>
      <c r="H8" t="s">
        <v>41</v>
      </c>
      <c r="I8" t="s">
        <v>41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41</v>
      </c>
      <c r="Q8" t="s">
        <v>32</v>
      </c>
      <c r="R8" t="s">
        <v>32</v>
      </c>
      <c r="S8" t="s">
        <v>32</v>
      </c>
      <c r="T8" t="s">
        <v>41</v>
      </c>
      <c r="U8" t="s">
        <v>41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41</v>
      </c>
      <c r="AB8" t="s">
        <v>41</v>
      </c>
      <c r="AC8" t="s">
        <v>41</v>
      </c>
      <c r="AD8" t="s">
        <v>41</v>
      </c>
      <c r="AE8" t="s">
        <v>32</v>
      </c>
      <c r="AF8" t="s">
        <v>32</v>
      </c>
      <c r="AG8" t="s">
        <v>32</v>
      </c>
      <c r="AH8" t="s">
        <v>32</v>
      </c>
      <c r="AI8" t="s">
        <v>32</v>
      </c>
      <c r="AJ8" t="s">
        <v>41</v>
      </c>
      <c r="AK8" t="s">
        <v>41</v>
      </c>
      <c r="AL8" t="s">
        <v>32</v>
      </c>
      <c r="AM8" t="s">
        <v>32</v>
      </c>
      <c r="AN8" t="s">
        <v>32</v>
      </c>
      <c r="AO8" t="s">
        <v>41</v>
      </c>
      <c r="AP8" t="s">
        <v>41</v>
      </c>
      <c r="AQ8" t="s">
        <v>32</v>
      </c>
      <c r="AR8" t="s">
        <v>32</v>
      </c>
      <c r="AS8" t="s">
        <v>32</v>
      </c>
      <c r="AT8" t="s">
        <v>32</v>
      </c>
      <c r="AU8" t="s">
        <v>32</v>
      </c>
      <c r="AV8" t="s">
        <v>32</v>
      </c>
      <c r="AW8" t="s">
        <v>41</v>
      </c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t="s">
        <v>41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41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41</v>
      </c>
      <c r="DH8" t="s">
        <v>41</v>
      </c>
      <c r="DI8" t="s">
        <v>41</v>
      </c>
      <c r="DJ8" t="s">
        <v>32</v>
      </c>
      <c r="DK8" t="s">
        <v>32</v>
      </c>
      <c r="DL8" t="s">
        <v>32</v>
      </c>
      <c r="DM8" s="141" t="s">
        <v>32</v>
      </c>
      <c r="DN8" s="141" t="s">
        <v>32</v>
      </c>
      <c r="DO8" s="141" t="s">
        <v>32</v>
      </c>
      <c r="DP8" s="141" t="s">
        <v>32</v>
      </c>
    </row>
    <row r="9" spans="1:367" ht="31.5" customHeight="1" x14ac:dyDescent="0.25">
      <c r="A9" s="151"/>
      <c r="B9" s="24" t="s">
        <v>4</v>
      </c>
      <c r="C9" t="s">
        <v>32</v>
      </c>
      <c r="D9" t="s">
        <v>32</v>
      </c>
      <c r="E9" t="s">
        <v>52</v>
      </c>
      <c r="F9" t="s">
        <v>41</v>
      </c>
      <c r="G9" t="s">
        <v>32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32</v>
      </c>
      <c r="S9" t="s">
        <v>32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32</v>
      </c>
      <c r="Z9" t="s">
        <v>32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32</v>
      </c>
      <c r="AG9" t="s">
        <v>32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32</v>
      </c>
      <c r="AN9" t="s">
        <v>32</v>
      </c>
      <c r="AO9" t="s">
        <v>41</v>
      </c>
      <c r="AP9" t="s">
        <v>41</v>
      </c>
      <c r="AQ9" t="s">
        <v>41</v>
      </c>
      <c r="AR9" t="s">
        <v>41</v>
      </c>
      <c r="AS9" t="s">
        <v>41</v>
      </c>
      <c r="AT9" t="s">
        <v>32</v>
      </c>
      <c r="AU9" t="s">
        <v>32</v>
      </c>
      <c r="AV9" t="s">
        <v>32</v>
      </c>
      <c r="AW9" t="s">
        <v>41</v>
      </c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t="s">
        <v>41</v>
      </c>
      <c r="CO9" t="s">
        <v>41</v>
      </c>
      <c r="CP9" t="s">
        <v>32</v>
      </c>
      <c r="CQ9" t="s">
        <v>32</v>
      </c>
      <c r="CR9" t="s">
        <v>32</v>
      </c>
      <c r="CS9" t="s">
        <v>41</v>
      </c>
      <c r="CT9" t="s">
        <v>41</v>
      </c>
      <c r="CU9" t="s">
        <v>41</v>
      </c>
      <c r="CV9" t="s">
        <v>41</v>
      </c>
      <c r="CW9" t="s">
        <v>32</v>
      </c>
      <c r="CX9" t="s">
        <v>32</v>
      </c>
      <c r="CY9" t="s">
        <v>32</v>
      </c>
      <c r="CZ9" t="s">
        <v>32</v>
      </c>
      <c r="DA9" t="s">
        <v>41</v>
      </c>
      <c r="DB9" t="s">
        <v>41</v>
      </c>
      <c r="DC9" t="s">
        <v>41</v>
      </c>
      <c r="DD9" t="s">
        <v>41</v>
      </c>
      <c r="DE9" t="s">
        <v>32</v>
      </c>
      <c r="DF9" t="s">
        <v>32</v>
      </c>
      <c r="DG9" t="s">
        <v>32</v>
      </c>
      <c r="DH9" t="s">
        <v>32</v>
      </c>
      <c r="DI9" t="s">
        <v>41</v>
      </c>
      <c r="DJ9" t="s">
        <v>41</v>
      </c>
      <c r="DK9" t="s">
        <v>41</v>
      </c>
      <c r="DL9" t="s">
        <v>32</v>
      </c>
      <c r="DM9" s="141" t="s">
        <v>32</v>
      </c>
      <c r="DN9" s="141" t="s">
        <v>41</v>
      </c>
      <c r="DO9" s="141" t="s">
        <v>41</v>
      </c>
      <c r="DP9" s="141" t="s">
        <v>41</v>
      </c>
    </row>
    <row r="10" spans="1:367" ht="99" customHeight="1" x14ac:dyDescent="0.25">
      <c r="A10" s="44" t="s">
        <v>214</v>
      </c>
      <c r="B10" s="44" t="s">
        <v>214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41</v>
      </c>
      <c r="CU10" t="s">
        <v>41</v>
      </c>
      <c r="CV10" t="s">
        <v>41</v>
      </c>
      <c r="CW10" t="s">
        <v>32</v>
      </c>
      <c r="CX10" t="s">
        <v>32</v>
      </c>
      <c r="CY10" t="s">
        <v>32</v>
      </c>
      <c r="CZ10" t="s">
        <v>41</v>
      </c>
      <c r="DA10" t="s">
        <v>41</v>
      </c>
      <c r="DB10" t="s">
        <v>41</v>
      </c>
      <c r="DC10" t="s">
        <v>41</v>
      </c>
      <c r="DD10" t="s">
        <v>41</v>
      </c>
      <c r="DE10" t="s">
        <v>32</v>
      </c>
      <c r="DF10" t="s">
        <v>41</v>
      </c>
      <c r="DG10" t="s">
        <v>41</v>
      </c>
      <c r="DH10" t="s">
        <v>41</v>
      </c>
      <c r="DI10" t="s">
        <v>41</v>
      </c>
      <c r="DJ10" t="s">
        <v>32</v>
      </c>
      <c r="DK10" t="s">
        <v>41</v>
      </c>
      <c r="DL10" t="s">
        <v>41</v>
      </c>
      <c r="DM10" s="141" t="s">
        <v>32</v>
      </c>
      <c r="DN10" s="141" t="s">
        <v>32</v>
      </c>
      <c r="DO10" s="141" t="s">
        <v>41</v>
      </c>
      <c r="DP10" s="141" t="s">
        <v>32</v>
      </c>
    </row>
  </sheetData>
  <mergeCells count="54">
    <mergeCell ref="MH2:MN2"/>
    <mergeCell ref="MO2:MU2"/>
    <mergeCell ref="MV2:NB2"/>
    <mergeCell ref="KY2:LE2"/>
    <mergeCell ref="LF2:LL2"/>
    <mergeCell ref="LM2:LS2"/>
    <mergeCell ref="LT2:LZ2"/>
    <mergeCell ref="MA2:MG2"/>
    <mergeCell ref="JP2:JV2"/>
    <mergeCell ref="JW2:KC2"/>
    <mergeCell ref="KD2:KJ2"/>
    <mergeCell ref="KK2:KQ2"/>
    <mergeCell ref="KR2:KX2"/>
    <mergeCell ref="IG2:IM2"/>
    <mergeCell ref="IN2:IT2"/>
    <mergeCell ref="IU2:JA2"/>
    <mergeCell ref="JB2:JH2"/>
    <mergeCell ref="JI2:JO2"/>
    <mergeCell ref="GX2:HD2"/>
    <mergeCell ref="HE2:HK2"/>
    <mergeCell ref="HL2:HR2"/>
    <mergeCell ref="HS2:HY2"/>
    <mergeCell ref="HZ2:IF2"/>
    <mergeCell ref="FO2:FU2"/>
    <mergeCell ref="FV2:GB2"/>
    <mergeCell ref="GC2:GI2"/>
    <mergeCell ref="GJ2:GP2"/>
    <mergeCell ref="GQ2:GW2"/>
    <mergeCell ref="EF2:EL2"/>
    <mergeCell ref="EM2:ES2"/>
    <mergeCell ref="ET2:EZ2"/>
    <mergeCell ref="FA2:FG2"/>
    <mergeCell ref="FH2:FN2"/>
    <mergeCell ref="CW2:DC2"/>
    <mergeCell ref="DD2:DJ2"/>
    <mergeCell ref="DK2:DQ2"/>
    <mergeCell ref="DR2:DX2"/>
    <mergeCell ref="DY2:EE2"/>
    <mergeCell ref="BN2:BT2"/>
    <mergeCell ref="BU2:CA2"/>
    <mergeCell ref="CB2:CH2"/>
    <mergeCell ref="CI2:CO2"/>
    <mergeCell ref="CP2:CV2"/>
    <mergeCell ref="A8:A9"/>
    <mergeCell ref="C2:I2"/>
    <mergeCell ref="J2:P2"/>
    <mergeCell ref="Q2:W2"/>
    <mergeCell ref="BG2:BM2"/>
    <mergeCell ref="X2:AD2"/>
    <mergeCell ref="AE2:AK2"/>
    <mergeCell ref="AL2:AR2"/>
    <mergeCell ref="AS2:AY2"/>
    <mergeCell ref="AZ2:BF2"/>
    <mergeCell ref="A6:A7"/>
  </mergeCells>
  <conditionalFormatting sqref="C5:NC10">
    <cfRule type="cellIs" dxfId="31" priority="1" operator="equal">
      <formula>"---None---"</formula>
    </cfRule>
    <cfRule type="cellIs" dxfId="30" priority="2" operator="equal">
      <formula>"Not Scheduled"</formula>
    </cfRule>
    <cfRule type="cellIs" dxfId="29" priority="3" operator="equal">
      <formula>"Missed"</formula>
    </cfRule>
    <cfRule type="cellIs" dxfId="28" priority="4" operator="equal">
      <formula>"Done"</formula>
    </cfRule>
  </conditionalFormatting>
  <dataValidations count="1">
    <dataValidation type="list" allowBlank="1" showInputMessage="1" showErrorMessage="1" sqref="C5:NC10" xr:uid="{9BCFD337-2D8E-4E30-94E1-BFF0F9B246D5}">
      <formula1>"---None---, Done, Missed, Not Scheduled"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233B-24AE-43E4-A4DC-AFDE66F26521}">
  <dimension ref="B2:G24"/>
  <sheetViews>
    <sheetView zoomScale="91" zoomScaleNormal="115" workbookViewId="0">
      <selection activeCell="B4" sqref="B4"/>
    </sheetView>
  </sheetViews>
  <sheetFormatPr defaultColWidth="11.42578125" defaultRowHeight="15" x14ac:dyDescent="0.25"/>
  <cols>
    <col min="2" max="2" width="89.5703125" bestFit="1" customWidth="1"/>
    <col min="3" max="3" width="28.7109375" bestFit="1" customWidth="1"/>
    <col min="4" max="4" width="28.42578125" customWidth="1"/>
    <col min="5" max="5" width="25.85546875" bestFit="1" customWidth="1"/>
    <col min="6" max="6" width="17.28515625" bestFit="1" customWidth="1"/>
    <col min="7" max="7" width="31.28515625" bestFit="1" customWidth="1"/>
  </cols>
  <sheetData>
    <row r="2" spans="2:7" x14ac:dyDescent="0.25">
      <c r="B2" s="72" t="s">
        <v>107</v>
      </c>
      <c r="C2" s="72" t="s">
        <v>108</v>
      </c>
      <c r="D2" s="72" t="s">
        <v>109</v>
      </c>
      <c r="E2" s="72" t="s">
        <v>110</v>
      </c>
      <c r="F2" s="72" t="s">
        <v>111</v>
      </c>
      <c r="G2" s="72" t="s">
        <v>147</v>
      </c>
    </row>
    <row r="3" spans="2:7" x14ac:dyDescent="0.25">
      <c r="B3" s="73" t="s">
        <v>114</v>
      </c>
      <c r="C3" s="73">
        <v>4</v>
      </c>
      <c r="D3" s="74">
        <v>46137</v>
      </c>
      <c r="E3" s="73">
        <v>1</v>
      </c>
      <c r="F3" s="73">
        <f t="shared" ref="F3:F24" ca="1" si="0">C3 + MAX(0, (30-_xlfn.DAYS(D3, TODAY()))) + (10-E3)</f>
        <v>44</v>
      </c>
      <c r="G3" s="83"/>
    </row>
    <row r="4" spans="2:7" x14ac:dyDescent="0.25">
      <c r="B4" s="73" t="s">
        <v>146</v>
      </c>
      <c r="C4" s="73">
        <v>3</v>
      </c>
      <c r="D4" s="74">
        <v>46138</v>
      </c>
      <c r="E4" s="73">
        <v>3</v>
      </c>
      <c r="F4" s="73">
        <f t="shared" ca="1" si="0"/>
        <v>40</v>
      </c>
      <c r="G4" s="83"/>
    </row>
    <row r="5" spans="2:7" x14ac:dyDescent="0.25">
      <c r="B5" s="73" t="s">
        <v>120</v>
      </c>
      <c r="C5" s="73">
        <v>3</v>
      </c>
      <c r="D5" s="74">
        <v>46144</v>
      </c>
      <c r="E5" s="73">
        <v>0</v>
      </c>
      <c r="F5" s="73">
        <f t="shared" ca="1" si="0"/>
        <v>37</v>
      </c>
      <c r="G5" s="83"/>
    </row>
    <row r="6" spans="2:7" x14ac:dyDescent="0.25">
      <c r="B6" s="73" t="s">
        <v>122</v>
      </c>
      <c r="C6" s="73">
        <v>3</v>
      </c>
      <c r="D6" s="74">
        <v>46144</v>
      </c>
      <c r="E6" s="73">
        <v>0</v>
      </c>
      <c r="F6" s="73">
        <f t="shared" ca="1" si="0"/>
        <v>37</v>
      </c>
      <c r="G6" s="83"/>
    </row>
    <row r="7" spans="2:7" x14ac:dyDescent="0.25">
      <c r="B7" s="73" t="s">
        <v>112</v>
      </c>
      <c r="C7" s="73">
        <v>2</v>
      </c>
      <c r="D7" s="74">
        <v>46145</v>
      </c>
      <c r="E7" s="73">
        <v>0</v>
      </c>
      <c r="F7" s="73">
        <f t="shared" ca="1" si="0"/>
        <v>35</v>
      </c>
      <c r="G7" s="83"/>
    </row>
    <row r="8" spans="2:7" x14ac:dyDescent="0.25">
      <c r="B8" s="73" t="s">
        <v>160</v>
      </c>
      <c r="C8" s="73">
        <v>3</v>
      </c>
      <c r="D8" s="74">
        <v>46151</v>
      </c>
      <c r="E8" s="73">
        <v>0</v>
      </c>
      <c r="F8" s="73">
        <f t="shared" ca="1" si="0"/>
        <v>30</v>
      </c>
      <c r="G8" s="83"/>
    </row>
    <row r="9" spans="2:7" x14ac:dyDescent="0.25">
      <c r="B9" s="73" t="s">
        <v>118</v>
      </c>
      <c r="C9" s="73">
        <v>3</v>
      </c>
      <c r="D9" s="74">
        <v>46151</v>
      </c>
      <c r="E9" s="73">
        <v>0</v>
      </c>
      <c r="F9" s="73">
        <f t="shared" ca="1" si="0"/>
        <v>30</v>
      </c>
      <c r="G9" s="83"/>
    </row>
    <row r="10" spans="2:7" x14ac:dyDescent="0.25">
      <c r="B10" s="73" t="s">
        <v>116</v>
      </c>
      <c r="C10" s="73">
        <v>3</v>
      </c>
      <c r="D10" s="74">
        <v>46151</v>
      </c>
      <c r="E10" s="73">
        <v>0</v>
      </c>
      <c r="F10" s="73">
        <f t="shared" ca="1" si="0"/>
        <v>30</v>
      </c>
      <c r="G10" s="83"/>
    </row>
    <row r="11" spans="2:7" x14ac:dyDescent="0.25">
      <c r="B11" s="73" t="s">
        <v>121</v>
      </c>
      <c r="C11" s="73">
        <v>2</v>
      </c>
      <c r="D11" s="74">
        <v>46152</v>
      </c>
      <c r="E11" s="73">
        <v>0</v>
      </c>
      <c r="F11" s="73">
        <f t="shared" ca="1" si="0"/>
        <v>28</v>
      </c>
      <c r="G11" s="83"/>
    </row>
    <row r="12" spans="2:7" x14ac:dyDescent="0.25">
      <c r="B12" s="73" t="s">
        <v>115</v>
      </c>
      <c r="C12" s="73">
        <v>2</v>
      </c>
      <c r="D12" s="74">
        <v>46152</v>
      </c>
      <c r="E12" s="73">
        <v>0</v>
      </c>
      <c r="F12" s="73">
        <f t="shared" ca="1" si="0"/>
        <v>28</v>
      </c>
      <c r="G12" s="83"/>
    </row>
    <row r="13" spans="2:7" x14ac:dyDescent="0.25">
      <c r="B13" s="73" t="s">
        <v>123</v>
      </c>
      <c r="C13" s="73">
        <v>1</v>
      </c>
      <c r="D13" s="74">
        <v>46152</v>
      </c>
      <c r="E13" s="73">
        <v>0</v>
      </c>
      <c r="F13" s="73">
        <f t="shared" ca="1" si="0"/>
        <v>27</v>
      </c>
      <c r="G13" s="83"/>
    </row>
    <row r="14" spans="2:7" x14ac:dyDescent="0.25">
      <c r="B14" s="73" t="s">
        <v>124</v>
      </c>
      <c r="C14" s="73">
        <v>1</v>
      </c>
      <c r="D14" s="74">
        <v>46152</v>
      </c>
      <c r="E14" s="73">
        <v>0</v>
      </c>
      <c r="F14" s="73">
        <f t="shared" ca="1" si="0"/>
        <v>27</v>
      </c>
      <c r="G14" s="83"/>
    </row>
    <row r="15" spans="2:7" x14ac:dyDescent="0.25">
      <c r="B15" s="73" t="s">
        <v>125</v>
      </c>
      <c r="C15" s="73">
        <v>1</v>
      </c>
      <c r="D15" s="74">
        <v>46152</v>
      </c>
      <c r="E15" s="73">
        <v>0</v>
      </c>
      <c r="F15" s="73">
        <f t="shared" ca="1" si="0"/>
        <v>27</v>
      </c>
      <c r="G15" s="83"/>
    </row>
    <row r="16" spans="2:7" x14ac:dyDescent="0.25">
      <c r="B16" s="73" t="s">
        <v>161</v>
      </c>
      <c r="C16" s="73">
        <v>3</v>
      </c>
      <c r="D16" s="74">
        <v>46158</v>
      </c>
      <c r="E16" s="73">
        <v>0</v>
      </c>
      <c r="F16" s="73">
        <f t="shared" ca="1" si="0"/>
        <v>23</v>
      </c>
      <c r="G16" s="83"/>
    </row>
    <row r="17" spans="2:7" x14ac:dyDescent="0.25">
      <c r="B17" s="73" t="s">
        <v>126</v>
      </c>
      <c r="C17" s="73">
        <v>1</v>
      </c>
      <c r="D17" s="74">
        <v>46158</v>
      </c>
      <c r="E17" s="73">
        <v>0</v>
      </c>
      <c r="F17" s="73">
        <f t="shared" ca="1" si="0"/>
        <v>21</v>
      </c>
      <c r="G17" s="83"/>
    </row>
    <row r="18" spans="2:7" x14ac:dyDescent="0.25">
      <c r="B18" s="73" t="s">
        <v>127</v>
      </c>
      <c r="C18" s="73">
        <v>1</v>
      </c>
      <c r="D18" s="74">
        <v>46158</v>
      </c>
      <c r="E18" s="73">
        <v>0</v>
      </c>
      <c r="F18" s="73">
        <f t="shared" ca="1" si="0"/>
        <v>21</v>
      </c>
      <c r="G18" s="83"/>
    </row>
    <row r="19" spans="2:7" x14ac:dyDescent="0.25">
      <c r="B19" s="73" t="s">
        <v>128</v>
      </c>
      <c r="C19" s="73">
        <v>1</v>
      </c>
      <c r="D19" s="74">
        <v>46158</v>
      </c>
      <c r="E19" s="73">
        <v>0</v>
      </c>
      <c r="F19" s="73">
        <f t="shared" ca="1" si="0"/>
        <v>21</v>
      </c>
      <c r="G19" s="83"/>
    </row>
    <row r="20" spans="2:7" x14ac:dyDescent="0.25">
      <c r="B20" s="73" t="s">
        <v>129</v>
      </c>
      <c r="C20" s="73">
        <v>1</v>
      </c>
      <c r="D20" s="74">
        <v>46158</v>
      </c>
      <c r="E20" s="73">
        <v>0</v>
      </c>
      <c r="F20" s="73">
        <f t="shared" ca="1" si="0"/>
        <v>21</v>
      </c>
      <c r="G20" s="83"/>
    </row>
    <row r="21" spans="2:7" x14ac:dyDescent="0.25">
      <c r="B21" s="73" t="s">
        <v>113</v>
      </c>
      <c r="C21" s="73">
        <v>2</v>
      </c>
      <c r="D21" s="74">
        <v>46158</v>
      </c>
      <c r="E21" s="73">
        <v>4</v>
      </c>
      <c r="F21" s="73">
        <f t="shared" ca="1" si="0"/>
        <v>18</v>
      </c>
      <c r="G21" s="83"/>
    </row>
    <row r="22" spans="2:7" x14ac:dyDescent="0.25">
      <c r="B22" s="73" t="s">
        <v>130</v>
      </c>
      <c r="C22" s="73">
        <v>3</v>
      </c>
      <c r="D22" s="74">
        <v>46172</v>
      </c>
      <c r="E22" s="73">
        <v>0</v>
      </c>
      <c r="F22" s="73">
        <f t="shared" ca="1" si="0"/>
        <v>13</v>
      </c>
      <c r="G22" s="83"/>
    </row>
    <row r="23" spans="2:7" x14ac:dyDescent="0.25">
      <c r="B23" s="73" t="s">
        <v>117</v>
      </c>
      <c r="C23" s="73">
        <v>2</v>
      </c>
      <c r="D23" s="74">
        <v>46172</v>
      </c>
      <c r="E23" s="73">
        <v>0</v>
      </c>
      <c r="F23" s="73">
        <f t="shared" ca="1" si="0"/>
        <v>12</v>
      </c>
      <c r="G23" s="83"/>
    </row>
    <row r="24" spans="2:7" x14ac:dyDescent="0.25">
      <c r="B24" s="73" t="s">
        <v>119</v>
      </c>
      <c r="C24" s="73">
        <v>1</v>
      </c>
      <c r="D24" s="74">
        <v>46186</v>
      </c>
      <c r="E24" s="73">
        <v>0</v>
      </c>
      <c r="F24" s="73">
        <f t="shared" ca="1" si="0"/>
        <v>11</v>
      </c>
      <c r="G24" s="83"/>
    </row>
  </sheetData>
  <conditionalFormatting sqref="F3:G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46A8-6B5E-47A5-B492-2D1545FA49A9}">
  <dimension ref="A2:G1048576"/>
  <sheetViews>
    <sheetView workbookViewId="0">
      <selection activeCell="E3" sqref="E3"/>
    </sheetView>
  </sheetViews>
  <sheetFormatPr defaultColWidth="11.42578125" defaultRowHeight="15" x14ac:dyDescent="0.25"/>
  <cols>
    <col min="1" max="1" width="22.7109375" bestFit="1" customWidth="1"/>
    <col min="2" max="2" width="26.85546875" bestFit="1" customWidth="1"/>
    <col min="3" max="3" width="18.5703125" bestFit="1" customWidth="1"/>
    <col min="4" max="4" width="24.28515625" bestFit="1" customWidth="1"/>
    <col min="5" max="5" width="26.85546875" bestFit="1" customWidth="1"/>
    <col min="6" max="6" width="19.5703125" bestFit="1" customWidth="1"/>
  </cols>
  <sheetData>
    <row r="2" spans="2:7" x14ac:dyDescent="0.25">
      <c r="B2" s="72" t="s">
        <v>156</v>
      </c>
      <c r="C2" s="72" t="s">
        <v>148</v>
      </c>
      <c r="D2" s="72" t="s">
        <v>237</v>
      </c>
      <c r="E2" s="72" t="s">
        <v>177</v>
      </c>
      <c r="G2" s="86"/>
    </row>
    <row r="3" spans="2:7" x14ac:dyDescent="0.25">
      <c r="B3" s="73" t="s">
        <v>151</v>
      </c>
      <c r="C3" s="73" t="s">
        <v>170</v>
      </c>
      <c r="D3" s="74">
        <f ca="1">TODAY()+MOD(6-WEEKDAY(TODAY(),2),7)-7</f>
        <v>46137</v>
      </c>
      <c r="E3" s="74">
        <f ca="1">TODAY()+MOD(6-WEEKDAY(TODAY(),2),7)</f>
        <v>46144</v>
      </c>
    </row>
    <row r="4" spans="2:7" x14ac:dyDescent="0.25">
      <c r="B4" s="73" t="s">
        <v>152</v>
      </c>
      <c r="C4" s="73" t="s">
        <v>170</v>
      </c>
      <c r="D4" s="74">
        <f ca="1">TODAY()+MOD(6-WEEKDAY(TODAY(),2),7)-7</f>
        <v>46137</v>
      </c>
      <c r="E4" s="74">
        <f ca="1">TODAY()+MOD(6-WEEKDAY(TODAY(),2),7)</f>
        <v>46144</v>
      </c>
    </row>
    <row r="5" spans="2:7" x14ac:dyDescent="0.25">
      <c r="B5" s="73" t="s">
        <v>153</v>
      </c>
      <c r="C5" s="73" t="s">
        <v>171</v>
      </c>
      <c r="D5" s="74">
        <f ca="1">$B$1048565+_xlfn.CEILING.MATH((TODAY()-$B$1048565)/14, 1)*14-14</f>
        <v>46137</v>
      </c>
      <c r="E5" s="74">
        <f ca="1">$B$1048565+_xlfn.CEILING.MATH((TODAY()-$B$1048565)/14, 1)*14</f>
        <v>46151</v>
      </c>
    </row>
    <row r="6" spans="2:7" x14ac:dyDescent="0.25">
      <c r="B6" s="73" t="s">
        <v>158</v>
      </c>
      <c r="C6" s="73" t="s">
        <v>171</v>
      </c>
      <c r="D6" s="74">
        <f ca="1">$B$1048569+_xlfn.CEILING.MATH((TODAY()-$B$1048569)/14, 1)*14-14</f>
        <v>46137</v>
      </c>
      <c r="E6" s="74">
        <f ca="1">$B$1048569+_xlfn.CEILING.MATH((TODAY()-$B$1048569)/14, 1)*14</f>
        <v>46151</v>
      </c>
    </row>
    <row r="7" spans="2:7" x14ac:dyDescent="0.25">
      <c r="B7" s="73" t="s">
        <v>174</v>
      </c>
      <c r="C7" s="73" t="s">
        <v>176</v>
      </c>
      <c r="D7" s="74">
        <f ca="1">TODAY()+MOD(7-WEEKDAY(TODAY(),2),7)-7</f>
        <v>46131</v>
      </c>
      <c r="E7" s="74">
        <f ca="1">TODAY()+MOD(7-WEEKDAY(TODAY(),2),7)</f>
        <v>46138</v>
      </c>
    </row>
    <row r="8" spans="2:7" x14ac:dyDescent="0.25">
      <c r="B8" s="73" t="s">
        <v>175</v>
      </c>
      <c r="C8" s="73" t="s">
        <v>176</v>
      </c>
      <c r="D8" s="74">
        <f ca="1">TODAY()+MOD(7-WEEKDAY(TODAY(),2),7)-7</f>
        <v>46131</v>
      </c>
      <c r="E8" s="74">
        <f ca="1">TODAY()+MOD(7-WEEKDAY(TODAY(),2),7)</f>
        <v>46138</v>
      </c>
    </row>
    <row r="9" spans="2:7" x14ac:dyDescent="0.25">
      <c r="B9" s="73" t="s">
        <v>149</v>
      </c>
      <c r="C9" s="73" t="s">
        <v>169</v>
      </c>
      <c r="D9" s="74">
        <f ca="1">$B$1048562+_xlfn.CEILING.MATH((TODAY()-$B$1048562)/5, 1)*5-5</f>
        <v>46134</v>
      </c>
      <c r="E9" s="74">
        <f ca="1">$B$1048562+_xlfn.CEILING.MATH((TODAY()-$B$1048562)/5, 1)*5</f>
        <v>46139</v>
      </c>
    </row>
    <row r="10" spans="2:7" x14ac:dyDescent="0.25">
      <c r="B10" s="73" t="s">
        <v>157</v>
      </c>
      <c r="C10" s="73" t="s">
        <v>232</v>
      </c>
      <c r="D10" s="74">
        <f ca="1">IF(DAY(TODAY())&gt;5,
   DATE(YEAR(TODAY()),MONTH(TODAY()),5),
   DATE(YEAR(TODAY()),MONTH(TODAY())-1,5))</f>
        <v>46117</v>
      </c>
      <c r="E10" s="74">
        <f ca="1">IF(DAY(TODAY())&lt;=5,
   DATE(YEAR(TODAY()),MONTH(TODAY()),5),
   DATE(YEAR(TODAY()),MONTH(TODAY())+1,5))</f>
        <v>46147</v>
      </c>
    </row>
    <row r="11" spans="2:7" x14ac:dyDescent="0.25">
      <c r="B11" s="73" t="s">
        <v>178</v>
      </c>
      <c r="C11" s="73" t="s">
        <v>232</v>
      </c>
      <c r="D11" s="74">
        <f ca="1">IF(DAY(TODAY())&gt;5,
   DATE(YEAR(TODAY()),MONTH(TODAY()),5),
   DATE(YEAR(TODAY()),MONTH(TODAY())-1,5))</f>
        <v>46117</v>
      </c>
      <c r="E11" s="74">
        <f ca="1">IF(DAY(TODAY())&lt;=5,
   DATE(YEAR(TODAY()),MONTH(TODAY()),5),
   DATE(YEAR(TODAY()),MONTH(TODAY())+1,5))</f>
        <v>46147</v>
      </c>
    </row>
    <row r="12" spans="2:7" x14ac:dyDescent="0.25">
      <c r="B12" s="73" t="s">
        <v>179</v>
      </c>
      <c r="C12" s="73" t="s">
        <v>182</v>
      </c>
      <c r="D12" s="74">
        <f ca="1">$B$1048576+_xlfn.CEILING.MATH((TODAY()-$B$1048576)/21, 1)*21-21</f>
        <v>46132</v>
      </c>
      <c r="E12" s="74">
        <f ca="1">$B$1048576+_xlfn.CEILING.MATH((TODAY()-$B$1048576)/21, 1)*21</f>
        <v>46153</v>
      </c>
      <c r="G12" s="49"/>
    </row>
    <row r="13" spans="2:7" x14ac:dyDescent="0.25">
      <c r="B13" s="73" t="s">
        <v>162</v>
      </c>
      <c r="C13" s="73" t="s">
        <v>183</v>
      </c>
      <c r="D13" s="74">
        <f ca="1">$B$1048571+_xlfn.CEILING.MATH((TODAY()-$B$1048571)/28, 1)*28-28</f>
        <v>46125</v>
      </c>
      <c r="E13" s="74">
        <f ca="1">$B$1048571+_xlfn.CEILING.MATH((TODAY()-$B$1048571)/28, 1)*28</f>
        <v>46153</v>
      </c>
    </row>
    <row r="14" spans="2:7" x14ac:dyDescent="0.25">
      <c r="B14" s="73" t="s">
        <v>150</v>
      </c>
      <c r="C14" s="73" t="s">
        <v>172</v>
      </c>
      <c r="D14" s="74">
        <f ca="1">IF(DAY(TODAY())&gt;15,
   DATE(YEAR(TODAY()),MONTH(TODAY()),15),
   DATE(YEAR(TODAY()),MONTH(TODAY())-1,15))</f>
        <v>46127</v>
      </c>
      <c r="E14" s="74">
        <f ca="1">IF(DAY(TODAY())&lt;=15,
   DATE(YEAR(TODAY()),MONTH(TODAY()),15),
   DATE(YEAR(TODAY()),MONTH(TODAY())+1,15))</f>
        <v>46157</v>
      </c>
    </row>
    <row r="15" spans="2:7" x14ac:dyDescent="0.25">
      <c r="B15" s="73" t="s">
        <v>155</v>
      </c>
      <c r="C15" s="73" t="s">
        <v>180</v>
      </c>
      <c r="D15" s="74">
        <f ca="1">$B$1048568+_xlfn.CEILING.MATH((TODAY()-$B$1048568)/90, 1)*90-90</f>
        <v>46067</v>
      </c>
      <c r="E15" s="74">
        <f ca="1">$B$1048568+_xlfn.CEILING.MATH((TODAY()-$B$1048568)/90, 1)*90</f>
        <v>46157</v>
      </c>
    </row>
    <row r="16" spans="2:7" x14ac:dyDescent="0.25">
      <c r="B16" s="73" t="s">
        <v>154</v>
      </c>
      <c r="C16" s="73" t="s">
        <v>238</v>
      </c>
      <c r="D16" s="74">
        <f ca="1">IF(DAY(TODAY())&gt;23,
   DATE(YEAR(TODAY()),MONTH(TODAY()),23),
   DATE(YEAR(TODAY()),MONTH(TODAY())-1,23))</f>
        <v>46135</v>
      </c>
      <c r="E16" s="74">
        <f ca="1">IF(DAY(TODAY())&lt;=23,
   DATE(YEAR(TODAY()),MONTH(TODAY()),23),
   DATE(YEAR(TODAY()),MONTH(TODAY())+1,23))</f>
        <v>46165</v>
      </c>
    </row>
    <row r="17" spans="2:5" x14ac:dyDescent="0.25">
      <c r="B17" s="73" t="s">
        <v>159</v>
      </c>
      <c r="C17" s="73" t="s">
        <v>181</v>
      </c>
      <c r="D17" s="74">
        <f ca="1">$B$1048570+_xlfn.CEILING.MATH((TODAY()-$B$1048570)/40, 1)*40-40</f>
        <v>46127</v>
      </c>
      <c r="E17" s="74">
        <f ca="1">$B$1048570+_xlfn.CEILING.MATH((TODAY()-$B$1048570)/40, 1)*40</f>
        <v>46167</v>
      </c>
    </row>
    <row r="1048562" spans="1:2" x14ac:dyDescent="0.25">
      <c r="A1048562" s="84" t="s">
        <v>149</v>
      </c>
      <c r="B1048562" s="74">
        <v>46064</v>
      </c>
    </row>
    <row r="1048563" spans="1:2" x14ac:dyDescent="0.25">
      <c r="A1048563" s="85" t="s">
        <v>150</v>
      </c>
      <c r="B1048563" s="74">
        <v>46042</v>
      </c>
    </row>
    <row r="1048564" spans="1:2" x14ac:dyDescent="0.25">
      <c r="A1048564" s="84" t="s">
        <v>151</v>
      </c>
      <c r="B1048564" s="74" t="s">
        <v>104</v>
      </c>
    </row>
    <row r="1048565" spans="1:2" x14ac:dyDescent="0.25">
      <c r="A1048565" s="85" t="s">
        <v>153</v>
      </c>
      <c r="B1048565" s="74">
        <v>46067</v>
      </c>
    </row>
    <row r="1048566" spans="1:2" x14ac:dyDescent="0.25">
      <c r="A1048566" s="84" t="s">
        <v>152</v>
      </c>
      <c r="B1048566" s="74" t="s">
        <v>104</v>
      </c>
    </row>
    <row r="1048567" spans="1:2" x14ac:dyDescent="0.25">
      <c r="A1048567" s="85" t="s">
        <v>154</v>
      </c>
      <c r="B1048567" s="74" t="s">
        <v>104</v>
      </c>
    </row>
    <row r="1048568" spans="1:2" x14ac:dyDescent="0.25">
      <c r="A1048568" s="84" t="s">
        <v>155</v>
      </c>
      <c r="B1048568" s="74">
        <v>46067</v>
      </c>
    </row>
    <row r="1048569" spans="1:2" x14ac:dyDescent="0.25">
      <c r="A1048569" s="85" t="s">
        <v>158</v>
      </c>
      <c r="B1048569" s="74">
        <v>46067</v>
      </c>
    </row>
    <row r="1048570" spans="1:2" x14ac:dyDescent="0.25">
      <c r="A1048570" s="84" t="s">
        <v>159</v>
      </c>
      <c r="B1048570" s="74">
        <v>46047</v>
      </c>
    </row>
    <row r="1048571" spans="1:2" x14ac:dyDescent="0.25">
      <c r="A1048571" s="85" t="s">
        <v>162</v>
      </c>
      <c r="B1048571" s="74">
        <v>46069</v>
      </c>
    </row>
    <row r="1048572" spans="1:2" x14ac:dyDescent="0.25">
      <c r="A1048572" s="84" t="s">
        <v>174</v>
      </c>
      <c r="B1048572" s="74" t="s">
        <v>104</v>
      </c>
    </row>
    <row r="1048573" spans="1:2" x14ac:dyDescent="0.25">
      <c r="A1048573" s="85" t="s">
        <v>175</v>
      </c>
      <c r="B1048573" s="74" t="s">
        <v>104</v>
      </c>
    </row>
    <row r="1048574" spans="1:2" x14ac:dyDescent="0.25">
      <c r="A1048574" s="84" t="s">
        <v>157</v>
      </c>
      <c r="B1048574" s="74" t="s">
        <v>104</v>
      </c>
    </row>
    <row r="1048575" spans="1:2" x14ac:dyDescent="0.25">
      <c r="A1048575" s="85" t="s">
        <v>178</v>
      </c>
      <c r="B1048575" s="74" t="s">
        <v>104</v>
      </c>
    </row>
    <row r="1048576" spans="1:2" x14ac:dyDescent="0.25">
      <c r="A1048576" s="84" t="s">
        <v>179</v>
      </c>
      <c r="B1048576" s="74">
        <v>46048</v>
      </c>
    </row>
  </sheetData>
  <conditionalFormatting sqref="E3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F61B-A10E-469C-AEAE-1FF7C6FAB694}">
  <dimension ref="B2:H8"/>
  <sheetViews>
    <sheetView zoomScale="70" workbookViewId="0">
      <selection activeCell="N5" sqref="N5"/>
    </sheetView>
  </sheetViews>
  <sheetFormatPr defaultColWidth="11.42578125" defaultRowHeight="15" x14ac:dyDescent="0.25"/>
  <cols>
    <col min="2" max="2" width="24" bestFit="1" customWidth="1"/>
    <col min="3" max="3" width="14.5703125" customWidth="1"/>
    <col min="4" max="4" width="52.42578125" style="1" bestFit="1" customWidth="1"/>
    <col min="6" max="6" width="24" bestFit="1" customWidth="1"/>
    <col min="7" max="7" width="14.5703125" bestFit="1" customWidth="1"/>
    <col min="8" max="8" width="21.140625" bestFit="1" customWidth="1"/>
  </cols>
  <sheetData>
    <row r="2" spans="2:8" ht="18.75" x14ac:dyDescent="0.25">
      <c r="B2" s="155" t="s">
        <v>16</v>
      </c>
      <c r="C2" s="155"/>
      <c r="D2" s="155"/>
      <c r="F2" s="155" t="s">
        <v>17</v>
      </c>
      <c r="G2" s="155"/>
      <c r="H2" s="155"/>
    </row>
    <row r="3" spans="2:8" x14ac:dyDescent="0.25">
      <c r="B3" s="76" t="s">
        <v>133</v>
      </c>
      <c r="C3" s="76" t="s">
        <v>134</v>
      </c>
      <c r="D3" s="78" t="s">
        <v>135</v>
      </c>
      <c r="F3" s="76" t="s">
        <v>133</v>
      </c>
      <c r="G3" s="76" t="s">
        <v>134</v>
      </c>
      <c r="H3" s="77" t="s">
        <v>135</v>
      </c>
    </row>
    <row r="4" spans="2:8" ht="75" x14ac:dyDescent="0.25">
      <c r="B4" s="3">
        <v>15</v>
      </c>
      <c r="C4" s="3" t="s">
        <v>131</v>
      </c>
      <c r="D4" s="79" t="s">
        <v>139</v>
      </c>
      <c r="F4" s="3">
        <v>15</v>
      </c>
      <c r="G4" s="3" t="s">
        <v>142</v>
      </c>
      <c r="H4" s="82" t="s">
        <v>144</v>
      </c>
    </row>
    <row r="5" spans="2:8" ht="180" x14ac:dyDescent="0.25">
      <c r="B5" s="3">
        <v>60</v>
      </c>
      <c r="C5" s="3" t="s">
        <v>132</v>
      </c>
      <c r="D5" s="79" t="s">
        <v>138</v>
      </c>
      <c r="F5" s="3">
        <v>15</v>
      </c>
      <c r="G5" s="3" t="s">
        <v>143</v>
      </c>
      <c r="H5" s="82" t="s">
        <v>145</v>
      </c>
    </row>
    <row r="6" spans="2:8" ht="75" x14ac:dyDescent="0.25">
      <c r="B6" s="3">
        <v>45</v>
      </c>
      <c r="C6" s="3" t="s">
        <v>140</v>
      </c>
      <c r="D6" s="79" t="s">
        <v>137</v>
      </c>
    </row>
    <row r="7" spans="2:8" ht="30.75" thickBot="1" x14ac:dyDescent="0.3">
      <c r="B7" s="80">
        <v>15</v>
      </c>
      <c r="C7" s="80" t="s">
        <v>141</v>
      </c>
      <c r="D7" s="81" t="s">
        <v>136</v>
      </c>
    </row>
    <row r="8" spans="2:8" x14ac:dyDescent="0.25">
      <c r="D8" s="75"/>
    </row>
  </sheetData>
  <mergeCells count="2">
    <mergeCell ref="B2:D2"/>
    <mergeCell ref="F2:H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1F2B-8FE0-4529-B4E1-55EC9C5E81B1}">
  <dimension ref="B2:NB9"/>
  <sheetViews>
    <sheetView workbookViewId="0">
      <selection activeCell="F8" sqref="F8"/>
    </sheetView>
  </sheetViews>
  <sheetFormatPr defaultRowHeight="15" x14ac:dyDescent="0.25"/>
  <sheetData>
    <row r="2" spans="2:366" x14ac:dyDescent="0.25">
      <c r="B2" s="156" t="str">
        <f>"Day "&amp;ROUNDDOWN(B3/3,0)+1</f>
        <v>Day 1</v>
      </c>
      <c r="C2" s="156"/>
      <c r="D2" s="156"/>
      <c r="E2" s="156" t="str">
        <f>"Day "&amp;ROUNDDOWN(E3/3,0)+1</f>
        <v>Day 2</v>
      </c>
      <c r="F2" s="156"/>
      <c r="G2" s="156"/>
      <c r="H2" s="156" t="str">
        <f t="shared" ref="H2" si="0">"Day "&amp;ROUNDDOWN(H3/3,0)+1</f>
        <v>Day 3</v>
      </c>
      <c r="I2" s="156"/>
      <c r="J2" s="156"/>
      <c r="K2" s="156" t="str">
        <f t="shared" ref="K2" si="1">"Day "&amp;ROUNDDOWN(K3/3,0)+1</f>
        <v>Day 4</v>
      </c>
      <c r="L2" s="156"/>
      <c r="M2" s="156"/>
      <c r="N2" s="156" t="str">
        <f t="shared" ref="N2" si="2">"Day "&amp;ROUNDDOWN(N3/3,0)+1</f>
        <v>Day 5</v>
      </c>
      <c r="O2" s="156"/>
      <c r="P2" s="156"/>
      <c r="Q2" s="156" t="str">
        <f t="shared" ref="Q2" si="3">"Day "&amp;ROUNDDOWN(Q3/3,0)+1</f>
        <v>Day 6</v>
      </c>
      <c r="R2" s="156"/>
      <c r="S2" s="156"/>
      <c r="T2" s="156" t="str">
        <f t="shared" ref="T2" si="4">"Day "&amp;ROUNDDOWN(T3/3,0)+1</f>
        <v>Day 7</v>
      </c>
      <c r="U2" s="156"/>
      <c r="V2" s="156"/>
      <c r="W2" s="156" t="str">
        <f t="shared" ref="W2" si="5">"Day "&amp;ROUNDDOWN(W3/3,0)+1</f>
        <v>Day 8</v>
      </c>
      <c r="X2" s="156"/>
      <c r="Y2" s="156"/>
      <c r="Z2" s="156" t="str">
        <f t="shared" ref="Z2" si="6">"Day "&amp;ROUNDDOWN(Z3/3,0)+1</f>
        <v>Day 9</v>
      </c>
      <c r="AA2" s="156"/>
      <c r="AB2" s="156"/>
      <c r="AC2" s="156" t="str">
        <f t="shared" ref="AC2" si="7">"Day "&amp;ROUNDDOWN(AC3/3,0)+1</f>
        <v>Day 10</v>
      </c>
      <c r="AD2" s="156"/>
      <c r="AE2" s="156"/>
      <c r="AF2" s="156" t="str">
        <f t="shared" ref="AF2" si="8">"Day "&amp;ROUNDDOWN(AF3/3,0)+1</f>
        <v>Day 11</v>
      </c>
      <c r="AG2" s="156"/>
      <c r="AH2" s="156"/>
      <c r="AI2" s="156" t="str">
        <f t="shared" ref="AI2" si="9">"Day "&amp;ROUNDDOWN(AI3/3,0)+1</f>
        <v>Day 12</v>
      </c>
      <c r="AJ2" s="156"/>
      <c r="AK2" s="156"/>
      <c r="AL2" s="156" t="str">
        <f t="shared" ref="AL2" si="10">"Day "&amp;ROUNDDOWN(AL3/3,0)+1</f>
        <v>Day 13</v>
      </c>
      <c r="AM2" s="156"/>
      <c r="AN2" s="156"/>
      <c r="AO2" s="156" t="str">
        <f t="shared" ref="AO2" si="11">"Day "&amp;ROUNDDOWN(AO3/3,0)+1</f>
        <v>Day 14</v>
      </c>
      <c r="AP2" s="156"/>
      <c r="AQ2" s="156"/>
      <c r="AR2" s="156" t="str">
        <f t="shared" ref="AR2" si="12">"Day "&amp;ROUNDDOWN(AR3/3,0)+1</f>
        <v>Day 15</v>
      </c>
      <c r="AS2" s="156"/>
      <c r="AT2" s="156"/>
      <c r="AU2" s="156" t="str">
        <f t="shared" ref="AU2" si="13">"Day "&amp;ROUNDDOWN(AU3/3,0)+1</f>
        <v>Day 16</v>
      </c>
      <c r="AV2" s="156"/>
      <c r="AW2" s="156"/>
      <c r="AX2" s="156" t="str">
        <f t="shared" ref="AX2" si="14">"Day "&amp;ROUNDDOWN(AX3/3,0)+1</f>
        <v>Day 17</v>
      </c>
      <c r="AY2" s="156"/>
      <c r="AZ2" s="156"/>
      <c r="BA2" s="156" t="str">
        <f t="shared" ref="BA2" si="15">"Day "&amp;ROUNDDOWN(BA3/3,0)+1</f>
        <v>Day 18</v>
      </c>
      <c r="BB2" s="156"/>
      <c r="BC2" s="156"/>
      <c r="BD2" s="156" t="str">
        <f>"Day "&amp;ROUNDDOWN(BD3/3,0)+1</f>
        <v>Day 19</v>
      </c>
      <c r="BE2" s="156"/>
      <c r="BF2" s="156"/>
      <c r="BG2" s="156" t="str">
        <f>"Day "&amp;ROUNDDOWN(BG3/3,0)+1</f>
        <v>Day 20</v>
      </c>
      <c r="BH2" s="156"/>
      <c r="BI2" s="156"/>
      <c r="BJ2" s="156" t="str">
        <f t="shared" ref="BJ2" si="16">"Day "&amp;ROUNDDOWN(BJ3/3,0)+1</f>
        <v>Day 21</v>
      </c>
      <c r="BK2" s="156"/>
      <c r="BL2" s="156"/>
      <c r="BM2" s="156" t="str">
        <f t="shared" ref="BM2" si="17">"Day "&amp;ROUNDDOWN(BM3/3,0)+1</f>
        <v>Day 22</v>
      </c>
      <c r="BN2" s="156"/>
      <c r="BO2" s="156"/>
      <c r="BP2" s="156" t="str">
        <f t="shared" ref="BP2" si="18">"Day "&amp;ROUNDDOWN(BP3/3,0)+1</f>
        <v>Day 23</v>
      </c>
      <c r="BQ2" s="156"/>
      <c r="BR2" s="156"/>
      <c r="BS2" s="156" t="str">
        <f t="shared" ref="BS2" si="19">"Day "&amp;ROUNDDOWN(BS3/3,0)+1</f>
        <v>Day 24</v>
      </c>
      <c r="BT2" s="156"/>
      <c r="BU2" s="156"/>
      <c r="BV2" s="156" t="str">
        <f t="shared" ref="BV2" si="20">"Day "&amp;ROUNDDOWN(BV3/3,0)+1</f>
        <v>Day 25</v>
      </c>
      <c r="BW2" s="156"/>
      <c r="BX2" s="156"/>
      <c r="BY2" s="156" t="str">
        <f t="shared" ref="BY2" si="21">"Day "&amp;ROUNDDOWN(BY3/3,0)+1</f>
        <v>Day 26</v>
      </c>
      <c r="BZ2" s="156"/>
      <c r="CA2" s="156"/>
      <c r="CB2" s="156" t="str">
        <f t="shared" ref="CB2" si="22">"Day "&amp;ROUNDDOWN(CB3/3,0)+1</f>
        <v>Day 27</v>
      </c>
      <c r="CC2" s="156"/>
      <c r="CD2" s="156"/>
      <c r="CE2" s="156" t="str">
        <f t="shared" ref="CE2" si="23">"Day "&amp;ROUNDDOWN(CE3/3,0)+1</f>
        <v>Day 28</v>
      </c>
      <c r="CF2" s="156"/>
      <c r="CG2" s="156"/>
      <c r="CH2" s="156" t="str">
        <f t="shared" ref="CH2" si="24">"Day "&amp;ROUNDDOWN(CH3/3,0)+1</f>
        <v>Day 29</v>
      </c>
      <c r="CI2" s="156"/>
      <c r="CJ2" s="156"/>
      <c r="CK2" s="156" t="str">
        <f t="shared" ref="CK2" si="25">"Day "&amp;ROUNDDOWN(CK3/3,0)+1</f>
        <v>Day 30</v>
      </c>
      <c r="CL2" s="156"/>
      <c r="CM2" s="156"/>
      <c r="CN2" s="156" t="str">
        <f t="shared" ref="CN2" si="26">"Day "&amp;ROUNDDOWN(CN3/3,0)+1</f>
        <v>Day 31</v>
      </c>
      <c r="CO2" s="156"/>
      <c r="CP2" s="156"/>
      <c r="CQ2" s="156" t="str">
        <f t="shared" ref="CQ2" si="27">"Day "&amp;ROUNDDOWN(CQ3/3,0)+1</f>
        <v>Day 32</v>
      </c>
      <c r="CR2" s="156"/>
      <c r="CS2" s="156"/>
      <c r="CT2" s="156" t="str">
        <f t="shared" ref="CT2" si="28">"Day "&amp;ROUNDDOWN(CT3/3,0)+1</f>
        <v>Day 33</v>
      </c>
      <c r="CU2" s="156"/>
      <c r="CV2" s="156"/>
      <c r="CW2" s="156" t="str">
        <f t="shared" ref="CW2" si="29">"Day "&amp;ROUNDDOWN(CW3/3,0)+1</f>
        <v>Day 34</v>
      </c>
      <c r="CX2" s="156"/>
      <c r="CY2" s="156"/>
      <c r="CZ2" s="156" t="str">
        <f t="shared" ref="CZ2" si="30">"Day "&amp;ROUNDDOWN(CZ3/3,0)+1</f>
        <v>Day 35</v>
      </c>
      <c r="DA2" s="156"/>
      <c r="DB2" s="156"/>
      <c r="DC2" s="156" t="str">
        <f t="shared" ref="DC2" si="31">"Day "&amp;ROUNDDOWN(DC3/3,0)+1</f>
        <v>Day 36</v>
      </c>
      <c r="DD2" s="156"/>
      <c r="DE2" s="156"/>
      <c r="DF2" s="140"/>
      <c r="DG2" s="140"/>
      <c r="DH2" s="140"/>
      <c r="DI2" s="140"/>
      <c r="DJ2" s="140"/>
      <c r="DK2" s="140"/>
      <c r="DL2" s="140"/>
      <c r="DM2" s="140"/>
      <c r="DN2" s="140"/>
      <c r="DO2" s="140"/>
      <c r="DP2" s="140"/>
      <c r="DQ2" s="140"/>
      <c r="DR2" s="140"/>
      <c r="DS2" s="140"/>
      <c r="DT2" s="140"/>
      <c r="DU2" s="140"/>
      <c r="DV2" s="140"/>
      <c r="DW2" s="140"/>
      <c r="DX2" s="140"/>
      <c r="DY2" s="140"/>
      <c r="DZ2" s="140"/>
      <c r="EA2" s="140"/>
      <c r="EB2" s="140"/>
      <c r="EC2" s="140"/>
      <c r="ED2" s="140"/>
      <c r="EE2" s="140"/>
      <c r="EF2" s="140"/>
      <c r="EG2" s="140"/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0"/>
      <c r="FI2" s="140"/>
      <c r="FJ2" s="140"/>
      <c r="FK2" s="140"/>
      <c r="FL2" s="140"/>
      <c r="FM2" s="140"/>
      <c r="FN2" s="140"/>
      <c r="FO2" s="140"/>
      <c r="FP2" s="140"/>
      <c r="FQ2" s="140"/>
      <c r="FR2" s="156"/>
      <c r="FS2" s="156"/>
      <c r="FT2" s="156"/>
      <c r="FU2" s="156"/>
      <c r="FV2" s="156"/>
      <c r="FW2" s="156"/>
    </row>
    <row r="3" spans="2:366" ht="23.25" hidden="1" customHeight="1" x14ac:dyDescent="0.25">
      <c r="B3" s="140" cm="1">
        <f t="array" ref="B3:NB3">_xlfn.SEQUENCE(,365)</f>
        <v>1</v>
      </c>
      <c r="C3" s="140">
        <v>2</v>
      </c>
      <c r="D3" s="140">
        <v>3</v>
      </c>
      <c r="E3" s="140">
        <v>4</v>
      </c>
      <c r="F3" s="140">
        <v>5</v>
      </c>
      <c r="G3" s="140">
        <v>6</v>
      </c>
      <c r="H3" s="140">
        <v>7</v>
      </c>
      <c r="I3" s="140">
        <v>8</v>
      </c>
      <c r="J3" s="140">
        <v>9</v>
      </c>
      <c r="K3" s="140">
        <v>10</v>
      </c>
      <c r="L3" s="140">
        <v>11</v>
      </c>
      <c r="M3" s="140">
        <v>12</v>
      </c>
      <c r="N3" s="140">
        <v>13</v>
      </c>
      <c r="O3" s="140">
        <v>14</v>
      </c>
      <c r="P3" s="140">
        <v>15</v>
      </c>
      <c r="Q3" s="140">
        <v>16</v>
      </c>
      <c r="R3" s="140">
        <v>17</v>
      </c>
      <c r="S3" s="140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</row>
    <row r="4" spans="2:366" x14ac:dyDescent="0.25">
      <c r="B4" t="s">
        <v>234</v>
      </c>
      <c r="C4" t="s">
        <v>235</v>
      </c>
      <c r="D4" t="s">
        <v>236</v>
      </c>
      <c r="E4" t="s">
        <v>234</v>
      </c>
      <c r="F4" t="s">
        <v>235</v>
      </c>
      <c r="G4" t="s">
        <v>236</v>
      </c>
      <c r="H4" t="s">
        <v>234</v>
      </c>
      <c r="I4" t="s">
        <v>235</v>
      </c>
      <c r="J4" t="s">
        <v>236</v>
      </c>
      <c r="K4" t="s">
        <v>234</v>
      </c>
      <c r="L4" t="s">
        <v>235</v>
      </c>
      <c r="M4" t="s">
        <v>236</v>
      </c>
    </row>
    <row r="5" spans="2:366" x14ac:dyDescent="0.25">
      <c r="B5">
        <v>1</v>
      </c>
      <c r="C5">
        <v>30</v>
      </c>
      <c r="D5">
        <v>25</v>
      </c>
    </row>
    <row r="6" spans="2:366" x14ac:dyDescent="0.25">
      <c r="B6">
        <v>2</v>
      </c>
      <c r="C6">
        <v>30</v>
      </c>
      <c r="D6">
        <v>25</v>
      </c>
    </row>
    <row r="7" spans="2:366" x14ac:dyDescent="0.25">
      <c r="B7">
        <v>3</v>
      </c>
    </row>
    <row r="8" spans="2:366" x14ac:dyDescent="0.25">
      <c r="B8">
        <v>4</v>
      </c>
    </row>
    <row r="9" spans="2:366" x14ac:dyDescent="0.25">
      <c r="B9">
        <v>5</v>
      </c>
    </row>
  </sheetData>
  <mergeCells count="38">
    <mergeCell ref="CH2:CJ2"/>
    <mergeCell ref="CK2:CM2"/>
    <mergeCell ref="CN2:CP2"/>
    <mergeCell ref="CQ2:CS2"/>
    <mergeCell ref="AO2:AQ2"/>
    <mergeCell ref="AR2:AT2"/>
    <mergeCell ref="AU2:AW2"/>
    <mergeCell ref="AX2:AZ2"/>
    <mergeCell ref="BJ2:BL2"/>
    <mergeCell ref="FU2:FW2"/>
    <mergeCell ref="FR2:FT2"/>
    <mergeCell ref="BA2:BC2"/>
    <mergeCell ref="BD2:BF2"/>
    <mergeCell ref="BG2:BI2"/>
    <mergeCell ref="BY2:CA2"/>
    <mergeCell ref="BM2:BO2"/>
    <mergeCell ref="BP2:BR2"/>
    <mergeCell ref="BS2:BU2"/>
    <mergeCell ref="BV2:BX2"/>
    <mergeCell ref="CT2:CV2"/>
    <mergeCell ref="CW2:CY2"/>
    <mergeCell ref="CZ2:DB2"/>
    <mergeCell ref="DC2:DE2"/>
    <mergeCell ref="CB2:CD2"/>
    <mergeCell ref="CE2:CG2"/>
    <mergeCell ref="AL2:AN2"/>
    <mergeCell ref="T2:V2"/>
    <mergeCell ref="B2:D2"/>
    <mergeCell ref="E2:G2"/>
    <mergeCell ref="H2:J2"/>
    <mergeCell ref="K2:M2"/>
    <mergeCell ref="N2:P2"/>
    <mergeCell ref="Q2:S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Board</vt:lpstr>
      <vt:lpstr>Detailed Planning</vt:lpstr>
      <vt:lpstr>Schedule</vt:lpstr>
      <vt:lpstr>Logbook</vt:lpstr>
      <vt:lpstr>To-Do List</vt:lpstr>
      <vt:lpstr>Recurrent Tasks Tracker</vt:lpstr>
      <vt:lpstr>Calisthenics Routine</vt:lpstr>
      <vt:lpstr>Vocabulary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 Lozano Barrero</cp:lastModifiedBy>
  <dcterms:created xsi:type="dcterms:W3CDTF">2015-06-05T18:19:34Z</dcterms:created>
  <dcterms:modified xsi:type="dcterms:W3CDTF">2026-04-25T22:18:29Z</dcterms:modified>
</cp:coreProperties>
</file>