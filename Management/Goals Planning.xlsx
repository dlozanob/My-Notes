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lozanobarrerod\Documents\My-Notes\Management\"/>
    </mc:Choice>
  </mc:AlternateContent>
  <xr:revisionPtr revIDLastSave="0" documentId="13_ncr:1_{9FA6987D-9BBB-4196-91B7-1A0C3B97A4C4}" xr6:coauthVersionLast="47" xr6:coauthVersionMax="47" xr10:uidLastSave="{00000000-0000-0000-0000-000000000000}"/>
  <bookViews>
    <workbookView xWindow="-108" yWindow="-108" windowWidth="23256" windowHeight="13896" activeTab="3" xr2:uid="{00000000-000D-0000-FFFF-FFFF00000000}"/>
  </bookViews>
  <sheets>
    <sheet name="Vision Board" sheetId="4" r:id="rId1"/>
    <sheet name="Detailed Planning" sheetId="3" r:id="rId2"/>
    <sheet name="Schedule" sheetId="2" r:id="rId3"/>
    <sheet name="Logbook" sheetId="1" r:id="rId4"/>
    <sheet name="To-Do List" sheetId="5" r:id="rId5"/>
    <sheet name="Recurrent Tasks Tracker" sheetId="7" r:id="rId6"/>
    <sheet name="Calisthenics Routine" sheetId="6" r:id="rId7"/>
    <sheet name="Vocabulary Tracker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5" l="1"/>
  <c r="F6" i="5"/>
  <c r="E14" i="7"/>
  <c r="E13" i="7"/>
  <c r="E7" i="7" l="1"/>
  <c r="D7" i="7"/>
  <c r="D16" i="7"/>
  <c r="D13" i="7"/>
  <c r="D14" i="7"/>
  <c r="D10" i="7"/>
  <c r="D17" i="7"/>
  <c r="D15" i="7"/>
  <c r="D12" i="7"/>
  <c r="D11" i="7"/>
  <c r="D9" i="7"/>
  <c r="D8" i="7"/>
  <c r="D6" i="7"/>
  <c r="D5" i="7"/>
  <c r="D4" i="7"/>
  <c r="D3" i="7"/>
  <c r="E11" i="7"/>
  <c r="DC2" i="8"/>
  <c r="CZ2" i="8"/>
  <c r="CW2" i="8"/>
  <c r="CT2" i="8"/>
  <c r="CQ2" i="8"/>
  <c r="CN2" i="8"/>
  <c r="CK2" i="8"/>
  <c r="CH2" i="8"/>
  <c r="CE2" i="8"/>
  <c r="CB2" i="8"/>
  <c r="BY2" i="8"/>
  <c r="BV2" i="8"/>
  <c r="BS2" i="8"/>
  <c r="BP2" i="8"/>
  <c r="BM2" i="8"/>
  <c r="BJ2" i="8"/>
  <c r="BG2" i="8"/>
  <c r="BD2" i="8"/>
  <c r="Q2" i="8"/>
  <c r="T2" i="8"/>
  <c r="W2" i="8"/>
  <c r="Z2" i="8"/>
  <c r="AC2" i="8"/>
  <c r="AF2" i="8"/>
  <c r="AI2" i="8"/>
  <c r="AL2" i="8"/>
  <c r="AO2" i="8"/>
  <c r="AR2" i="8"/>
  <c r="AU2" i="8"/>
  <c r="AX2" i="8"/>
  <c r="BA2" i="8"/>
  <c r="N2" i="8"/>
  <c r="E2" i="8"/>
  <c r="H2" i="8"/>
  <c r="K2" i="8"/>
  <c r="B3" i="8" a="1"/>
  <c r="B3" i="8" s="1"/>
  <c r="B2" i="8" s="1"/>
  <c r="DD2" i="1"/>
  <c r="E36" i="3"/>
  <c r="E37" i="3"/>
  <c r="E38" i="3"/>
  <c r="E39" i="3"/>
  <c r="E40" i="3"/>
  <c r="E35" i="3"/>
  <c r="E42" i="3"/>
  <c r="E41" i="3"/>
  <c r="E57" i="3"/>
  <c r="E58" i="3"/>
  <c r="E59" i="3"/>
  <c r="E60" i="3"/>
  <c r="E61" i="3"/>
  <c r="E56" i="3"/>
  <c r="E54" i="3"/>
  <c r="E53" i="3"/>
  <c r="E50" i="3"/>
  <c r="E51" i="3"/>
  <c r="E52" i="3"/>
  <c r="E49" i="3"/>
  <c r="E27" i="3"/>
  <c r="E28" i="3"/>
  <c r="E29" i="3"/>
  <c r="E30" i="3"/>
  <c r="E31" i="3"/>
  <c r="E32" i="3"/>
  <c r="E33" i="3"/>
  <c r="E34" i="3"/>
  <c r="E43" i="3"/>
  <c r="E44" i="3"/>
  <c r="E45" i="3"/>
  <c r="E46" i="3"/>
  <c r="E47" i="3"/>
  <c r="E26" i="3"/>
  <c r="E23" i="3"/>
  <c r="E24" i="3"/>
  <c r="E22" i="3"/>
  <c r="E13" i="3"/>
  <c r="E14" i="3"/>
  <c r="E15" i="3"/>
  <c r="E12" i="3"/>
  <c r="E18" i="3"/>
  <c r="E19" i="3"/>
  <c r="E20" i="3"/>
  <c r="E17" i="3"/>
  <c r="I25" i="2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E5" i="7"/>
  <c r="E6" i="7"/>
  <c r="E15" i="7"/>
  <c r="J23" i="2" l="1"/>
  <c r="K23" i="2" s="1"/>
  <c r="E12" i="7" l="1"/>
  <c r="E10" i="7"/>
  <c r="E17" i="7"/>
  <c r="E9" i="7"/>
  <c r="E8" i="7"/>
  <c r="E4" i="7"/>
  <c r="E3" i="7"/>
  <c r="E16" i="7"/>
  <c r="I24" i="2" l="1"/>
  <c r="E28" i="2"/>
  <c r="F16" i="5"/>
  <c r="F8" i="5"/>
  <c r="F4" i="5"/>
  <c r="F20" i="5"/>
  <c r="F19" i="5"/>
  <c r="F18" i="5"/>
  <c r="F17" i="5"/>
  <c r="F15" i="5"/>
  <c r="F14" i="5"/>
  <c r="F13" i="5"/>
  <c r="F11" i="5"/>
  <c r="F22" i="5"/>
  <c r="F24" i="5"/>
  <c r="F9" i="5"/>
  <c r="F23" i="5"/>
  <c r="F10" i="5"/>
  <c r="F12" i="5"/>
  <c r="F3" i="5"/>
  <c r="F21" i="5"/>
  <c r="F7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J28" i="2" l="1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J21" i="2" l="1"/>
  <c r="K21" i="2" s="1"/>
  <c r="C4" i="1"/>
  <c r="C2" i="1" s="1"/>
  <c r="GC2" i="1"/>
  <c r="FV2" i="1"/>
  <c r="KY2" i="1"/>
  <c r="DK2" i="1"/>
  <c r="KR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K26" i="2" s="1"/>
  <c r="J22" i="2"/>
  <c r="K22" i="2" s="1"/>
  <c r="H5" i="3" l="1"/>
  <c r="I5" i="3"/>
  <c r="K27" i="2"/>
  <c r="H7" i="3"/>
  <c r="I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<sst xmlns="http://schemas.openxmlformats.org/spreadsheetml/2006/main" count="979" uniqueCount="239">
  <si>
    <t>German</t>
  </si>
  <si>
    <t>French</t>
  </si>
  <si>
    <t>Gym</t>
  </si>
  <si>
    <t>Calisthenics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</si>
  <si>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</si>
  <si>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</si>
  <si>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</si>
  <si>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</si>
  <si>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</si>
  <si>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</si>
  <si>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</si>
  <si>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</si>
  <si>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</si>
  <si>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</si>
  <si>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</si>
  <si>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</si>
  <si>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</si>
  <si>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</si>
  <si>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</si>
  <si>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</si>
  <si>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</si>
  <si>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</si>
  <si>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</si>
  <si>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</si>
  <si>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</si>
  <si>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</si>
  <si>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</si>
  <si>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</si>
  <si>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</si>
  <si>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</si>
  <si>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</si>
  <si>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</si>
  <si>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</si>
  <si>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</si>
  <si>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</si>
  <si>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</si>
  <si>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</si>
  <si>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</si>
  <si>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</si>
  <si>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</si>
  <si>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</si>
  <si>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</si>
  <si>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</si>
  <si>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</si>
  <si>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</si>
  <si>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</si>
  <si>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</si>
  <si>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</si>
  <si>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</si>
  <si>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</si>
  <si>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</si>
  <si>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</si>
  <si>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</si>
  <si>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</si>
  <si>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</si>
  <si>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</si>
  <si>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</si>
  <si>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</si>
  <si>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</si>
  <si>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</si>
  <si>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</si>
  <si>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</si>
  <si>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</si>
  <si>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</si>
  <si>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</si>
  <si>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</si>
  <si>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</si>
  <si>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</si>
  <si>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</si>
  <si>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</si>
  <si>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</si>
  <si>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</si>
  <si>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</si>
  <si>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</si>
  <si>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</si>
  <si>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</si>
  <si>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</si>
  <si>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</si>
  <si>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</si>
  <si>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</si>
  <si>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</si>
  <si>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</si>
  <si>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</si>
  <si>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</si>
  <si>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</si>
  <si>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</si>
  <si>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</si>
  <si>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Goethe-Zertifikat-C1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</si>
  <si>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</si>
  <si>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</si>
  <si>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</si>
  <si>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</si>
  <si>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</si>
  <si>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</si>
  <si>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</si>
  <si>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</si>
  <si>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</si>
  <si>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</si>
  <si>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</si>
  <si>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</si>
  <si>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</si>
  <si>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</si>
  <si>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</si>
  <si>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</si>
  <si>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</si>
  <si>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</si>
  <si>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</si>
  <si>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</si>
  <si>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</si>
  <si>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</si>
  <si>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</si>
  <si>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</si>
  <si>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</si>
  <si>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Certificado de Antigüedad Colmédica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</si>
  <si>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</si>
  <si>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</si>
  <si>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</si>
  <si>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</si>
  <si>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Pegboard</t>
  </si>
  <si>
    <t>Redesign CVs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</si>
  <si>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</si>
  <si>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</si>
  <si>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</si>
  <si>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</si>
  <si>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</si>
  <si>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</si>
  <si>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</si>
  <si>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</si>
  <si>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</si>
  <si>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</si>
  <si>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</si>
  <si>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</si>
  <si>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</si>
  <si>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</si>
  <si>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</si>
  <si>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</si>
  <si>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</si>
  <si>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</si>
  <si>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</si>
  <si>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</si>
  <si>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</si>
  <si>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</si>
  <si>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</si>
  <si>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</si>
  <si>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</si>
  <si>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</si>
  <si>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</si>
  <si>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</si>
  <si>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</si>
  <si>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</si>
  <si>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</si>
  <si>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</si>
  <si>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</si>
  <si>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</si>
  <si>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</si>
  <si>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</si>
  <si>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</si>
  <si>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</si>
  <si>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</si>
  <si>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</si>
  <si>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</si>
  <si>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</si>
  <si>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</si>
  <si>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</si>
  <si>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</si>
  <si>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</si>
  <si>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</si>
  <si>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</si>
  <si>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</si>
  <si>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</si>
  <si>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</si>
  <si>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</si>
  <si>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</si>
  <si>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</si>
  <si>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</si>
  <si>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</si>
  <si>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</si>
  <si>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</si>
  <si>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</si>
  <si>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</si>
  <si>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</si>
  <si>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21 days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</si>
  <si>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</si>
  <si>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</si>
  <si>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</si>
  <si>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</si>
  <si>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</si>
  <si>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</si>
  <si>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</si>
  <si>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</si>
  <si>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</si>
  <si>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</si>
  <si>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</si>
  <si>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</si>
  <si>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</si>
  <si>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</si>
  <si>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</si>
  <si>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</si>
  <si>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</si>
  <si>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</si>
  <si>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</si>
  <si>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</si>
  <si>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</si>
  <si>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</si>
  <si>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</si>
  <si>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</si>
  <si>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</si>
  <si>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</si>
  <si>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</si>
  <si>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</si>
  <si>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</si>
  <si>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</si>
  <si>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</si>
  <si>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</si>
  <si>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</si>
  <si>
    <t>Activity</t>
  </si>
  <si>
    <t>Initial Date</t>
  </si>
  <si>
    <t>Final Date</t>
  </si>
  <si>
    <t>Duration (days)</t>
  </si>
  <si>
    <t>Deutsch B2</t>
  </si>
  <si>
    <t>Kapitel 1</t>
  </si>
  <si>
    <t>Kapitel 2</t>
  </si>
  <si>
    <t>Kapitel 3</t>
  </si>
  <si>
    <t>Kapitel 4</t>
  </si>
  <si>
    <t>Kapitel 5</t>
  </si>
  <si>
    <t>Kapitel 6</t>
  </si>
  <si>
    <t>Kapitel 7</t>
  </si>
  <si>
    <t>Kapitel 8</t>
  </si>
  <si>
    <t>Test Simulation 1</t>
  </si>
  <si>
    <t>Test Simulation 2</t>
  </si>
  <si>
    <t>Wortschatzbuch</t>
  </si>
  <si>
    <t>5th of the month</t>
  </si>
  <si>
    <t>GYM / CALISTHENICS</t>
  </si>
  <si>
    <t>Session</t>
  </si>
  <si>
    <t>Cards</t>
  </si>
  <si>
    <t>Time</t>
  </si>
  <si>
    <t>Previous Check</t>
  </si>
  <si>
    <t>23th of the month</t>
  </si>
  <si>
    <t>- Goethe-Zertifikat-C1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</si>
</sst>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7CE"/>
      </patternFill>
    </fill>
    <fill>
      <patternFill patternType="solid">
        <fgColor rgb="FF00B050"/>
        <bgColor indexed="64"/>
      </patternFill>
    </fill>
    <fill>
      <patternFill patternType="solid">
        <fgColor rgb="FFFFEB9C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  <xf numFmtId="0" fontId="11" fillId="17" borderId="0" applyNumberFormat="0" applyBorder="0" applyAlignment="0" applyProtection="0"/>
    <xf numFmtId="0" fontId="13" fillId="19" borderId="0" applyNumberFormat="0" applyBorder="0" applyAlignment="0" applyProtection="0"/>
  </cellStyleXfs>
  <cellXfs count="160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0" fontId="7" fillId="11" borderId="1" xfId="1" applyBorder="1"/>
    <xf numFmtId="2" fontId="0" fillId="0" borderId="0" xfId="0" applyNumberFormat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ill="1" applyBorder="1"/>
    <xf numFmtId="0" fontId="0" fillId="0" borderId="47" xfId="0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0" fillId="10" borderId="0" xfId="0" applyFill="1"/>
    <xf numFmtId="0" fontId="7" fillId="11" borderId="20" xfId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16" fontId="7" fillId="11" borderId="1" xfId="1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" fontId="7" fillId="11" borderId="20" xfId="1" applyNumberFormat="1" applyBorder="1" applyAlignment="1">
      <alignment horizontal="center" vertical="center"/>
    </xf>
    <xf numFmtId="16" fontId="9" fillId="16" borderId="1" xfId="2" applyNumberFormat="1" applyFont="1" applyFill="1" applyBorder="1" applyAlignment="1">
      <alignment horizontal="center" vertical="center"/>
    </xf>
    <xf numFmtId="1" fontId="9" fillId="16" borderId="1" xfId="2" applyNumberFormat="1" applyFont="1" applyFill="1" applyBorder="1" applyAlignment="1">
      <alignment horizontal="center" vertical="center"/>
    </xf>
    <xf numFmtId="1" fontId="7" fillId="11" borderId="1" xfId="1" applyNumberFormat="1" applyBorder="1" applyAlignment="1">
      <alignment horizontal="center" vertical="center"/>
    </xf>
    <xf numFmtId="16" fontId="11" fillId="17" borderId="1" xfId="3" applyNumberFormat="1" applyBorder="1" applyAlignment="1">
      <alignment horizontal="center" vertical="center"/>
    </xf>
    <xf numFmtId="1" fontId="11" fillId="17" borderId="1" xfId="3" applyNumberFormat="1" applyBorder="1" applyAlignment="1">
      <alignment horizontal="center" vertical="center"/>
    </xf>
    <xf numFmtId="0" fontId="9" fillId="16" borderId="1" xfId="2" applyFont="1" applyFill="1" applyBorder="1" applyAlignment="1">
      <alignment horizontal="center" vertical="center"/>
    </xf>
    <xf numFmtId="1" fontId="9" fillId="16" borderId="1" xfId="0" applyNumberFormat="1" applyFont="1" applyFill="1" applyBorder="1" applyAlignment="1">
      <alignment horizontal="center" vertical="center"/>
    </xf>
    <xf numFmtId="0" fontId="7" fillId="11" borderId="1" xfId="1" applyBorder="1" applyAlignment="1">
      <alignment horizontal="center" vertical="center"/>
    </xf>
    <xf numFmtId="0" fontId="11" fillId="17" borderId="1" xfId="3" applyBorder="1" applyAlignment="1">
      <alignment horizontal="center" vertical="center"/>
    </xf>
    <xf numFmtId="0" fontId="7" fillId="11" borderId="20" xfId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" fontId="0" fillId="0" borderId="8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" fontId="0" fillId="0" borderId="5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9" fillId="16" borderId="8" xfId="2" applyFont="1" applyFill="1" applyBorder="1" applyAlignment="1">
      <alignment horizontal="center" vertical="center"/>
    </xf>
    <xf numFmtId="16" fontId="9" fillId="16" borderId="8" xfId="2" applyNumberFormat="1" applyFont="1" applyFill="1" applyBorder="1" applyAlignment="1">
      <alignment horizontal="center" vertical="center"/>
    </xf>
    <xf numFmtId="1" fontId="9" fillId="16" borderId="8" xfId="0" applyNumberFormat="1" applyFont="1" applyFill="1" applyBorder="1" applyAlignment="1">
      <alignment horizontal="center" vertical="center"/>
    </xf>
    <xf numFmtId="0" fontId="7" fillId="11" borderId="8" xfId="1" applyBorder="1" applyAlignment="1">
      <alignment horizontal="center" vertical="center"/>
    </xf>
    <xf numFmtId="16" fontId="7" fillId="11" borderId="8" xfId="1" applyNumberFormat="1" applyBorder="1" applyAlignment="1">
      <alignment horizontal="center" vertical="center"/>
    </xf>
    <xf numFmtId="1" fontId="7" fillId="11" borderId="20" xfId="1" applyNumberFormat="1" applyBorder="1" applyAlignment="1">
      <alignment horizontal="center" vertical="center"/>
    </xf>
    <xf numFmtId="0" fontId="0" fillId="0" borderId="0" xfId="0" applyAlignment="1">
      <alignment horizontal="center"/>
    </xf>
    <xf numFmtId="49" fontId="7" fillId="11" borderId="30" xfId="1" applyNumberFormat="1" applyBorder="1" applyAlignment="1">
      <alignment horizontal="center" vertical="center"/>
    </xf>
    <xf numFmtId="49" fontId="7" fillId="11" borderId="0" xfId="1" applyNumberFormat="1"/>
    <xf numFmtId="0" fontId="5" fillId="0" borderId="1" xfId="0" applyFont="1" applyBorder="1" applyAlignment="1">
      <alignment horizontal="center" vertical="center"/>
    </xf>
    <xf numFmtId="1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7" fillId="11" borderId="5" xfId="1" applyBorder="1" applyAlignment="1">
      <alignment horizontal="center" vertical="center"/>
    </xf>
    <xf numFmtId="16" fontId="7" fillId="11" borderId="5" xfId="1" applyNumberFormat="1" applyBorder="1" applyAlignment="1">
      <alignment horizontal="center" vertical="center"/>
    </xf>
    <xf numFmtId="1" fontId="7" fillId="11" borderId="5" xfId="1" applyNumberFormat="1" applyBorder="1" applyAlignment="1">
      <alignment horizontal="center" vertical="center"/>
    </xf>
    <xf numFmtId="0" fontId="13" fillId="19" borderId="5" xfId="4" applyBorder="1" applyAlignment="1">
      <alignment horizontal="center" vertical="center"/>
    </xf>
    <xf numFmtId="16" fontId="13" fillId="19" borderId="5" xfId="4" applyNumberFormat="1" applyBorder="1" applyAlignment="1">
      <alignment horizontal="center" vertical="center"/>
    </xf>
    <xf numFmtId="1" fontId="13" fillId="19" borderId="5" xfId="4" applyNumberFormat="1" applyBorder="1" applyAlignment="1">
      <alignment horizontal="center" vertical="center"/>
    </xf>
    <xf numFmtId="0" fontId="4" fillId="10" borderId="49" xfId="0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8" fillId="10" borderId="0" xfId="0" applyFont="1" applyFill="1" applyAlignment="1">
      <alignment horizontal="center" vertical="center"/>
    </xf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 textRotation="90"/>
    </xf>
    <xf numFmtId="0" fontId="8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5">
    <cellStyle name="Bad" xfId="3" builtinId="27"/>
    <cellStyle name="Check Cell" xfId="2" builtinId="23"/>
    <cellStyle name="Good" xfId="1" builtinId="26"/>
    <cellStyle name="Neutral" xfId="4" builtinId="28"/>
    <cellStyle name="Normal" xfId="0" builtinId="0"/>
  </cellStyles>
  <dxfs count="48"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4" formatCode="[$-F800]dddd\,\ mmmm\ dd\,\ yyyy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47" headerRowBorderDxfId="46" tableBorderDxfId="45" totalsRowBorderDxfId="44">
  <autoFilter ref="B4:K7" xr:uid="{A0D32330-27B6-422A-9D1F-1FC5BAE5E4DB}"/>
  <tableColumns count="10">
    <tableColumn id="1" xr3:uid="{19F98066-679F-4EEC-9A8C-22860A587D58}" name="Language" dataDxfId="43"/>
    <tableColumn id="2" xr3:uid="{9BE73F99-3CBD-49DC-86AA-136DA5596E56}" name="Current Level" dataDxfId="42"/>
    <tableColumn id="3" xr3:uid="{D1CA6F26-E592-4F65-8835-ED17E93DB151}" name="Objective" dataDxfId="41"/>
    <tableColumn id="4" xr3:uid="{F859D955-4AE2-43E1-84D7-DDB739CAE75B}" name="Daily Intensity [h]" dataDxfId="40"/>
    <tableColumn id="5" xr3:uid="{D6D3DADB-90B1-49DA-9D0F-69E54089656D}" name="Estimated Time (Best) [months]" dataDxfId="39" dataCellStyle="Good"/>
    <tableColumn id="6" xr3:uid="{7BF26971-99B7-4341-9936-055654ADE3C7}" name="Estimated Time (Expected) [months]" dataDxfId="38" dataCellStyle="Good"/>
    <tableColumn id="7" xr3:uid="{2E85D0AD-3119-4874-89FE-74923BCA0E5B}" name="Actual Average Daily Intensity [h]" dataDxfId="37" dataCellStyle="Good"/>
    <tableColumn id="8" xr3:uid="{2E862DF0-5B48-469F-9CE4-BDBEF11C9796}" name="Actual Weekly Intensity [h]" dataDxfId="36" dataCellStyle="Good"/>
    <tableColumn id="9" xr3:uid="{E007EA51-E3B8-4B5E-B04D-776D525232C7}" name="Termination Date (Best)" dataDxfId="35" dataCellStyle="Good">
      <calculatedColumnFormula>EDATE(Logbook!$C$3,'Detailed Planning'!F5)</calculatedColumnFormula>
    </tableColumn>
    <tableColumn id="10" xr3:uid="{71F0CAF6-D6C3-43DE-A41C-85D4DA3C78E2}" name="Termination Date (Expected)" dataDxfId="34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G11:I13" totalsRowShown="0" headerRowDxfId="33">
  <autoFilter ref="G11:I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3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4" totalsRowShown="0" headerRowDxfId="31" dataDxfId="30">
  <autoFilter ref="B2:G24" xr:uid="{6D30F8FA-BB4E-4693-A0C5-CD0454701FBA}"/>
  <sortState xmlns:xlrd2="http://schemas.microsoft.com/office/spreadsheetml/2017/richdata2" ref="B3:G24">
    <sortCondition descending="1" ref="F2:F24"/>
  </sortState>
  <tableColumns count="6">
    <tableColumn id="1" xr3:uid="{05477FFA-5BEC-45BA-8CF7-36BEDCF32429}" name="Task" dataDxfId="29"/>
    <tableColumn id="2" xr3:uid="{0BA13A88-2DB2-42F4-9C09-E56CF8590AED}" name="Importance (1-5)" dataDxfId="28"/>
    <tableColumn id="3" xr3:uid="{1A6917C2-468C-48ED-9177-AA8E25AD4AF8}" name="Deadline" dataDxfId="27"/>
    <tableColumn id="4" xr3:uid="{FEAE9DBB-3AC6-424C-9191-E939A3B53451}" name="Progress (1-5)" dataDxfId="26"/>
    <tableColumn id="5" xr3:uid="{999FE4F4-1750-4966-B8AA-6A4C8C62DCC5}" name="Priority" dataDxfId="25">
      <calculatedColumnFormula>C3 + MAX(0, (30-_xlfn.DAYS(D3, TODAY()))) + (10-E3)</calculatedColumnFormula>
    </tableColumn>
    <tableColumn id="6" xr3:uid="{75E8F6A4-CE29-4B38-8EFC-46F951A46AE3}" name="Status Description" dataDxfId="2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E17" totalsRowShown="0" headerRowDxfId="23" dataDxfId="22">
  <autoFilter ref="B2:E17" xr:uid="{70045C9D-EFD2-41E0-96DE-0347BB9EF768}"/>
  <sortState xmlns:xlrd2="http://schemas.microsoft.com/office/spreadsheetml/2017/richdata2" ref="B3:E17">
    <sortCondition ref="E2:E17"/>
  </sortState>
  <tableColumns count="4">
    <tableColumn id="1" xr3:uid="{0E6145F2-6F29-4A26-AB8F-9DF7DB3ECBE6}" name="Name" dataDxfId="21"/>
    <tableColumn id="2" xr3:uid="{01AABBA1-86AF-4CDD-8059-B6B90931FA25}" name="Frequency" dataDxfId="20"/>
    <tableColumn id="4" xr3:uid="{7E9972C0-1274-4C43-9D4F-294C74FAC42E}" name="Previous Check" dataDxfId="19"/>
    <tableColumn id="3" xr3:uid="{FF1D2EE6-735A-4AB4-9038-F2B4580252C7}" name="Next Check" dataDxfId="18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17" headerRowBorderDxfId="16" tableBorderDxfId="15" totalsRowBorderDxfId="14">
  <autoFilter ref="B3:D7" xr:uid="{6A82D3A0-C9C6-4CC5-93AF-387804D1534E}"/>
  <tableColumns count="3">
    <tableColumn id="2" xr3:uid="{C82188A7-91BB-4892-990F-80EEDD116086}" name="Duration [min]" dataDxfId="13"/>
    <tableColumn id="3" xr3:uid="{257FEA3E-E906-47EB-888B-4DEEEF6D8878}" name="Block" dataDxfId="12"/>
    <tableColumn id="4" xr3:uid="{527EA0BB-9801-4FAC-8F42-CA26BDEE1F3B}" name="Description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10" headerRowBorderDxfId="9" tableBorderDxfId="8" totalsRowBorderDxfId="7">
  <autoFilter ref="F3:H5" xr:uid="{8364237B-DD86-44AF-942F-8B66E19DA637}"/>
  <tableColumns count="3">
    <tableColumn id="1" xr3:uid="{62BF850A-C29F-410C-A5B4-15F22457F59F}" name="Duration [min]" dataDxfId="6"/>
    <tableColumn id="2" xr3:uid="{3C68A4B7-0799-4829-93E5-5A00844CC609}" name="Block" dataDxfId="5"/>
    <tableColumn id="3" xr3:uid="{B46AE227-4594-4C8D-9283-576CF7CBEDA5}" name="Description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zoomScale="83" workbookViewId="0">
      <selection activeCell="J7" sqref="J7"/>
    </sheetView>
  </sheetViews>
  <sheetFormatPr defaultColWidth="11.44140625" defaultRowHeight="14.4" x14ac:dyDescent="0.3"/>
  <cols>
    <col min="1" max="3" width="11.44140625" style="1"/>
    <col min="4" max="4" width="19" style="1" bestFit="1" customWidth="1"/>
    <col min="5" max="6" width="11.44140625" style="1"/>
    <col min="7" max="7" width="36.5546875" style="1" bestFit="1" customWidth="1"/>
    <col min="8" max="9" width="11.44140625" style="1"/>
    <col min="10" max="10" width="26.88671875" style="1" bestFit="1" customWidth="1"/>
    <col min="11" max="16384" width="11.44140625" style="1"/>
  </cols>
  <sheetData>
    <row r="1" spans="2:12" ht="15" thickBot="1" x14ac:dyDescent="0.35"/>
    <row r="2" spans="2:12" ht="29.4" thickBot="1" x14ac:dyDescent="0.35">
      <c r="B2" s="148" t="s">
        <v>79</v>
      </c>
      <c r="C2" s="149"/>
      <c r="D2" s="149"/>
      <c r="E2" s="149"/>
      <c r="F2" s="149"/>
      <c r="G2" s="149"/>
      <c r="H2" s="149"/>
      <c r="I2" s="149"/>
      <c r="J2" s="149"/>
      <c r="K2" s="149"/>
      <c r="L2" s="150"/>
    </row>
    <row r="3" spans="2:12" x14ac:dyDescent="0.3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3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3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3">
      <c r="B6" s="33"/>
      <c r="C6" s="32"/>
      <c r="D6" s="38" t="s">
        <v>7</v>
      </c>
      <c r="E6" s="32"/>
      <c r="F6" s="32"/>
      <c r="G6" s="38" t="s">
        <v>73</v>
      </c>
      <c r="H6" s="32"/>
      <c r="I6" s="32"/>
      <c r="J6" s="38" t="s">
        <v>8</v>
      </c>
      <c r="K6" s="32"/>
      <c r="L6" s="34"/>
    </row>
    <row r="7" spans="2:12" x14ac:dyDescent="0.3">
      <c r="B7" s="33"/>
      <c r="C7" s="32"/>
      <c r="D7" s="32" t="s">
        <v>54</v>
      </c>
      <c r="E7" s="32"/>
      <c r="F7" s="32"/>
      <c r="G7" s="32" t="s">
        <v>70</v>
      </c>
      <c r="H7" s="32"/>
      <c r="I7" s="32"/>
      <c r="J7" s="32" t="s">
        <v>238</v>
      </c>
      <c r="K7" s="32"/>
      <c r="L7" s="34"/>
    </row>
    <row r="8" spans="2:12" x14ac:dyDescent="0.3">
      <c r="B8" s="33"/>
      <c r="C8" s="32"/>
      <c r="D8" s="32" t="s">
        <v>55</v>
      </c>
      <c r="E8" s="32"/>
      <c r="F8" s="32"/>
      <c r="G8" s="32" t="s">
        <v>71</v>
      </c>
      <c r="H8" s="32"/>
      <c r="I8" s="32"/>
      <c r="J8" s="32"/>
      <c r="K8" s="32"/>
      <c r="L8" s="34"/>
    </row>
    <row r="9" spans="2:12" x14ac:dyDescent="0.3">
      <c r="B9" s="33"/>
      <c r="C9" s="32"/>
      <c r="D9" s="32" t="s">
        <v>56</v>
      </c>
      <c r="E9" s="32"/>
      <c r="F9" s="32"/>
      <c r="G9" s="32" t="s">
        <v>72</v>
      </c>
      <c r="H9" s="32"/>
      <c r="I9" s="32"/>
      <c r="J9" s="32"/>
      <c r="K9" s="32"/>
      <c r="L9" s="34"/>
    </row>
    <row r="10" spans="2:12" x14ac:dyDescent="0.3">
      <c r="B10" s="33"/>
      <c r="C10" s="32"/>
      <c r="D10" s="32"/>
      <c r="E10" s="32"/>
      <c r="F10" s="32"/>
      <c r="G10" s="32" t="s">
        <v>74</v>
      </c>
      <c r="H10" s="32"/>
      <c r="I10" s="32"/>
      <c r="J10" s="32"/>
      <c r="K10" s="32"/>
      <c r="L10" s="34"/>
    </row>
    <row r="11" spans="2:12" x14ac:dyDescent="0.3">
      <c r="B11" s="33"/>
      <c r="C11" s="32"/>
      <c r="D11" s="32"/>
      <c r="E11" s="32"/>
      <c r="F11" s="32"/>
      <c r="G11" s="32" t="s">
        <v>75</v>
      </c>
      <c r="H11" s="32"/>
      <c r="I11" s="32"/>
      <c r="J11" s="32"/>
      <c r="K11" s="32"/>
      <c r="L11" s="34"/>
    </row>
    <row r="12" spans="2:12" x14ac:dyDescent="0.3">
      <c r="B12" s="33"/>
      <c r="C12" s="32"/>
      <c r="D12" s="32"/>
      <c r="E12" s="32"/>
      <c r="F12" s="32"/>
      <c r="G12" s="32" t="s">
        <v>76</v>
      </c>
      <c r="H12" s="32"/>
      <c r="I12" s="32"/>
      <c r="J12" s="32"/>
      <c r="K12" s="32"/>
      <c r="L12" s="34"/>
    </row>
    <row r="13" spans="2:12" x14ac:dyDescent="0.3">
      <c r="B13" s="33"/>
      <c r="C13" s="32"/>
      <c r="D13" s="32"/>
      <c r="E13" s="32"/>
      <c r="F13" s="32"/>
      <c r="G13" s="32" t="s">
        <v>77</v>
      </c>
      <c r="H13" s="32"/>
      <c r="I13" s="32"/>
      <c r="J13" s="32"/>
      <c r="K13" s="32"/>
      <c r="L13" s="34"/>
    </row>
    <row r="14" spans="2:12" x14ac:dyDescent="0.3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3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3">
      <c r="B16" s="33"/>
      <c r="C16" s="32"/>
      <c r="D16" s="134" t="s">
        <v>10</v>
      </c>
      <c r="E16" s="32"/>
      <c r="F16" s="32"/>
      <c r="G16" s="38" t="s">
        <v>58</v>
      </c>
      <c r="H16" s="32"/>
      <c r="I16" s="32"/>
      <c r="J16" s="39" t="s">
        <v>59</v>
      </c>
      <c r="K16" s="32"/>
      <c r="L16" s="34"/>
    </row>
    <row r="17" spans="2:12" x14ac:dyDescent="0.3">
      <c r="B17" s="33"/>
      <c r="C17" s="32"/>
      <c r="D17" s="135" t="s">
        <v>57</v>
      </c>
      <c r="E17" s="32"/>
      <c r="F17" s="32"/>
      <c r="G17" s="32" t="s">
        <v>60</v>
      </c>
      <c r="H17" s="32"/>
      <c r="I17" s="32"/>
      <c r="J17" s="32" t="s">
        <v>61</v>
      </c>
      <c r="K17" s="32"/>
      <c r="L17" s="34"/>
    </row>
    <row r="18" spans="2:12" x14ac:dyDescent="0.3">
      <c r="B18" s="33"/>
      <c r="C18" s="32"/>
      <c r="D18" s="32"/>
      <c r="E18" s="32"/>
      <c r="F18" s="32"/>
      <c r="G18" s="32" t="s">
        <v>64</v>
      </c>
      <c r="H18" s="32"/>
      <c r="I18" s="32"/>
      <c r="J18" s="32" t="s">
        <v>62</v>
      </c>
      <c r="K18" s="32"/>
      <c r="L18" s="34"/>
    </row>
    <row r="19" spans="2:12" x14ac:dyDescent="0.3">
      <c r="B19" s="33"/>
      <c r="C19" s="32"/>
      <c r="D19" s="32"/>
      <c r="E19" s="32"/>
      <c r="F19" s="32"/>
      <c r="G19" s="32" t="s">
        <v>65</v>
      </c>
      <c r="H19" s="32"/>
      <c r="I19" s="32"/>
      <c r="J19" s="32" t="s">
        <v>63</v>
      </c>
      <c r="K19" s="32"/>
      <c r="L19" s="34"/>
    </row>
    <row r="20" spans="2:12" x14ac:dyDescent="0.3">
      <c r="B20" s="33"/>
      <c r="C20" s="32"/>
      <c r="D20" s="32"/>
      <c r="E20" s="32"/>
      <c r="F20" s="32"/>
      <c r="G20" s="32" t="s">
        <v>66</v>
      </c>
      <c r="H20" s="32"/>
      <c r="I20" s="32"/>
      <c r="J20" s="32" t="s">
        <v>78</v>
      </c>
      <c r="K20" s="32"/>
      <c r="L20" s="34"/>
    </row>
    <row r="21" spans="2:12" x14ac:dyDescent="0.3">
      <c r="B21" s="33"/>
      <c r="C21" s="32"/>
      <c r="D21" s="32"/>
      <c r="E21" s="32"/>
      <c r="F21" s="32"/>
      <c r="G21" s="32" t="s">
        <v>67</v>
      </c>
      <c r="H21" s="32"/>
      <c r="I21" s="32"/>
      <c r="J21" s="32"/>
      <c r="K21" s="32"/>
      <c r="L21" s="34"/>
    </row>
    <row r="22" spans="2:12" x14ac:dyDescent="0.3">
      <c r="B22" s="33"/>
      <c r="C22" s="32"/>
      <c r="D22" s="32"/>
      <c r="E22" s="32"/>
      <c r="F22" s="32"/>
      <c r="G22" s="32" t="s">
        <v>68</v>
      </c>
      <c r="H22" s="32"/>
      <c r="I22" s="32"/>
      <c r="J22" s="32"/>
      <c r="K22" s="32"/>
      <c r="L22" s="34"/>
    </row>
    <row r="23" spans="2:12" x14ac:dyDescent="0.3">
      <c r="B23" s="33"/>
      <c r="C23" s="32"/>
      <c r="D23" s="32"/>
      <c r="E23" s="32"/>
      <c r="F23" s="32"/>
      <c r="G23" s="32" t="s">
        <v>69</v>
      </c>
      <c r="H23" s="32"/>
      <c r="I23" s="32"/>
      <c r="J23" s="32"/>
      <c r="K23" s="32"/>
      <c r="L23" s="34"/>
    </row>
    <row r="24" spans="2:12" x14ac:dyDescent="0.3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3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3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" thickBot="1" x14ac:dyDescent="0.35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61"/>
  <sheetViews>
    <sheetView topLeftCell="A10" zoomScale="80" workbookViewId="0">
      <selection activeCell="D5" sqref="D5"/>
    </sheetView>
  </sheetViews>
  <sheetFormatPr defaultColWidth="11.5546875" defaultRowHeight="14.4" x14ac:dyDescent="0.3"/>
  <cols>
    <col min="2" max="2" width="27" bestFit="1" customWidth="1"/>
    <col min="3" max="3" width="17.44140625" bestFit="1" customWidth="1"/>
    <col min="4" max="4" width="14.44140625" bestFit="1" customWidth="1"/>
    <col min="5" max="5" width="21.6640625" bestFit="1" customWidth="1"/>
    <col min="6" max="6" width="35.44140625" customWidth="1"/>
    <col min="7" max="7" width="36.44140625" bestFit="1" customWidth="1"/>
    <col min="8" max="8" width="33.44140625" bestFit="1" customWidth="1"/>
    <col min="9" max="9" width="28" bestFit="1" customWidth="1"/>
    <col min="10" max="10" width="28.5546875" customWidth="1"/>
    <col min="11" max="11" width="29.33203125" bestFit="1" customWidth="1"/>
  </cols>
  <sheetData>
    <row r="4" spans="2:11" x14ac:dyDescent="0.3">
      <c r="B4" s="98" t="s">
        <v>42</v>
      </c>
      <c r="C4" s="99" t="s">
        <v>48</v>
      </c>
      <c r="D4" s="100" t="s">
        <v>43</v>
      </c>
      <c r="E4" s="100" t="s">
        <v>207</v>
      </c>
      <c r="F4" s="100" t="s">
        <v>44</v>
      </c>
      <c r="G4" s="100" t="s">
        <v>45</v>
      </c>
      <c r="H4" s="100" t="s">
        <v>208</v>
      </c>
      <c r="I4" s="100" t="s">
        <v>209</v>
      </c>
      <c r="J4" s="100" t="s">
        <v>46</v>
      </c>
      <c r="K4" s="100" t="s">
        <v>47</v>
      </c>
    </row>
    <row r="5" spans="2:11" x14ac:dyDescent="0.3">
      <c r="B5" s="26" t="s">
        <v>0</v>
      </c>
      <c r="C5" s="25" t="s">
        <v>49</v>
      </c>
      <c r="D5" s="25" t="s">
        <v>50</v>
      </c>
      <c r="E5" s="95">
        <v>3</v>
      </c>
      <c r="F5">
        <v>4.5</v>
      </c>
      <c r="G5">
        <v>7.5</v>
      </c>
      <c r="H5" s="97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3">
      <c r="B6" s="91" t="s">
        <v>1</v>
      </c>
      <c r="C6" s="90" t="s">
        <v>51</v>
      </c>
      <c r="D6" s="90" t="s">
        <v>53</v>
      </c>
      <c r="E6" s="48">
        <v>1</v>
      </c>
      <c r="F6" s="90">
        <v>2</v>
      </c>
      <c r="G6" s="92">
        <v>3</v>
      </c>
      <c r="H6" s="96">
        <v>1</v>
      </c>
      <c r="I6" s="92">
        <v>7</v>
      </c>
      <c r="J6" s="93">
        <f>EDATE(Logbook!$C$3,'Detailed Planning'!F6)</f>
        <v>46081</v>
      </c>
      <c r="K6" s="94">
        <f>EDATE(Logbook!$C$3,'Detailed Planning'!G6)</f>
        <v>46110</v>
      </c>
    </row>
    <row r="7" spans="2:11" x14ac:dyDescent="0.3">
      <c r="B7" s="28" t="s">
        <v>100</v>
      </c>
      <c r="C7" s="29" t="s">
        <v>101</v>
      </c>
      <c r="D7" s="29" t="s">
        <v>105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" x14ac:dyDescent="0.3">
      <c r="B10" s="106" t="s">
        <v>215</v>
      </c>
      <c r="C10" s="106" t="s">
        <v>216</v>
      </c>
      <c r="D10" s="106" t="s">
        <v>217</v>
      </c>
      <c r="E10" s="106" t="s">
        <v>218</v>
      </c>
      <c r="G10" s="147" t="s">
        <v>183</v>
      </c>
      <c r="H10" s="147"/>
      <c r="I10" s="147"/>
    </row>
    <row r="11" spans="2:11" ht="15.6" x14ac:dyDescent="0.3">
      <c r="B11" s="145" t="s">
        <v>85</v>
      </c>
      <c r="C11" s="146"/>
      <c r="D11" s="146"/>
      <c r="E11" s="146"/>
      <c r="G11" s="88" t="s">
        <v>106</v>
      </c>
      <c r="H11" s="88" t="s">
        <v>186</v>
      </c>
      <c r="I11" s="88" t="s">
        <v>187</v>
      </c>
      <c r="J11" s="45"/>
      <c r="K11" s="45"/>
    </row>
    <row r="12" spans="2:11" x14ac:dyDescent="0.3">
      <c r="B12" s="118" t="s">
        <v>86</v>
      </c>
      <c r="C12" s="107">
        <v>46024</v>
      </c>
      <c r="D12" s="107">
        <v>46029</v>
      </c>
      <c r="E12" s="113">
        <f>_xlfn.DAYS(D12, C12)+1</f>
        <v>6</v>
      </c>
      <c r="G12" t="s">
        <v>185</v>
      </c>
      <c r="H12" t="s">
        <v>188</v>
      </c>
      <c r="I12" s="87"/>
      <c r="J12" s="45"/>
      <c r="K12" s="45"/>
    </row>
    <row r="13" spans="2:11" x14ac:dyDescent="0.3">
      <c r="B13" s="118" t="s">
        <v>82</v>
      </c>
      <c r="C13" s="107">
        <v>46037</v>
      </c>
      <c r="D13" s="107">
        <v>46044</v>
      </c>
      <c r="E13" s="113">
        <f t="shared" ref="E13:E15" si="0">_xlfn.DAYS(D13, C13)+1</f>
        <v>8</v>
      </c>
      <c r="G13" t="s">
        <v>99</v>
      </c>
      <c r="H13" t="s">
        <v>184</v>
      </c>
      <c r="I13" s="87"/>
      <c r="J13" s="45"/>
      <c r="K13" s="45"/>
    </row>
    <row r="14" spans="2:11" x14ac:dyDescent="0.3">
      <c r="B14" s="119" t="s">
        <v>83</v>
      </c>
      <c r="C14" s="114">
        <v>46045</v>
      </c>
      <c r="D14" s="114">
        <v>46059</v>
      </c>
      <c r="E14" s="115">
        <f t="shared" si="0"/>
        <v>15</v>
      </c>
      <c r="I14" s="45"/>
      <c r="J14" s="45"/>
      <c r="K14" s="45"/>
    </row>
    <row r="15" spans="2:11" x14ac:dyDescent="0.3">
      <c r="B15" s="119" t="s">
        <v>84</v>
      </c>
      <c r="C15" s="114">
        <v>46060</v>
      </c>
      <c r="D15" s="114">
        <v>46060</v>
      </c>
      <c r="E15" s="115">
        <f t="shared" si="0"/>
        <v>1</v>
      </c>
      <c r="F15" s="45"/>
      <c r="G15" s="45"/>
      <c r="H15" s="45"/>
      <c r="I15" s="45"/>
      <c r="J15" s="45"/>
      <c r="K15" s="45"/>
    </row>
    <row r="16" spans="2:11" x14ac:dyDescent="0.3">
      <c r="B16" s="145" t="s">
        <v>96</v>
      </c>
      <c r="C16" s="146"/>
      <c r="D16" s="146"/>
      <c r="E16" s="146"/>
      <c r="F16" s="45"/>
      <c r="G16" s="45"/>
      <c r="H16" s="45"/>
      <c r="I16" s="45"/>
      <c r="J16" s="45"/>
      <c r="K16" s="45"/>
    </row>
    <row r="17" spans="2:11" x14ac:dyDescent="0.3">
      <c r="B17" s="76" t="s">
        <v>81</v>
      </c>
      <c r="C17" s="108" t="s">
        <v>103</v>
      </c>
      <c r="D17" s="108" t="s">
        <v>103</v>
      </c>
      <c r="E17" s="109" t="e">
        <f t="shared" ref="E17:E20" si="1">_xlfn.DAYS(D17, C17)</f>
        <v>#VALUE!</v>
      </c>
      <c r="F17" s="45"/>
      <c r="G17" s="45"/>
      <c r="H17" s="45"/>
      <c r="I17" s="45"/>
      <c r="J17" s="45"/>
      <c r="K17" s="45"/>
    </row>
    <row r="18" spans="2:11" x14ac:dyDescent="0.3">
      <c r="B18" s="76" t="s">
        <v>82</v>
      </c>
      <c r="C18" s="108" t="s">
        <v>103</v>
      </c>
      <c r="D18" s="108" t="s">
        <v>103</v>
      </c>
      <c r="E18" s="109" t="e">
        <f t="shared" si="1"/>
        <v>#VALUE!</v>
      </c>
      <c r="F18" s="45"/>
      <c r="G18" s="45"/>
      <c r="H18" s="45"/>
      <c r="I18" s="45"/>
      <c r="J18" s="45"/>
      <c r="K18" s="45"/>
    </row>
    <row r="19" spans="2:11" x14ac:dyDescent="0.3">
      <c r="B19" s="76" t="s">
        <v>83</v>
      </c>
      <c r="C19" s="108" t="s">
        <v>103</v>
      </c>
      <c r="D19" s="108" t="s">
        <v>103</v>
      </c>
      <c r="E19" s="109" t="e">
        <f t="shared" si="1"/>
        <v>#VALUE!</v>
      </c>
      <c r="F19" s="45"/>
      <c r="G19" s="45"/>
      <c r="H19" s="45"/>
      <c r="I19" s="45"/>
      <c r="J19" s="45"/>
      <c r="K19" s="45"/>
    </row>
    <row r="20" spans="2:11" x14ac:dyDescent="0.3">
      <c r="B20" s="76" t="s">
        <v>84</v>
      </c>
      <c r="C20" s="108" t="s">
        <v>103</v>
      </c>
      <c r="D20" s="108" t="s">
        <v>103</v>
      </c>
      <c r="E20" s="109" t="e">
        <f t="shared" si="1"/>
        <v>#VALUE!</v>
      </c>
      <c r="F20" s="45"/>
      <c r="G20" s="45"/>
      <c r="H20" s="45"/>
      <c r="I20" s="45"/>
      <c r="J20" s="45"/>
      <c r="K20" s="45"/>
    </row>
    <row r="21" spans="2:11" x14ac:dyDescent="0.3">
      <c r="B21" s="145" t="s">
        <v>219</v>
      </c>
      <c r="C21" s="146"/>
      <c r="D21" s="146"/>
      <c r="E21" s="146"/>
      <c r="F21" s="45"/>
      <c r="G21" s="45"/>
      <c r="H21" s="45"/>
      <c r="I21" s="45"/>
      <c r="J21" s="45"/>
      <c r="K21" s="45"/>
    </row>
    <row r="22" spans="2:11" x14ac:dyDescent="0.3">
      <c r="B22" s="118" t="s">
        <v>88</v>
      </c>
      <c r="C22" s="107">
        <v>46024</v>
      </c>
      <c r="D22" s="107">
        <v>46066</v>
      </c>
      <c r="E22" s="113">
        <f>_xlfn.DAYS(D22, C22)+1</f>
        <v>43</v>
      </c>
      <c r="F22" s="45"/>
      <c r="G22" s="45"/>
      <c r="H22" s="45"/>
      <c r="I22" s="45"/>
      <c r="J22" s="45"/>
      <c r="K22" s="45"/>
    </row>
    <row r="23" spans="2:11" x14ac:dyDescent="0.3">
      <c r="B23" s="118" t="s">
        <v>89</v>
      </c>
      <c r="C23" s="107">
        <v>46067</v>
      </c>
      <c r="D23" s="107">
        <v>46080</v>
      </c>
      <c r="E23" s="113">
        <f t="shared" ref="E23:E24" si="2">_xlfn.DAYS(D23, C23)+1</f>
        <v>14</v>
      </c>
      <c r="F23" s="45"/>
      <c r="G23" s="45"/>
      <c r="H23" s="45"/>
      <c r="I23" s="45"/>
      <c r="J23" s="45"/>
      <c r="K23" s="45"/>
    </row>
    <row r="24" spans="2:11" x14ac:dyDescent="0.3">
      <c r="B24" s="118" t="s">
        <v>90</v>
      </c>
      <c r="C24" s="107">
        <v>46081</v>
      </c>
      <c r="D24" s="107">
        <v>46094</v>
      </c>
      <c r="E24" s="113">
        <f t="shared" si="2"/>
        <v>14</v>
      </c>
      <c r="F24" s="45"/>
      <c r="G24" s="45"/>
      <c r="H24" s="45"/>
      <c r="I24" s="45"/>
      <c r="J24" s="45"/>
      <c r="K24" s="45"/>
    </row>
    <row r="25" spans="2:11" x14ac:dyDescent="0.3">
      <c r="B25" s="145" t="s">
        <v>87</v>
      </c>
      <c r="C25" s="146"/>
      <c r="D25" s="146"/>
      <c r="E25" s="146"/>
      <c r="F25" s="45"/>
      <c r="G25" s="45"/>
      <c r="H25" s="45"/>
      <c r="I25" s="45"/>
      <c r="J25" s="45"/>
      <c r="K25" s="45"/>
    </row>
    <row r="26" spans="2:11" x14ac:dyDescent="0.3">
      <c r="B26" s="136" t="s">
        <v>88</v>
      </c>
      <c r="C26" s="137">
        <v>46114</v>
      </c>
      <c r="D26" s="137">
        <v>46169</v>
      </c>
      <c r="E26" s="138">
        <f>_xlfn.DAYS(D26, C26)+1</f>
        <v>56</v>
      </c>
      <c r="F26" s="45"/>
      <c r="G26" s="45"/>
      <c r="H26" s="45"/>
      <c r="I26" s="45"/>
      <c r="J26" s="45"/>
      <c r="K26" s="45"/>
    </row>
    <row r="27" spans="2:11" x14ac:dyDescent="0.3">
      <c r="B27" s="118" t="s">
        <v>220</v>
      </c>
      <c r="C27" s="107">
        <v>46114</v>
      </c>
      <c r="D27" s="107">
        <v>46120</v>
      </c>
      <c r="E27" s="113">
        <f t="shared" ref="E27:E47" si="3">_xlfn.DAYS(D27, C27)+1</f>
        <v>7</v>
      </c>
      <c r="F27" s="45"/>
      <c r="G27" s="45"/>
      <c r="H27" s="45"/>
      <c r="I27" s="45"/>
      <c r="J27" s="45"/>
      <c r="K27" s="45"/>
    </row>
    <row r="28" spans="2:11" x14ac:dyDescent="0.3">
      <c r="B28" s="118" t="s">
        <v>221</v>
      </c>
      <c r="C28" s="107">
        <v>46121</v>
      </c>
      <c r="D28" s="107">
        <v>46127</v>
      </c>
      <c r="E28" s="113">
        <f t="shared" si="3"/>
        <v>7</v>
      </c>
      <c r="F28" s="45"/>
      <c r="G28" s="45"/>
      <c r="H28" s="45"/>
      <c r="I28" s="45"/>
      <c r="J28" s="45"/>
      <c r="K28" s="45"/>
    </row>
    <row r="29" spans="2:11" x14ac:dyDescent="0.3">
      <c r="B29" s="118" t="s">
        <v>222</v>
      </c>
      <c r="C29" s="107">
        <v>46128</v>
      </c>
      <c r="D29" s="107">
        <v>46134</v>
      </c>
      <c r="E29" s="113">
        <f t="shared" si="3"/>
        <v>7</v>
      </c>
      <c r="F29" s="45"/>
      <c r="G29" s="45"/>
      <c r="H29" s="45"/>
      <c r="I29" s="45"/>
      <c r="J29" s="45"/>
      <c r="K29" s="45"/>
    </row>
    <row r="30" spans="2:11" x14ac:dyDescent="0.3">
      <c r="B30" s="118" t="s">
        <v>223</v>
      </c>
      <c r="C30" s="107">
        <v>46135</v>
      </c>
      <c r="D30" s="107">
        <v>46141</v>
      </c>
      <c r="E30" s="113">
        <f t="shared" si="3"/>
        <v>7</v>
      </c>
      <c r="F30" s="45"/>
      <c r="G30" s="45"/>
      <c r="H30" s="45"/>
      <c r="I30" s="45"/>
      <c r="J30" s="45"/>
      <c r="K30" s="45"/>
    </row>
    <row r="31" spans="2:11" x14ac:dyDescent="0.3">
      <c r="B31" s="118" t="s">
        <v>224</v>
      </c>
      <c r="C31" s="107">
        <v>46142</v>
      </c>
      <c r="D31" s="107">
        <v>46148</v>
      </c>
      <c r="E31" s="113">
        <f t="shared" si="3"/>
        <v>7</v>
      </c>
      <c r="F31" s="45"/>
      <c r="G31" s="45"/>
      <c r="H31" s="45"/>
      <c r="I31" s="45"/>
      <c r="J31" s="45"/>
      <c r="K31" s="45"/>
    </row>
    <row r="32" spans="2:11" x14ac:dyDescent="0.3">
      <c r="B32" s="118" t="s">
        <v>225</v>
      </c>
      <c r="C32" s="107">
        <v>46149</v>
      </c>
      <c r="D32" s="107">
        <v>46155</v>
      </c>
      <c r="E32" s="113">
        <f t="shared" si="3"/>
        <v>7</v>
      </c>
      <c r="F32" s="45"/>
      <c r="G32" s="45"/>
      <c r="H32" s="45"/>
      <c r="I32" s="45"/>
      <c r="J32" s="45"/>
      <c r="K32" s="45"/>
    </row>
    <row r="33" spans="2:11" x14ac:dyDescent="0.3">
      <c r="B33" s="118" t="s">
        <v>226</v>
      </c>
      <c r="C33" s="107">
        <v>46156</v>
      </c>
      <c r="D33" s="107">
        <v>46162</v>
      </c>
      <c r="E33" s="113">
        <f t="shared" si="3"/>
        <v>7</v>
      </c>
      <c r="F33" s="45"/>
      <c r="G33" s="45"/>
      <c r="H33" s="45"/>
      <c r="I33" s="45"/>
      <c r="J33" s="45"/>
      <c r="K33" s="45"/>
    </row>
    <row r="34" spans="2:11" ht="15" thickBot="1" x14ac:dyDescent="0.35">
      <c r="B34" s="142" t="s">
        <v>227</v>
      </c>
      <c r="C34" s="143">
        <v>46163</v>
      </c>
      <c r="D34" s="143">
        <v>46169</v>
      </c>
      <c r="E34" s="144">
        <f t="shared" si="3"/>
        <v>7</v>
      </c>
      <c r="F34" s="45"/>
      <c r="G34" s="45"/>
      <c r="H34" s="45"/>
      <c r="I34" s="45"/>
      <c r="J34" s="45"/>
      <c r="K34" s="45"/>
    </row>
    <row r="35" spans="2:11" x14ac:dyDescent="0.3">
      <c r="B35" s="130" t="s">
        <v>230</v>
      </c>
      <c r="C35" s="131">
        <v>46114</v>
      </c>
      <c r="D35" s="107">
        <v>46163</v>
      </c>
      <c r="E35" s="132">
        <f t="shared" si="3"/>
        <v>50</v>
      </c>
      <c r="F35" s="45"/>
      <c r="G35" s="45"/>
      <c r="H35" s="45"/>
      <c r="I35" s="45"/>
      <c r="J35" s="45"/>
      <c r="K35" s="45"/>
    </row>
    <row r="36" spans="2:11" x14ac:dyDescent="0.3">
      <c r="B36" s="130" t="s">
        <v>220</v>
      </c>
      <c r="C36" s="131">
        <v>46114</v>
      </c>
      <c r="D36" s="131">
        <v>46123</v>
      </c>
      <c r="E36" s="132">
        <f t="shared" si="3"/>
        <v>10</v>
      </c>
      <c r="F36" s="45"/>
      <c r="G36" s="45"/>
      <c r="H36" s="45"/>
      <c r="I36" s="45"/>
      <c r="J36" s="45"/>
      <c r="K36" s="45"/>
    </row>
    <row r="37" spans="2:11" x14ac:dyDescent="0.3">
      <c r="B37" s="130" t="s">
        <v>221</v>
      </c>
      <c r="C37" s="131">
        <v>46124</v>
      </c>
      <c r="D37" s="131">
        <v>46133</v>
      </c>
      <c r="E37" s="132">
        <f t="shared" si="3"/>
        <v>10</v>
      </c>
      <c r="F37" s="45"/>
      <c r="G37" s="45"/>
      <c r="H37" s="45"/>
      <c r="I37" s="45"/>
      <c r="J37" s="45"/>
      <c r="K37" s="45"/>
    </row>
    <row r="38" spans="2:11" x14ac:dyDescent="0.3">
      <c r="B38" s="130" t="s">
        <v>222</v>
      </c>
      <c r="C38" s="131">
        <v>46134</v>
      </c>
      <c r="D38" s="131">
        <v>46143</v>
      </c>
      <c r="E38" s="132">
        <f t="shared" si="3"/>
        <v>10</v>
      </c>
      <c r="F38" s="45"/>
      <c r="G38" s="45"/>
      <c r="H38" s="45"/>
      <c r="I38" s="45"/>
      <c r="J38" s="45"/>
      <c r="K38" s="45"/>
    </row>
    <row r="39" spans="2:11" x14ac:dyDescent="0.3">
      <c r="B39" s="130" t="s">
        <v>223</v>
      </c>
      <c r="C39" s="131">
        <v>46144</v>
      </c>
      <c r="D39" s="131">
        <v>46153</v>
      </c>
      <c r="E39" s="132">
        <f t="shared" si="3"/>
        <v>10</v>
      </c>
      <c r="F39" s="45"/>
      <c r="G39" s="45"/>
      <c r="H39" s="45"/>
      <c r="I39" s="45"/>
      <c r="J39" s="45"/>
      <c r="K39" s="45"/>
    </row>
    <row r="40" spans="2:11" ht="15" thickBot="1" x14ac:dyDescent="0.35">
      <c r="B40" s="139" t="s">
        <v>224</v>
      </c>
      <c r="C40" s="140">
        <v>46154</v>
      </c>
      <c r="D40" s="140">
        <v>46163</v>
      </c>
      <c r="E40" s="141">
        <f t="shared" si="3"/>
        <v>10</v>
      </c>
      <c r="F40" s="45"/>
      <c r="G40" s="45"/>
      <c r="H40" s="45"/>
      <c r="I40" s="45"/>
      <c r="J40" s="45"/>
      <c r="K40" s="45"/>
    </row>
    <row r="41" spans="2:11" x14ac:dyDescent="0.3">
      <c r="B41" s="121" t="s">
        <v>228</v>
      </c>
      <c r="C41" s="122">
        <v>46170</v>
      </c>
      <c r="D41" s="122">
        <v>46170</v>
      </c>
      <c r="E41" s="123">
        <f t="shared" si="3"/>
        <v>1</v>
      </c>
      <c r="F41" s="45"/>
      <c r="G41" s="45"/>
      <c r="H41" s="45"/>
      <c r="I41" s="45"/>
      <c r="J41" s="45"/>
      <c r="K41" s="45"/>
    </row>
    <row r="42" spans="2:11" x14ac:dyDescent="0.3">
      <c r="B42" s="76" t="s">
        <v>229</v>
      </c>
      <c r="C42" s="108">
        <v>46171</v>
      </c>
      <c r="D42" s="108">
        <v>46171</v>
      </c>
      <c r="E42" s="109">
        <f t="shared" si="3"/>
        <v>1</v>
      </c>
      <c r="F42" s="45"/>
      <c r="G42" s="45"/>
      <c r="H42" s="45"/>
      <c r="I42" s="45"/>
      <c r="J42" s="45"/>
      <c r="K42" s="45"/>
    </row>
    <row r="43" spans="2:11" ht="15" thickBot="1" x14ac:dyDescent="0.35">
      <c r="B43" s="124" t="s">
        <v>89</v>
      </c>
      <c r="C43" s="125">
        <v>46172</v>
      </c>
      <c r="D43" s="125">
        <v>46197</v>
      </c>
      <c r="E43" s="126">
        <f t="shared" si="3"/>
        <v>26</v>
      </c>
      <c r="F43" s="45"/>
      <c r="G43" s="45"/>
      <c r="H43" s="45"/>
      <c r="I43" s="45"/>
      <c r="J43" s="45"/>
      <c r="K43" s="45"/>
    </row>
    <row r="44" spans="2:11" x14ac:dyDescent="0.3">
      <c r="B44" s="127" t="s">
        <v>92</v>
      </c>
      <c r="C44" s="128">
        <v>46146</v>
      </c>
      <c r="D44" s="128">
        <v>46148</v>
      </c>
      <c r="E44" s="129">
        <f t="shared" si="3"/>
        <v>3</v>
      </c>
      <c r="F44" s="45"/>
      <c r="G44" s="45"/>
      <c r="H44" s="45"/>
      <c r="I44" s="45"/>
      <c r="J44" s="45"/>
      <c r="K44" s="45"/>
    </row>
    <row r="45" spans="2:11" x14ac:dyDescent="0.3">
      <c r="B45" s="116" t="s">
        <v>93</v>
      </c>
      <c r="C45" s="111">
        <v>46169</v>
      </c>
      <c r="D45" s="111">
        <v>46169</v>
      </c>
      <c r="E45" s="117">
        <f t="shared" si="3"/>
        <v>1</v>
      </c>
      <c r="F45" s="45"/>
      <c r="G45" s="45"/>
      <c r="H45" s="45"/>
      <c r="I45" s="45"/>
      <c r="J45" s="45"/>
      <c r="K45" s="45"/>
    </row>
    <row r="46" spans="2:11" x14ac:dyDescent="0.3">
      <c r="B46" s="76" t="s">
        <v>95</v>
      </c>
      <c r="C46" s="108">
        <v>46174</v>
      </c>
      <c r="D46" s="108">
        <v>46176</v>
      </c>
      <c r="E46" s="109">
        <f t="shared" si="3"/>
        <v>3</v>
      </c>
    </row>
    <row r="47" spans="2:11" x14ac:dyDescent="0.3">
      <c r="B47" s="136" t="s">
        <v>94</v>
      </c>
      <c r="C47" s="137">
        <v>46197</v>
      </c>
      <c r="D47" s="137">
        <v>46197</v>
      </c>
      <c r="E47" s="138">
        <f t="shared" si="3"/>
        <v>1</v>
      </c>
    </row>
    <row r="48" spans="2:11" x14ac:dyDescent="0.3">
      <c r="B48" s="145" t="s">
        <v>53</v>
      </c>
      <c r="C48" s="146"/>
      <c r="D48" s="146"/>
      <c r="E48" s="146"/>
    </row>
    <row r="49" spans="2:5" x14ac:dyDescent="0.3">
      <c r="B49" s="118" t="s">
        <v>91</v>
      </c>
      <c r="C49" s="107">
        <v>46024</v>
      </c>
      <c r="D49" s="107">
        <v>46053</v>
      </c>
      <c r="E49" s="113">
        <f>_xlfn.DAYS(D49, C49)+1</f>
        <v>30</v>
      </c>
    </row>
    <row r="50" spans="2:5" x14ac:dyDescent="0.3">
      <c r="B50" s="118" t="s">
        <v>89</v>
      </c>
      <c r="C50" s="107">
        <v>46053</v>
      </c>
      <c r="D50" s="107">
        <v>46098</v>
      </c>
      <c r="E50" s="113">
        <f t="shared" ref="E50:E52" si="4">_xlfn.DAYS(D50, C50)+1</f>
        <v>46</v>
      </c>
    </row>
    <row r="51" spans="2:5" x14ac:dyDescent="0.3">
      <c r="B51" s="118" t="s">
        <v>92</v>
      </c>
      <c r="C51" s="107">
        <v>46041</v>
      </c>
      <c r="D51" s="107">
        <v>46069</v>
      </c>
      <c r="E51" s="113">
        <f t="shared" si="4"/>
        <v>29</v>
      </c>
    </row>
    <row r="52" spans="2:5" x14ac:dyDescent="0.3">
      <c r="B52" s="120" t="s">
        <v>93</v>
      </c>
      <c r="C52" s="110">
        <v>46100</v>
      </c>
      <c r="D52" s="110">
        <v>46100</v>
      </c>
      <c r="E52" s="113">
        <f t="shared" si="4"/>
        <v>1</v>
      </c>
    </row>
    <row r="53" spans="2:5" x14ac:dyDescent="0.3">
      <c r="B53" s="116" t="s">
        <v>95</v>
      </c>
      <c r="C53" s="111">
        <v>46139</v>
      </c>
      <c r="D53" s="111">
        <v>46165</v>
      </c>
      <c r="E53" s="112">
        <f>_xlfn.DAYS(D53, C53)+1</f>
        <v>27</v>
      </c>
    </row>
    <row r="54" spans="2:5" x14ac:dyDescent="0.3">
      <c r="B54" s="116" t="s">
        <v>94</v>
      </c>
      <c r="C54" s="111">
        <v>46191</v>
      </c>
      <c r="D54" s="111">
        <v>46191</v>
      </c>
      <c r="E54" s="112">
        <f>_xlfn.DAYS(D54, C54)+1</f>
        <v>1</v>
      </c>
    </row>
    <row r="55" spans="2:5" x14ac:dyDescent="0.3">
      <c r="B55" s="145" t="s">
        <v>102</v>
      </c>
      <c r="C55" s="146"/>
      <c r="D55" s="146"/>
      <c r="E55" s="146"/>
    </row>
    <row r="56" spans="2:5" x14ac:dyDescent="0.3">
      <c r="B56" s="76" t="s">
        <v>88</v>
      </c>
      <c r="C56" s="46"/>
      <c r="D56" s="46"/>
      <c r="E56" s="109">
        <f>_xlfn.DAYS(D56, C56)+1</f>
        <v>1</v>
      </c>
    </row>
    <row r="57" spans="2:5" x14ac:dyDescent="0.3">
      <c r="B57" s="76" t="s">
        <v>89</v>
      </c>
      <c r="C57" s="46"/>
      <c r="D57" s="46"/>
      <c r="E57" s="109">
        <f t="shared" ref="E57:E61" si="5">_xlfn.DAYS(D57, C57)+1</f>
        <v>1</v>
      </c>
    </row>
    <row r="58" spans="2:5" x14ac:dyDescent="0.3">
      <c r="B58" s="76" t="s">
        <v>92</v>
      </c>
      <c r="C58" s="46"/>
      <c r="D58" s="46"/>
      <c r="E58" s="109">
        <f t="shared" si="5"/>
        <v>1</v>
      </c>
    </row>
    <row r="59" spans="2:5" x14ac:dyDescent="0.3">
      <c r="B59" s="76" t="s">
        <v>93</v>
      </c>
      <c r="C59" s="46"/>
      <c r="D59" s="46"/>
      <c r="E59" s="109">
        <f t="shared" si="5"/>
        <v>1</v>
      </c>
    </row>
    <row r="60" spans="2:5" x14ac:dyDescent="0.3">
      <c r="B60" s="76" t="s">
        <v>95</v>
      </c>
      <c r="C60" s="46"/>
      <c r="D60" s="46"/>
      <c r="E60" s="109">
        <f t="shared" si="5"/>
        <v>1</v>
      </c>
    </row>
    <row r="61" spans="2:5" x14ac:dyDescent="0.3">
      <c r="B61" s="76" t="s">
        <v>94</v>
      </c>
      <c r="C61" s="46"/>
      <c r="D61" s="46"/>
      <c r="E61" s="109">
        <f t="shared" si="5"/>
        <v>1</v>
      </c>
    </row>
  </sheetData>
  <mergeCells count="7">
    <mergeCell ref="B25:E25"/>
    <mergeCell ref="B48:E48"/>
    <mergeCell ref="B55:E55"/>
    <mergeCell ref="G10:I10"/>
    <mergeCell ref="B11:E11"/>
    <mergeCell ref="B16:E16"/>
    <mergeCell ref="B21:E21"/>
  </mergeCells>
  <phoneticPr fontId="12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D13" activePane="bottomRight" state="frozen"/>
      <selection pane="topRight" activeCell="C1" sqref="C1"/>
      <selection pane="bottomLeft" activeCell="A4" sqref="A4"/>
      <selection pane="bottomRight" activeCell="I27" sqref="I27"/>
    </sheetView>
  </sheetViews>
  <sheetFormatPr defaultColWidth="11.5546875" defaultRowHeight="14.4" x14ac:dyDescent="0.3"/>
  <cols>
    <col min="2" max="2" width="26.44140625" bestFit="1" customWidth="1"/>
    <col min="3" max="3" width="28.6640625" bestFit="1" customWidth="1"/>
    <col min="4" max="4" width="30" bestFit="1" customWidth="1"/>
    <col min="5" max="5" width="28.6640625" bestFit="1" customWidth="1"/>
    <col min="6" max="6" width="30" bestFit="1" customWidth="1"/>
    <col min="7" max="9" width="28.6640625" bestFit="1" customWidth="1"/>
    <col min="10" max="10" width="30.6640625" bestFit="1" customWidth="1"/>
    <col min="11" max="13" width="29.44140625" bestFit="1" customWidth="1"/>
  </cols>
  <sheetData>
    <row r="2" spans="3:11" ht="15" thickBot="1" x14ac:dyDescent="0.35"/>
    <row r="3" spans="3:11" ht="21.6" thickBot="1" x14ac:dyDescent="0.35">
      <c r="C3" s="6" t="s">
        <v>11</v>
      </c>
      <c r="D3" s="7" t="s">
        <v>12</v>
      </c>
      <c r="E3" s="7" t="s">
        <v>13</v>
      </c>
      <c r="F3" s="7" t="s">
        <v>14</v>
      </c>
      <c r="G3" s="7" t="s">
        <v>15</v>
      </c>
      <c r="H3" s="7" t="s">
        <v>16</v>
      </c>
      <c r="I3" s="8" t="s">
        <v>17</v>
      </c>
      <c r="J3" s="151" t="s">
        <v>34</v>
      </c>
      <c r="K3" s="152"/>
    </row>
    <row r="4" spans="3:11" ht="40.200000000000003" x14ac:dyDescent="0.3">
      <c r="C4" s="16" t="s">
        <v>206</v>
      </c>
      <c r="D4" s="22" t="s">
        <v>206</v>
      </c>
      <c r="E4" s="22" t="s">
        <v>206</v>
      </c>
      <c r="F4" s="22" t="s">
        <v>206</v>
      </c>
      <c r="G4" s="22" t="s">
        <v>206</v>
      </c>
      <c r="H4" s="22" t="s">
        <v>206</v>
      </c>
      <c r="I4" s="17" t="s">
        <v>206</v>
      </c>
      <c r="J4" s="57"/>
      <c r="K4" s="58"/>
    </row>
    <row r="5" spans="3:11" ht="40.200000000000003" x14ac:dyDescent="0.3">
      <c r="C5" s="12" t="s">
        <v>18</v>
      </c>
      <c r="D5" s="18" t="s">
        <v>18</v>
      </c>
      <c r="E5" s="13" t="s">
        <v>18</v>
      </c>
      <c r="F5" s="13" t="s">
        <v>18</v>
      </c>
      <c r="G5" s="13" t="s">
        <v>18</v>
      </c>
      <c r="H5" s="13" t="s">
        <v>18</v>
      </c>
      <c r="I5" s="40" t="s">
        <v>18</v>
      </c>
      <c r="J5" s="59"/>
      <c r="K5" s="60"/>
    </row>
    <row r="6" spans="3:11" ht="57" x14ac:dyDescent="0.3">
      <c r="C6" s="4" t="s">
        <v>35</v>
      </c>
      <c r="D6" s="19" t="s">
        <v>19</v>
      </c>
      <c r="E6" s="2" t="s">
        <v>19</v>
      </c>
      <c r="F6" s="2" t="s">
        <v>35</v>
      </c>
      <c r="G6" s="2" t="s">
        <v>35</v>
      </c>
      <c r="H6" s="3" t="s">
        <v>163</v>
      </c>
      <c r="I6" s="41" t="s">
        <v>20</v>
      </c>
      <c r="J6" s="59"/>
      <c r="K6" s="60"/>
    </row>
    <row r="7" spans="3:11" ht="41.4" x14ac:dyDescent="0.3">
      <c r="C7" s="14" t="s">
        <v>36</v>
      </c>
      <c r="D7" s="20" t="s">
        <v>21</v>
      </c>
      <c r="E7" s="15" t="s">
        <v>21</v>
      </c>
      <c r="F7" s="15" t="s">
        <v>36</v>
      </c>
      <c r="G7" s="15" t="s">
        <v>36</v>
      </c>
      <c r="H7" s="15" t="s">
        <v>80</v>
      </c>
      <c r="I7" s="42" t="s">
        <v>165</v>
      </c>
      <c r="J7" s="59"/>
      <c r="K7" s="60"/>
    </row>
    <row r="8" spans="3:11" ht="41.4" x14ac:dyDescent="0.3">
      <c r="C8" s="5" t="s">
        <v>37</v>
      </c>
      <c r="D8" s="21" t="s">
        <v>196</v>
      </c>
      <c r="E8" s="3" t="s">
        <v>196</v>
      </c>
      <c r="F8" s="3" t="s">
        <v>37</v>
      </c>
      <c r="G8" s="3" t="s">
        <v>37</v>
      </c>
      <c r="H8" s="3" t="s">
        <v>39</v>
      </c>
      <c r="I8" s="41" t="s">
        <v>166</v>
      </c>
      <c r="J8" s="59"/>
      <c r="K8" s="60"/>
    </row>
    <row r="9" spans="3:11" ht="41.4" x14ac:dyDescent="0.3">
      <c r="C9" s="14" t="s">
        <v>38</v>
      </c>
      <c r="D9" s="20" t="s">
        <v>197</v>
      </c>
      <c r="E9" s="20" t="s">
        <v>197</v>
      </c>
      <c r="F9" s="15" t="s">
        <v>38</v>
      </c>
      <c r="G9" s="15" t="s">
        <v>38</v>
      </c>
      <c r="H9" s="15" t="s">
        <v>40</v>
      </c>
      <c r="I9" s="42" t="s">
        <v>167</v>
      </c>
      <c r="J9" s="59"/>
      <c r="K9" s="60"/>
    </row>
    <row r="10" spans="3:11" ht="41.4" x14ac:dyDescent="0.3">
      <c r="C10" s="5" t="s">
        <v>172</v>
      </c>
      <c r="D10" s="21" t="s">
        <v>198</v>
      </c>
      <c r="E10" s="21" t="s">
        <v>198</v>
      </c>
      <c r="F10" s="3" t="s">
        <v>172</v>
      </c>
      <c r="G10" s="3" t="s">
        <v>172</v>
      </c>
      <c r="H10" s="3" t="s">
        <v>162</v>
      </c>
      <c r="I10" s="41" t="s">
        <v>22</v>
      </c>
      <c r="J10" s="59"/>
      <c r="K10" s="60"/>
    </row>
    <row r="11" spans="3:11" ht="41.4" x14ac:dyDescent="0.3">
      <c r="C11" s="101" t="s">
        <v>191</v>
      </c>
      <c r="D11" s="15" t="s">
        <v>199</v>
      </c>
      <c r="E11" s="15" t="s">
        <v>199</v>
      </c>
      <c r="F11" s="15" t="s">
        <v>191</v>
      </c>
      <c r="G11" s="15" t="s">
        <v>191</v>
      </c>
      <c r="H11" s="15" t="s">
        <v>24</v>
      </c>
      <c r="I11" s="40" t="s">
        <v>23</v>
      </c>
      <c r="J11" s="59"/>
      <c r="K11" s="60"/>
    </row>
    <row r="12" spans="3:11" ht="41.4" x14ac:dyDescent="0.3">
      <c r="C12" s="5" t="s">
        <v>189</v>
      </c>
      <c r="D12" s="3" t="s">
        <v>200</v>
      </c>
      <c r="E12" s="3" t="s">
        <v>200</v>
      </c>
      <c r="F12" s="23" t="s">
        <v>189</v>
      </c>
      <c r="G12" s="23" t="s">
        <v>189</v>
      </c>
      <c r="H12" s="3" t="s">
        <v>25</v>
      </c>
      <c r="I12" s="41" t="s">
        <v>24</v>
      </c>
      <c r="J12" s="59"/>
      <c r="K12" s="60"/>
    </row>
    <row r="13" spans="3:11" ht="41.4" x14ac:dyDescent="0.3">
      <c r="C13" s="14" t="s">
        <v>24</v>
      </c>
      <c r="D13" s="20" t="s">
        <v>24</v>
      </c>
      <c r="E13" s="20" t="s">
        <v>24</v>
      </c>
      <c r="F13" s="15" t="s">
        <v>24</v>
      </c>
      <c r="G13" s="15" t="s">
        <v>24</v>
      </c>
      <c r="H13" s="15" t="s">
        <v>210</v>
      </c>
      <c r="I13" s="42" t="s">
        <v>25</v>
      </c>
      <c r="J13" s="59"/>
      <c r="K13" s="60"/>
    </row>
    <row r="14" spans="3:11" ht="41.4" x14ac:dyDescent="0.3">
      <c r="C14" s="5" t="s">
        <v>190</v>
      </c>
      <c r="D14" s="3" t="s">
        <v>190</v>
      </c>
      <c r="E14" s="3" t="s">
        <v>190</v>
      </c>
      <c r="F14" s="3" t="s">
        <v>190</v>
      </c>
      <c r="G14" s="3" t="s">
        <v>190</v>
      </c>
      <c r="H14" s="3" t="s">
        <v>211</v>
      </c>
      <c r="I14" s="3" t="s">
        <v>210</v>
      </c>
      <c r="J14" s="59"/>
      <c r="K14" s="60"/>
    </row>
    <row r="15" spans="3:11" ht="41.4" x14ac:dyDescent="0.3">
      <c r="C15" s="14" t="s">
        <v>193</v>
      </c>
      <c r="D15" s="15" t="s">
        <v>201</v>
      </c>
      <c r="E15" s="15" t="s">
        <v>201</v>
      </c>
      <c r="F15" s="15" t="s">
        <v>192</v>
      </c>
      <c r="G15" s="15" t="s">
        <v>193</v>
      </c>
      <c r="H15" s="15" t="s">
        <v>194</v>
      </c>
      <c r="I15" s="15" t="s">
        <v>211</v>
      </c>
      <c r="J15" s="59"/>
      <c r="K15" s="60"/>
    </row>
    <row r="16" spans="3:11" ht="41.4" x14ac:dyDescent="0.3">
      <c r="C16" s="5" t="s">
        <v>194</v>
      </c>
      <c r="D16" s="3" t="s">
        <v>202</v>
      </c>
      <c r="E16" s="3" t="s">
        <v>204</v>
      </c>
      <c r="F16" s="3" t="s">
        <v>26</v>
      </c>
      <c r="G16" s="3" t="s">
        <v>194</v>
      </c>
      <c r="H16" s="3" t="s">
        <v>28</v>
      </c>
      <c r="I16" s="3" t="s">
        <v>194</v>
      </c>
      <c r="J16" s="59"/>
      <c r="K16" s="60"/>
    </row>
    <row r="17" spans="2:11" ht="41.4" x14ac:dyDescent="0.3">
      <c r="C17" s="14" t="s">
        <v>28</v>
      </c>
      <c r="D17" s="15" t="s">
        <v>29</v>
      </c>
      <c r="E17" s="15" t="s">
        <v>205</v>
      </c>
      <c r="F17" s="15" t="s">
        <v>27</v>
      </c>
      <c r="G17" s="15" t="s">
        <v>28</v>
      </c>
      <c r="H17" s="10"/>
      <c r="I17" s="15" t="s">
        <v>28</v>
      </c>
      <c r="J17" s="59"/>
      <c r="K17" s="60"/>
    </row>
    <row r="18" spans="2:11" ht="41.4" x14ac:dyDescent="0.3">
      <c r="C18" s="9"/>
      <c r="D18" s="3" t="s">
        <v>30</v>
      </c>
      <c r="E18" s="3" t="s">
        <v>164</v>
      </c>
      <c r="F18" s="3" t="s">
        <v>29</v>
      </c>
      <c r="G18" s="10"/>
      <c r="H18" s="10"/>
      <c r="I18" s="43"/>
      <c r="J18" s="59"/>
      <c r="K18" s="60"/>
    </row>
    <row r="19" spans="2:11" ht="63" customHeight="1" x14ac:dyDescent="0.3">
      <c r="C19" s="9"/>
      <c r="D19" s="15" t="s">
        <v>31</v>
      </c>
      <c r="E19" s="10"/>
      <c r="F19" s="15" t="s">
        <v>30</v>
      </c>
      <c r="G19" s="10"/>
      <c r="H19" s="10"/>
      <c r="I19" s="11"/>
      <c r="J19" s="59"/>
      <c r="K19" s="60"/>
    </row>
    <row r="20" spans="2:11" ht="66.75" customHeight="1" thickBot="1" x14ac:dyDescent="0.35">
      <c r="C20" s="9"/>
      <c r="D20" s="10"/>
      <c r="E20" s="10"/>
      <c r="F20" s="51" t="s">
        <v>31</v>
      </c>
      <c r="G20" s="10"/>
      <c r="H20" s="10"/>
      <c r="I20" s="10"/>
      <c r="J20" s="59"/>
      <c r="K20" s="60"/>
    </row>
    <row r="21" spans="2:11" ht="21" x14ac:dyDescent="0.3">
      <c r="B21" s="102" t="s">
        <v>0</v>
      </c>
      <c r="C21" s="69" t="str">
        <f>ROUND(3,3)&amp;" (3h)"</f>
        <v>3 (3h)</v>
      </c>
      <c r="D21" s="52" t="str">
        <f>ROUND(2,3)&amp;" (2h)"</f>
        <v>2 (2h)</v>
      </c>
      <c r="E21" s="52" t="str">
        <f>ROUND(2,3)&amp;" (2h)"</f>
        <v>2 (2h)</v>
      </c>
      <c r="F21" s="52" t="str">
        <f>ROUND(3,3)&amp;" (3h)"</f>
        <v>3 (3h)</v>
      </c>
      <c r="G21" s="52" t="str">
        <f>ROUND(3,3)&amp;" (3h)"</f>
        <v>3 (3h)</v>
      </c>
      <c r="H21" s="52" t="str">
        <f>ROUND(4,3)&amp;" (4h)"</f>
        <v>4 (4h)</v>
      </c>
      <c r="I21" s="62" t="str">
        <f>ROUND(4,3)&amp;" (4h)"</f>
        <v>4 (4h)</v>
      </c>
      <c r="J21" s="65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3" t="str">
        <f t="shared" ref="K21" si="1">ROUNDDOWN(J21,0)&amp;"h"&amp;ROUND((J21-ROUNDDOWN(J21,0))*60,0)</f>
        <v>21h0</v>
      </c>
    </row>
    <row r="22" spans="2:11" ht="21" x14ac:dyDescent="0.3">
      <c r="B22" s="103" t="s">
        <v>2</v>
      </c>
      <c r="C22" s="70" t="str">
        <f>ROUND(95/60,3)&amp;" (1h35)"</f>
        <v>1,583 (1h35)</v>
      </c>
      <c r="D22" s="50" t="str">
        <f>ROUND(50/60,3)&amp;" (0h50)"</f>
        <v>0,833 (0h50)</v>
      </c>
      <c r="E22" s="50" t="str">
        <f>ROUND(50/60,3)&amp;" (0h55)"</f>
        <v>0,833 (0h55)</v>
      </c>
      <c r="F22" s="50" t="str">
        <f>ROUND(95/60,3)&amp;" (1h35)"</f>
        <v>1,583 (1h35)</v>
      </c>
      <c r="G22" s="50" t="str">
        <f t="shared" ref="G22" si="2">ROUND(95/60,3)&amp;" (1h35)"</f>
        <v>1,583 (1h35)</v>
      </c>
      <c r="H22" s="50" t="str">
        <f>ROUND(0,3)&amp;" (0h)"</f>
        <v>0 (0h)</v>
      </c>
      <c r="I22" s="63" t="str">
        <f>ROUND(0,3)&amp;" (0h)"</f>
        <v>0 (0h)</v>
      </c>
      <c r="J22" s="66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4" t="str">
        <f>ROUNDDOWN(J22,0)&amp;"h"&amp;ROUND((J22-ROUNDDOWN(J22,0))*60,0)</f>
        <v>6h25</v>
      </c>
    </row>
    <row r="23" spans="2:11" ht="21" x14ac:dyDescent="0.3">
      <c r="B23" s="103" t="s">
        <v>203</v>
      </c>
      <c r="C23" s="70" t="str">
        <f>ROUND(3,3)&amp;" (3h)"</f>
        <v>3 (3h)</v>
      </c>
      <c r="D23" s="70" t="str">
        <f>ROUND(5.5,3)&amp;" (5h30)"</f>
        <v>5,5 (5h30)</v>
      </c>
      <c r="E23" s="70" t="str">
        <f>ROUND(5.5,3)&amp;" (5h30)"</f>
        <v>5,5 (5h30)</v>
      </c>
      <c r="F23" s="70" t="str">
        <f>ROUND(3,3)&amp;" (3h)"</f>
        <v>3 (3h)</v>
      </c>
      <c r="G23" s="70" t="str">
        <f>ROUND(3,3)&amp;" (3h)"</f>
        <v>3 (3h)</v>
      </c>
      <c r="H23" s="70" t="str">
        <f t="shared" ref="C23:I28" si="3">ROUND(0,3)&amp;" (0h)"</f>
        <v>0 (0h)</v>
      </c>
      <c r="I23" s="70" t="str">
        <f t="shared" si="3"/>
        <v>0 (0h)</v>
      </c>
      <c r="J23" s="66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4" t="str">
        <f>ROUNDDOWN(J23,0)&amp;"h"&amp;ROUND((J23-ROUNDDOWN(J23,0))*60,0)</f>
        <v>20h0</v>
      </c>
    </row>
    <row r="24" spans="2:11" ht="21" x14ac:dyDescent="0.3">
      <c r="B24" s="103" t="s">
        <v>3</v>
      </c>
      <c r="C24" s="70" t="str">
        <f t="shared" si="3"/>
        <v>0 (0h)</v>
      </c>
      <c r="D24" s="50" t="str">
        <f t="shared" si="3"/>
        <v>0 (0h)</v>
      </c>
      <c r="E24" s="50" t="str">
        <f t="shared" si="3"/>
        <v>0 (0h)</v>
      </c>
      <c r="F24" s="50" t="str">
        <f t="shared" si="3"/>
        <v>0 (0h)</v>
      </c>
      <c r="G24" s="50" t="str">
        <f t="shared" si="3"/>
        <v>0 (0h)</v>
      </c>
      <c r="H24" s="50" t="str">
        <f>ROUND(2,3)&amp;" (2h)"</f>
        <v>2 (2h)</v>
      </c>
      <c r="I24" s="63" t="str">
        <f>ROUND(1,3)&amp;" (1h)"</f>
        <v>1 (1h)</v>
      </c>
      <c r="J24" s="66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4" t="str">
        <f>ROUNDDOWN(J24,0)&amp;"h"&amp;ROUND((J24-ROUNDDOWN(J24,0))*60,0)</f>
        <v>3h0</v>
      </c>
    </row>
    <row r="25" spans="2:11" ht="21" x14ac:dyDescent="0.3">
      <c r="B25" s="103" t="s">
        <v>212</v>
      </c>
      <c r="C25" s="70" t="str">
        <f t="shared" si="3"/>
        <v>0 (0h)</v>
      </c>
      <c r="D25" s="50" t="str">
        <f>ROUND(2.5,3)&amp;" (2h30)"</f>
        <v>2,5 (2h30)</v>
      </c>
      <c r="E25" s="50" t="str">
        <f t="shared" si="3"/>
        <v>0 (0h)</v>
      </c>
      <c r="F25" s="50" t="str">
        <f>ROUND(2.5,3)&amp;" (2h30)"</f>
        <v>2,5 (2h30)</v>
      </c>
      <c r="G25" s="50" t="str">
        <f t="shared" si="3"/>
        <v>0 (0h)</v>
      </c>
      <c r="H25" s="50" t="str">
        <f t="shared" si="3"/>
        <v>0 (0h)</v>
      </c>
      <c r="I25" s="63" t="str">
        <f>ROUND(1.5,3)&amp;" (1h30)"</f>
        <v>1,5 (1h30)</v>
      </c>
      <c r="J25" s="66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4" t="str">
        <f>ROUNDDOWN(J25,0)&amp;"h"&amp;ROUND((J25-ROUNDDOWN(J25,0))*60,0)</f>
        <v>6h30</v>
      </c>
    </row>
    <row r="26" spans="2:11" ht="21" x14ac:dyDescent="0.3">
      <c r="B26" s="103" t="s">
        <v>9</v>
      </c>
      <c r="C26" s="70" t="str">
        <f t="shared" si="3"/>
        <v>0 (0h)</v>
      </c>
      <c r="D26" s="50" t="str">
        <f t="shared" si="3"/>
        <v>0 (0h)</v>
      </c>
      <c r="E26" s="50" t="str">
        <f t="shared" si="3"/>
        <v>0 (0h)</v>
      </c>
      <c r="F26" s="50" t="str">
        <f t="shared" si="3"/>
        <v>0 (0h)</v>
      </c>
      <c r="G26" s="50" t="str">
        <f t="shared" si="3"/>
        <v>0 (0h)</v>
      </c>
      <c r="H26" s="50" t="str">
        <f>ROUND(2,3)&amp;" (2h)"</f>
        <v>2 (2h)</v>
      </c>
      <c r="I26" s="63" t="str">
        <f>ROUND(2,3)&amp;" (2h)"</f>
        <v>2 (2h)</v>
      </c>
      <c r="J26" s="66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4" t="str">
        <f t="shared" ref="K26:K27" si="5">ROUNDDOWN(J26,0)&amp;"h"&amp;ROUND((J26-ROUNDDOWN(J26,0))*60,0)</f>
        <v>4h0</v>
      </c>
    </row>
    <row r="27" spans="2:11" ht="21" x14ac:dyDescent="0.3">
      <c r="B27" s="103" t="s">
        <v>33</v>
      </c>
      <c r="C27" s="70" t="str">
        <f>ROUND(3,3)&amp;" (3h)"</f>
        <v>3 (3h)</v>
      </c>
      <c r="D27" s="50" t="str">
        <f>ROUND(0,3)&amp;" (0h)"</f>
        <v>0 (0h)</v>
      </c>
      <c r="E27" s="50" t="str">
        <f>ROUND(0,3)&amp;" (0h)"</f>
        <v>0 (0h)</v>
      </c>
      <c r="F27" s="50" t="str">
        <f>ROUND(2.5,3)&amp;" (2h30)"</f>
        <v>2,5 (2h30)</v>
      </c>
      <c r="G27" s="70" t="str">
        <f>ROUND(3,3)&amp;" (3h)"</f>
        <v>3 (3h)</v>
      </c>
      <c r="H27" s="50" t="str">
        <f>ROUND(125/60,3)&amp;" (2h5)"</f>
        <v>2,083 (2h5)</v>
      </c>
      <c r="I27" s="63" t="str">
        <f>ROUND(0,3)&amp;" (0h)"</f>
        <v>0 (0h)</v>
      </c>
      <c r="J27" s="66">
        <f t="shared" si="4"/>
        <v>10.583</v>
      </c>
      <c r="K27" s="54" t="str">
        <f t="shared" si="5"/>
        <v>10h35</v>
      </c>
    </row>
    <row r="28" spans="2:11" ht="21" x14ac:dyDescent="0.3">
      <c r="B28" s="104" t="s">
        <v>104</v>
      </c>
      <c r="C28" s="70" t="str">
        <f>ROUND(2,3)&amp;" (2h)"</f>
        <v>2 (2h)</v>
      </c>
      <c r="D28" s="50" t="str">
        <f>ROUND(0,3)&amp;" (0h)"</f>
        <v>0 (0h)</v>
      </c>
      <c r="E28" s="50" t="str">
        <f>ROUND(1.5,3)&amp;" (1h30)"</f>
        <v>1,5 (1h30)</v>
      </c>
      <c r="F28" s="50" t="str">
        <f t="shared" si="3"/>
        <v>0 (0h)</v>
      </c>
      <c r="G28" s="50" t="str">
        <f>ROUND(2,3)&amp;" (2h)"</f>
        <v>2 (2h)</v>
      </c>
      <c r="H28" s="50" t="str">
        <f>ROUND(3.5,3)&amp;" (3h30)"</f>
        <v>3,5 (3h30)</v>
      </c>
      <c r="I28" s="50" t="str">
        <f>ROUND(3.5,3)&amp;" (3h30)"</f>
        <v>3,5 (3h30)</v>
      </c>
      <c r="J28" s="67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1" t="str">
        <f>ROUNDDOWN(J28,0)&amp;"h"&amp;ROUND((J28-ROUNDDOWN(J28,0))*60,0)</f>
        <v>12h30</v>
      </c>
    </row>
    <row r="29" spans="2:11" ht="21.6" thickBot="1" x14ac:dyDescent="0.35">
      <c r="B29" s="105" t="s">
        <v>195</v>
      </c>
      <c r="C29" s="71" t="str">
        <f>ROUND(7.5,3)&amp;" (7h30)"</f>
        <v>7,5 (7h30)</v>
      </c>
      <c r="D29" s="55" t="str">
        <f t="shared" ref="D29:I29" si="6">ROUND(7.5,3)&amp;" (7h30)"</f>
        <v>7,5 (7h30)</v>
      </c>
      <c r="E29" s="55" t="str">
        <f t="shared" si="6"/>
        <v>7,5 (7h30)</v>
      </c>
      <c r="F29" s="55" t="str">
        <f t="shared" si="6"/>
        <v>7,5 (7h30)</v>
      </c>
      <c r="G29" s="55" t="str">
        <f t="shared" si="6"/>
        <v>7,5 (7h30)</v>
      </c>
      <c r="H29" s="55" t="str">
        <f t="shared" si="6"/>
        <v>7,5 (7h30)</v>
      </c>
      <c r="I29" s="64" t="str">
        <f t="shared" si="6"/>
        <v>7,5 (7h30)</v>
      </c>
      <c r="J29" s="68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6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0"/>
  <sheetViews>
    <sheetView tabSelected="1" zoomScale="85" zoomScaleNormal="85" workbookViewId="0">
      <pane xSplit="2" ySplit="4" topLeftCell="ER5" activePane="bottomRight" state="frozen"/>
      <selection pane="topRight" activeCell="C1" sqref="C1"/>
      <selection pane="bottomLeft" activeCell="A5" sqref="A5"/>
      <selection pane="bottomRight" activeCell="EX9" sqref="EX9"/>
    </sheetView>
  </sheetViews>
  <sheetFormatPr defaultColWidth="13.6640625" defaultRowHeight="14.4" x14ac:dyDescent="0.3"/>
  <cols>
    <col min="2" max="2" width="24.33203125" bestFit="1" customWidth="1"/>
    <col min="3" max="3" width="18" bestFit="1" customWidth="1"/>
  </cols>
  <sheetData>
    <row r="2" spans="1:367" x14ac:dyDescent="0.3">
      <c r="C2" s="155" t="str">
        <f>"Week "&amp;ROUNDDOWN(C4/7,0)+1</f>
        <v>Week 1</v>
      </c>
      <c r="D2" s="156"/>
      <c r="E2" s="156"/>
      <c r="F2" s="156"/>
      <c r="G2" s="156"/>
      <c r="H2" s="156"/>
      <c r="I2" s="156"/>
      <c r="J2" s="155" t="str">
        <f>"Week "&amp;ROUNDDOWN(J4/7,0)+1</f>
        <v>Week 2</v>
      </c>
      <c r="K2" s="156"/>
      <c r="L2" s="156"/>
      <c r="M2" s="156"/>
      <c r="N2" s="156"/>
      <c r="O2" s="156"/>
      <c r="P2" s="156"/>
      <c r="Q2" s="155" t="str">
        <f>"Week "&amp;ROUNDDOWN(Q4/7,0)+1</f>
        <v>Week 3</v>
      </c>
      <c r="R2" s="156"/>
      <c r="S2" s="156"/>
      <c r="T2" s="156"/>
      <c r="U2" s="156"/>
      <c r="V2" s="156"/>
      <c r="W2" s="156"/>
      <c r="X2" s="155" t="str">
        <f>"Week "&amp;ROUNDDOWN(X4/7,0)+1</f>
        <v>Week 4</v>
      </c>
      <c r="Y2" s="156"/>
      <c r="Z2" s="156"/>
      <c r="AA2" s="156"/>
      <c r="AB2" s="156"/>
      <c r="AC2" s="156"/>
      <c r="AD2" s="156"/>
      <c r="AE2" s="155" t="str">
        <f>"Week "&amp;ROUNDDOWN(AE4/7,0)+1</f>
        <v>Week 5</v>
      </c>
      <c r="AF2" s="156"/>
      <c r="AG2" s="156"/>
      <c r="AH2" s="156"/>
      <c r="AI2" s="156"/>
      <c r="AJ2" s="156"/>
      <c r="AK2" s="156"/>
      <c r="AL2" s="155" t="str">
        <f>"Week "&amp;ROUNDDOWN(AL4/7,0)+1</f>
        <v>Week 6</v>
      </c>
      <c r="AM2" s="156"/>
      <c r="AN2" s="156"/>
      <c r="AO2" s="156"/>
      <c r="AP2" s="156"/>
      <c r="AQ2" s="156"/>
      <c r="AR2" s="156"/>
      <c r="AS2" s="155" t="str">
        <f>"Week "&amp;ROUNDDOWN(AS4/7,0)+1</f>
        <v>Week 7</v>
      </c>
      <c r="AT2" s="156"/>
      <c r="AU2" s="156"/>
      <c r="AV2" s="156"/>
      <c r="AW2" s="156"/>
      <c r="AX2" s="156"/>
      <c r="AY2" s="156"/>
      <c r="AZ2" s="155" t="str">
        <f>"Week "&amp;ROUNDDOWN(AZ4/7,0)+1</f>
        <v>Week 8</v>
      </c>
      <c r="BA2" s="156"/>
      <c r="BB2" s="156"/>
      <c r="BC2" s="156"/>
      <c r="BD2" s="156"/>
      <c r="BE2" s="156"/>
      <c r="BF2" s="156"/>
      <c r="BG2" s="155" t="str">
        <f>"Week "&amp;ROUNDDOWN(BG4/7,0)+1</f>
        <v>Week 9</v>
      </c>
      <c r="BH2" s="156"/>
      <c r="BI2" s="156"/>
      <c r="BJ2" s="156"/>
      <c r="BK2" s="156"/>
      <c r="BL2" s="156"/>
      <c r="BM2" s="156"/>
      <c r="BN2" s="155" t="str">
        <f>"Week "&amp;ROUNDDOWN(BN4/7,0)+1</f>
        <v>Week 10</v>
      </c>
      <c r="BO2" s="156"/>
      <c r="BP2" s="156"/>
      <c r="BQ2" s="156"/>
      <c r="BR2" s="156"/>
      <c r="BS2" s="156"/>
      <c r="BT2" s="156"/>
      <c r="BU2" s="155" t="str">
        <f>"Week "&amp;ROUNDDOWN(BU4/7,0)+1</f>
        <v>Week 11</v>
      </c>
      <c r="BV2" s="156"/>
      <c r="BW2" s="156"/>
      <c r="BX2" s="156"/>
      <c r="BY2" s="156"/>
      <c r="BZ2" s="156"/>
      <c r="CA2" s="156"/>
      <c r="CB2" s="155" t="str">
        <f>"Week "&amp;ROUNDDOWN(CB4/7,0)+1</f>
        <v>Week 12</v>
      </c>
      <c r="CC2" s="156"/>
      <c r="CD2" s="156"/>
      <c r="CE2" s="156"/>
      <c r="CF2" s="156"/>
      <c r="CG2" s="156"/>
      <c r="CH2" s="156"/>
      <c r="CI2" s="155" t="str">
        <f>"Week "&amp;ROUNDDOWN(CI4/7,0)+1</f>
        <v>Week 13</v>
      </c>
      <c r="CJ2" s="156"/>
      <c r="CK2" s="156"/>
      <c r="CL2" s="156"/>
      <c r="CM2" s="156"/>
      <c r="CN2" s="156"/>
      <c r="CO2" s="156"/>
      <c r="CP2" s="155" t="str">
        <f>"Week "&amp;ROUNDDOWN(CP4/7,0)+1</f>
        <v>Week 14</v>
      </c>
      <c r="CQ2" s="156"/>
      <c r="CR2" s="156"/>
      <c r="CS2" s="156"/>
      <c r="CT2" s="156"/>
      <c r="CU2" s="156"/>
      <c r="CV2" s="156"/>
      <c r="CW2" s="155" t="str">
        <f>"Week "&amp;ROUNDDOWN(CW4/7,0)+1</f>
        <v>Week 15</v>
      </c>
      <c r="CX2" s="156"/>
      <c r="CY2" s="156"/>
      <c r="CZ2" s="156"/>
      <c r="DA2" s="156"/>
      <c r="DB2" s="156"/>
      <c r="DC2" s="156"/>
      <c r="DD2" s="155" t="str">
        <f>"Week "&amp;ROUNDDOWN(DD4/7,0)+1</f>
        <v>Week 16</v>
      </c>
      <c r="DE2" s="156"/>
      <c r="DF2" s="156"/>
      <c r="DG2" s="156"/>
      <c r="DH2" s="156"/>
      <c r="DI2" s="156"/>
      <c r="DJ2" s="156"/>
      <c r="DK2" s="155" t="str">
        <f>"Week "&amp;ROUNDDOWN(DK4/7,0)+1</f>
        <v>Week 17</v>
      </c>
      <c r="DL2" s="156"/>
      <c r="DM2" s="156"/>
      <c r="DN2" s="156"/>
      <c r="DO2" s="156"/>
      <c r="DP2" s="156"/>
      <c r="DQ2" s="156"/>
      <c r="DR2" s="155" t="str">
        <f>"Week "&amp;ROUNDDOWN(DR4/7,0)+1</f>
        <v>Week 18</v>
      </c>
      <c r="DS2" s="156"/>
      <c r="DT2" s="156"/>
      <c r="DU2" s="156"/>
      <c r="DV2" s="156"/>
      <c r="DW2" s="156"/>
      <c r="DX2" s="156"/>
      <c r="DY2" s="155" t="str">
        <f>"Week "&amp;ROUNDDOWN(DY4/7,0)+1</f>
        <v>Week 19</v>
      </c>
      <c r="DZ2" s="156"/>
      <c r="EA2" s="156"/>
      <c r="EB2" s="156"/>
      <c r="EC2" s="156"/>
      <c r="ED2" s="156"/>
      <c r="EE2" s="156"/>
      <c r="EF2" s="155" t="str">
        <f>"Week "&amp;ROUNDDOWN(EF4/7,0)+1</f>
        <v>Week 20</v>
      </c>
      <c r="EG2" s="156"/>
      <c r="EH2" s="156"/>
      <c r="EI2" s="156"/>
      <c r="EJ2" s="156"/>
      <c r="EK2" s="156"/>
      <c r="EL2" s="156"/>
      <c r="EM2" s="155" t="str">
        <f>"Week "&amp;ROUNDDOWN(EM4/7,0)+1</f>
        <v>Week 21</v>
      </c>
      <c r="EN2" s="156"/>
      <c r="EO2" s="156"/>
      <c r="EP2" s="156"/>
      <c r="EQ2" s="156"/>
      <c r="ER2" s="156"/>
      <c r="ES2" s="156"/>
      <c r="ET2" s="155" t="str">
        <f>"Week "&amp;ROUNDDOWN(ET4/7,0)+1</f>
        <v>Week 22</v>
      </c>
      <c r="EU2" s="156"/>
      <c r="EV2" s="156"/>
      <c r="EW2" s="156"/>
      <c r="EX2" s="156"/>
      <c r="EY2" s="156"/>
      <c r="EZ2" s="156"/>
      <c r="FA2" s="155" t="str">
        <f>"Week "&amp;ROUNDDOWN(FA4/7,0)+1</f>
        <v>Week 23</v>
      </c>
      <c r="FB2" s="156"/>
      <c r="FC2" s="156"/>
      <c r="FD2" s="156"/>
      <c r="FE2" s="156"/>
      <c r="FF2" s="156"/>
      <c r="FG2" s="156"/>
      <c r="FH2" s="155" t="str">
        <f>"Week "&amp;ROUNDDOWN(FH4/7,0)+1</f>
        <v>Week 24</v>
      </c>
      <c r="FI2" s="156"/>
      <c r="FJ2" s="156"/>
      <c r="FK2" s="156"/>
      <c r="FL2" s="156"/>
      <c r="FM2" s="156"/>
      <c r="FN2" s="156"/>
      <c r="FO2" s="155" t="str">
        <f>"Week "&amp;ROUNDDOWN(FO4/7,0)+1</f>
        <v>Week 25</v>
      </c>
      <c r="FP2" s="156"/>
      <c r="FQ2" s="156"/>
      <c r="FR2" s="156"/>
      <c r="FS2" s="156"/>
      <c r="FT2" s="156"/>
      <c r="FU2" s="156"/>
      <c r="FV2" s="155" t="str">
        <f>"Week "&amp;ROUNDDOWN(FV4/7,0)+1</f>
        <v>Week 26</v>
      </c>
      <c r="FW2" s="156"/>
      <c r="FX2" s="156"/>
      <c r="FY2" s="156"/>
      <c r="FZ2" s="156"/>
      <c r="GA2" s="156"/>
      <c r="GB2" s="156"/>
      <c r="GC2" s="155" t="str">
        <f>"Week "&amp;ROUNDDOWN(GC4/7,0)+1</f>
        <v>Week 27</v>
      </c>
      <c r="GD2" s="156"/>
      <c r="GE2" s="156"/>
      <c r="GF2" s="156"/>
      <c r="GG2" s="156"/>
      <c r="GH2" s="156"/>
      <c r="GI2" s="156"/>
      <c r="GJ2" s="155" t="str">
        <f>"Week "&amp;ROUNDDOWN(GJ4/7,0)+1</f>
        <v>Week 28</v>
      </c>
      <c r="GK2" s="156"/>
      <c r="GL2" s="156"/>
      <c r="GM2" s="156"/>
      <c r="GN2" s="156"/>
      <c r="GO2" s="156"/>
      <c r="GP2" s="156"/>
      <c r="GQ2" s="155" t="str">
        <f>"Week "&amp;ROUNDDOWN(GQ4/7,0)+1</f>
        <v>Week 29</v>
      </c>
      <c r="GR2" s="156"/>
      <c r="GS2" s="156"/>
      <c r="GT2" s="156"/>
      <c r="GU2" s="156"/>
      <c r="GV2" s="156"/>
      <c r="GW2" s="156"/>
      <c r="GX2" s="155" t="str">
        <f>"Week "&amp;ROUNDDOWN(GX4/7,0)+1</f>
        <v>Week 30</v>
      </c>
      <c r="GY2" s="156"/>
      <c r="GZ2" s="156"/>
      <c r="HA2" s="156"/>
      <c r="HB2" s="156"/>
      <c r="HC2" s="156"/>
      <c r="HD2" s="156"/>
      <c r="HE2" s="155" t="str">
        <f>"Week "&amp;ROUNDDOWN(HE4/7,0)+1</f>
        <v>Week 31</v>
      </c>
      <c r="HF2" s="156"/>
      <c r="HG2" s="156"/>
      <c r="HH2" s="156"/>
      <c r="HI2" s="156"/>
      <c r="HJ2" s="156"/>
      <c r="HK2" s="156"/>
      <c r="HL2" s="155" t="str">
        <f>"Week "&amp;ROUNDDOWN(HL4/7,0)+1</f>
        <v>Week 32</v>
      </c>
      <c r="HM2" s="156"/>
      <c r="HN2" s="156"/>
      <c r="HO2" s="156"/>
      <c r="HP2" s="156"/>
      <c r="HQ2" s="156"/>
      <c r="HR2" s="156"/>
      <c r="HS2" s="155" t="str">
        <f>"Week "&amp;ROUNDDOWN(HS4/7,0)+1</f>
        <v>Week 33</v>
      </c>
      <c r="HT2" s="156"/>
      <c r="HU2" s="156"/>
      <c r="HV2" s="156"/>
      <c r="HW2" s="156"/>
      <c r="HX2" s="156"/>
      <c r="HY2" s="156"/>
      <c r="HZ2" s="155" t="str">
        <f>"Week "&amp;ROUNDDOWN(HZ4/7,0)+1</f>
        <v>Week 34</v>
      </c>
      <c r="IA2" s="156"/>
      <c r="IB2" s="156"/>
      <c r="IC2" s="156"/>
      <c r="ID2" s="156"/>
      <c r="IE2" s="156"/>
      <c r="IF2" s="156"/>
      <c r="IG2" s="155" t="str">
        <f>"Week "&amp;ROUNDDOWN(IG4/7,0)+1</f>
        <v>Week 35</v>
      </c>
      <c r="IH2" s="156"/>
      <c r="II2" s="156"/>
      <c r="IJ2" s="156"/>
      <c r="IK2" s="156"/>
      <c r="IL2" s="156"/>
      <c r="IM2" s="156"/>
      <c r="IN2" s="155" t="str">
        <f>"Week "&amp;ROUNDDOWN(IN4/7,0)+1</f>
        <v>Week 36</v>
      </c>
      <c r="IO2" s="156"/>
      <c r="IP2" s="156"/>
      <c r="IQ2" s="156"/>
      <c r="IR2" s="156"/>
      <c r="IS2" s="156"/>
      <c r="IT2" s="156"/>
      <c r="IU2" s="155" t="str">
        <f>"Week "&amp;ROUNDDOWN(IU4/7,0)+1</f>
        <v>Week 37</v>
      </c>
      <c r="IV2" s="156"/>
      <c r="IW2" s="156"/>
      <c r="IX2" s="156"/>
      <c r="IY2" s="156"/>
      <c r="IZ2" s="156"/>
      <c r="JA2" s="156"/>
      <c r="JB2" s="155" t="str">
        <f>"Week "&amp;ROUNDDOWN(JB4/7,0)+1</f>
        <v>Week 38</v>
      </c>
      <c r="JC2" s="156"/>
      <c r="JD2" s="156"/>
      <c r="JE2" s="156"/>
      <c r="JF2" s="156"/>
      <c r="JG2" s="156"/>
      <c r="JH2" s="156"/>
      <c r="JI2" s="155" t="str">
        <f>"Week "&amp;ROUNDDOWN(JI4/7,0)+1</f>
        <v>Week 39</v>
      </c>
      <c r="JJ2" s="156"/>
      <c r="JK2" s="156"/>
      <c r="JL2" s="156"/>
      <c r="JM2" s="156"/>
      <c r="JN2" s="156"/>
      <c r="JO2" s="156"/>
      <c r="JP2" s="155" t="str">
        <f>"Week "&amp;ROUNDDOWN(JP4/7,0)+1</f>
        <v>Week 40</v>
      </c>
      <c r="JQ2" s="156"/>
      <c r="JR2" s="156"/>
      <c r="JS2" s="156"/>
      <c r="JT2" s="156"/>
      <c r="JU2" s="156"/>
      <c r="JV2" s="156"/>
      <c r="JW2" s="155" t="str">
        <f>"Week "&amp;ROUNDDOWN(JW4/7,0)+1</f>
        <v>Week 41</v>
      </c>
      <c r="JX2" s="156"/>
      <c r="JY2" s="156"/>
      <c r="JZ2" s="156"/>
      <c r="KA2" s="156"/>
      <c r="KB2" s="156"/>
      <c r="KC2" s="156"/>
      <c r="KD2" s="155" t="str">
        <f>"Week "&amp;ROUNDDOWN(KD4/7,0)+1</f>
        <v>Week 42</v>
      </c>
      <c r="KE2" s="156"/>
      <c r="KF2" s="156"/>
      <c r="KG2" s="156"/>
      <c r="KH2" s="156"/>
      <c r="KI2" s="156"/>
      <c r="KJ2" s="156"/>
      <c r="KK2" s="155" t="str">
        <f>"Week "&amp;ROUNDDOWN(KK4/7,0)+1</f>
        <v>Week 43</v>
      </c>
      <c r="KL2" s="156"/>
      <c r="KM2" s="156"/>
      <c r="KN2" s="156"/>
      <c r="KO2" s="156"/>
      <c r="KP2" s="156"/>
      <c r="KQ2" s="156"/>
      <c r="KR2" s="155" t="str">
        <f>"Week "&amp;ROUNDDOWN(KR4/7,0)+1</f>
        <v>Week 44</v>
      </c>
      <c r="KS2" s="156"/>
      <c r="KT2" s="156"/>
      <c r="KU2" s="156"/>
      <c r="KV2" s="156"/>
      <c r="KW2" s="156"/>
      <c r="KX2" s="156"/>
      <c r="KY2" s="155" t="str">
        <f>"Week "&amp;ROUNDDOWN(KY4/7,0)+1</f>
        <v>Week 45</v>
      </c>
      <c r="KZ2" s="156"/>
      <c r="LA2" s="156"/>
      <c r="LB2" s="156"/>
      <c r="LC2" s="156"/>
      <c r="LD2" s="156"/>
      <c r="LE2" s="156"/>
      <c r="LF2" s="155" t="str">
        <f>"Week "&amp;ROUNDDOWN(LF4/7,0)+1</f>
        <v>Week 46</v>
      </c>
      <c r="LG2" s="156"/>
      <c r="LH2" s="156"/>
      <c r="LI2" s="156"/>
      <c r="LJ2" s="156"/>
      <c r="LK2" s="156"/>
      <c r="LL2" s="156"/>
      <c r="LM2" s="155" t="str">
        <f>"Week "&amp;ROUNDDOWN(LM4/7,0)+1</f>
        <v>Week 47</v>
      </c>
      <c r="LN2" s="156"/>
      <c r="LO2" s="156"/>
      <c r="LP2" s="156"/>
      <c r="LQ2" s="156"/>
      <c r="LR2" s="156"/>
      <c r="LS2" s="156"/>
      <c r="LT2" s="155" t="str">
        <f>"Week "&amp;ROUNDDOWN(LT4/7,0)+1</f>
        <v>Week 48</v>
      </c>
      <c r="LU2" s="156"/>
      <c r="LV2" s="156"/>
      <c r="LW2" s="156"/>
      <c r="LX2" s="156"/>
      <c r="LY2" s="156"/>
      <c r="LZ2" s="156"/>
      <c r="MA2" s="155" t="str">
        <f>"Week "&amp;ROUNDDOWN(MA4/7,0)+1</f>
        <v>Week 49</v>
      </c>
      <c r="MB2" s="156"/>
      <c r="MC2" s="156"/>
      <c r="MD2" s="156"/>
      <c r="ME2" s="156"/>
      <c r="MF2" s="156"/>
      <c r="MG2" s="156"/>
      <c r="MH2" s="155" t="str">
        <f>"Week "&amp;ROUNDDOWN(MH4/7,0)+1</f>
        <v>Week 50</v>
      </c>
      <c r="MI2" s="156"/>
      <c r="MJ2" s="156"/>
      <c r="MK2" s="156"/>
      <c r="ML2" s="156"/>
      <c r="MM2" s="156"/>
      <c r="MN2" s="156"/>
      <c r="MO2" s="155" t="str">
        <f>"Week "&amp;ROUNDDOWN(MO4/7,0)+1</f>
        <v>Week 51</v>
      </c>
      <c r="MP2" s="156"/>
      <c r="MQ2" s="156"/>
      <c r="MR2" s="156"/>
      <c r="MS2" s="156"/>
      <c r="MT2" s="156"/>
      <c r="MU2" s="156"/>
      <c r="MV2" s="155" t="str">
        <f>"Week "&amp;ROUNDDOWN(MV4/7,0)+1</f>
        <v>Week 52</v>
      </c>
      <c r="MW2" s="156"/>
      <c r="MX2" s="156"/>
      <c r="MY2" s="156"/>
      <c r="MZ2" s="156"/>
      <c r="NA2" s="156"/>
      <c r="NB2" s="156"/>
      <c r="NC2" s="24"/>
    </row>
    <row r="3" spans="1:367" x14ac:dyDescent="0.3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3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132.75" customHeight="1" x14ac:dyDescent="0.3">
      <c r="A5" s="44" t="s">
        <v>232</v>
      </c>
      <c r="B5" s="24" t="s">
        <v>6</v>
      </c>
      <c r="C5" t="s">
        <v>32</v>
      </c>
      <c r="D5" t="s">
        <v>32</v>
      </c>
      <c r="E5" t="s">
        <v>32</v>
      </c>
      <c r="F5" t="s">
        <v>52</v>
      </c>
      <c r="G5" t="s">
        <v>32</v>
      </c>
      <c r="H5" t="s">
        <v>32</v>
      </c>
      <c r="I5" t="s">
        <v>52</v>
      </c>
      <c r="J5" t="s">
        <v>32</v>
      </c>
      <c r="K5" t="s">
        <v>32</v>
      </c>
      <c r="L5" t="s">
        <v>32</v>
      </c>
      <c r="M5" t="s">
        <v>32</v>
      </c>
      <c r="N5" t="s">
        <v>41</v>
      </c>
      <c r="O5" t="s">
        <v>32</v>
      </c>
      <c r="P5" t="s">
        <v>41</v>
      </c>
      <c r="Q5" t="s">
        <v>32</v>
      </c>
      <c r="R5" t="s">
        <v>32</v>
      </c>
      <c r="S5" t="s">
        <v>32</v>
      </c>
      <c r="T5" t="s">
        <v>41</v>
      </c>
      <c r="U5" t="s">
        <v>52</v>
      </c>
      <c r="V5" t="s">
        <v>52</v>
      </c>
      <c r="W5" t="s">
        <v>52</v>
      </c>
      <c r="X5" t="s">
        <v>52</v>
      </c>
      <c r="Y5" t="s">
        <v>52</v>
      </c>
      <c r="Z5" t="s">
        <v>52</v>
      </c>
      <c r="AA5" t="s">
        <v>52</v>
      </c>
      <c r="AB5" t="s">
        <v>41</v>
      </c>
      <c r="AC5" t="s">
        <v>32</v>
      </c>
      <c r="AD5" t="s">
        <v>52</v>
      </c>
      <c r="AE5" t="s">
        <v>32</v>
      </c>
      <c r="AF5" t="s">
        <v>32</v>
      </c>
      <c r="AG5" t="s">
        <v>41</v>
      </c>
      <c r="AH5" t="s">
        <v>41</v>
      </c>
      <c r="AI5" t="s">
        <v>32</v>
      </c>
      <c r="AJ5" t="s">
        <v>41</v>
      </c>
      <c r="AK5" t="s">
        <v>41</v>
      </c>
      <c r="AL5" t="s">
        <v>32</v>
      </c>
      <c r="AM5" t="s">
        <v>32</v>
      </c>
      <c r="AN5" t="s">
        <v>32</v>
      </c>
      <c r="AO5" t="s">
        <v>41</v>
      </c>
      <c r="AP5" t="s">
        <v>32</v>
      </c>
      <c r="AQ5" t="s">
        <v>41</v>
      </c>
      <c r="AR5" t="s">
        <v>52</v>
      </c>
      <c r="AS5" t="s">
        <v>41</v>
      </c>
      <c r="AT5" t="s">
        <v>32</v>
      </c>
      <c r="AU5" t="s">
        <v>32</v>
      </c>
      <c r="AV5" t="s">
        <v>32</v>
      </c>
      <c r="AW5" t="s">
        <v>32</v>
      </c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89"/>
      <c r="BI5" s="89"/>
      <c r="BJ5" s="89"/>
      <c r="BK5" s="89"/>
      <c r="BL5" s="89"/>
      <c r="BM5" s="89"/>
      <c r="BN5" s="89"/>
      <c r="BO5" s="89"/>
      <c r="BP5" s="89"/>
      <c r="BQ5" s="89"/>
      <c r="BR5" s="89"/>
      <c r="BS5" s="89"/>
      <c r="BT5" s="89"/>
      <c r="BU5" s="89"/>
      <c r="BV5" s="89"/>
      <c r="BW5" s="89"/>
      <c r="BX5" s="89"/>
      <c r="BY5" s="89"/>
      <c r="BZ5" s="89"/>
      <c r="CA5" s="89"/>
      <c r="CB5" s="89"/>
      <c r="CC5" s="89"/>
      <c r="CD5" s="89"/>
      <c r="CE5" s="89"/>
      <c r="CF5" s="89"/>
      <c r="CG5" s="89"/>
      <c r="CH5" s="89"/>
      <c r="CI5" s="89"/>
      <c r="CJ5" s="89"/>
      <c r="CK5" s="89"/>
      <c r="CL5" s="89"/>
      <c r="CM5" s="89"/>
      <c r="CN5" t="s">
        <v>32</v>
      </c>
      <c r="CO5" t="s">
        <v>32</v>
      </c>
      <c r="CP5" t="s">
        <v>32</v>
      </c>
      <c r="CQ5" t="s">
        <v>32</v>
      </c>
      <c r="CR5" t="s">
        <v>32</v>
      </c>
      <c r="CS5" t="s">
        <v>52</v>
      </c>
      <c r="CT5" t="s">
        <v>52</v>
      </c>
      <c r="CU5" t="s">
        <v>52</v>
      </c>
      <c r="CV5" t="s">
        <v>32</v>
      </c>
      <c r="CW5" t="s">
        <v>32</v>
      </c>
      <c r="CX5" t="s">
        <v>32</v>
      </c>
      <c r="CY5" t="s">
        <v>52</v>
      </c>
      <c r="CZ5" t="s">
        <v>32</v>
      </c>
      <c r="DA5" t="s">
        <v>32</v>
      </c>
      <c r="DB5" t="s">
        <v>32</v>
      </c>
      <c r="DC5" t="s">
        <v>32</v>
      </c>
      <c r="DD5" t="s">
        <v>32</v>
      </c>
      <c r="DE5" t="s">
        <v>32</v>
      </c>
      <c r="DF5" t="s">
        <v>32</v>
      </c>
      <c r="DG5" t="s">
        <v>52</v>
      </c>
      <c r="DH5" t="s">
        <v>41</v>
      </c>
      <c r="DI5" t="s">
        <v>32</v>
      </c>
      <c r="DJ5" t="s">
        <v>41</v>
      </c>
      <c r="DK5" t="s">
        <v>32</v>
      </c>
      <c r="DL5" t="s">
        <v>52</v>
      </c>
      <c r="DM5" t="s">
        <v>52</v>
      </c>
      <c r="DN5" t="s">
        <v>32</v>
      </c>
      <c r="DO5" t="s">
        <v>52</v>
      </c>
      <c r="DP5" t="s">
        <v>32</v>
      </c>
      <c r="DQ5" t="s">
        <v>52</v>
      </c>
      <c r="DR5" t="s">
        <v>32</v>
      </c>
      <c r="DS5" t="s">
        <v>32</v>
      </c>
      <c r="DT5" t="s">
        <v>32</v>
      </c>
      <c r="DU5" t="s">
        <v>32</v>
      </c>
      <c r="DV5" t="s">
        <v>32</v>
      </c>
      <c r="DW5" t="s">
        <v>32</v>
      </c>
      <c r="DX5" t="s">
        <v>32</v>
      </c>
      <c r="DY5" t="s">
        <v>32</v>
      </c>
      <c r="DZ5" t="s">
        <v>32</v>
      </c>
      <c r="EA5" t="s">
        <v>32</v>
      </c>
      <c r="EB5" t="s">
        <v>32</v>
      </c>
      <c r="EC5" t="s">
        <v>32</v>
      </c>
      <c r="ED5" t="s">
        <v>32</v>
      </c>
      <c r="EE5" t="s">
        <v>52</v>
      </c>
      <c r="EF5" t="s">
        <v>32</v>
      </c>
      <c r="EG5" t="s">
        <v>32</v>
      </c>
      <c r="EH5" t="s">
        <v>32</v>
      </c>
      <c r="EI5" t="s">
        <v>32</v>
      </c>
      <c r="EJ5" t="s">
        <v>52</v>
      </c>
      <c r="EK5" t="s">
        <v>32</v>
      </c>
      <c r="EL5" t="s">
        <v>52</v>
      </c>
      <c r="EM5" t="s">
        <v>32</v>
      </c>
      <c r="EN5" t="s">
        <v>32</v>
      </c>
      <c r="EO5" t="s">
        <v>32</v>
      </c>
      <c r="EP5" t="s">
        <v>32</v>
      </c>
      <c r="EQ5" t="s">
        <v>32</v>
      </c>
      <c r="ER5" t="s">
        <v>32</v>
      </c>
      <c r="ES5" t="s">
        <v>52</v>
      </c>
      <c r="ET5" t="s">
        <v>32</v>
      </c>
      <c r="EU5" t="s">
        <v>32</v>
      </c>
      <c r="EV5" t="s">
        <v>32</v>
      </c>
      <c r="EW5" t="s">
        <v>52</v>
      </c>
      <c r="EX5" t="s">
        <v>32</v>
      </c>
    </row>
    <row r="6" spans="1:367" ht="57.75" customHeight="1" x14ac:dyDescent="0.3">
      <c r="A6" s="153" t="s">
        <v>97</v>
      </c>
      <c r="B6" s="24" t="s">
        <v>98</v>
      </c>
      <c r="C6" t="s">
        <v>32</v>
      </c>
      <c r="D6" t="s">
        <v>32</v>
      </c>
      <c r="E6" t="s">
        <v>32</v>
      </c>
      <c r="F6" t="s">
        <v>52</v>
      </c>
      <c r="G6" t="s">
        <v>52</v>
      </c>
      <c r="H6" t="s">
        <v>52</v>
      </c>
      <c r="I6" t="s">
        <v>52</v>
      </c>
      <c r="J6" t="s">
        <v>41</v>
      </c>
      <c r="K6" t="s">
        <v>52</v>
      </c>
      <c r="L6" t="s">
        <v>32</v>
      </c>
      <c r="M6" t="s">
        <v>52</v>
      </c>
      <c r="N6" t="s">
        <v>41</v>
      </c>
      <c r="O6" t="s">
        <v>41</v>
      </c>
      <c r="P6" t="s">
        <v>41</v>
      </c>
      <c r="Q6" t="s">
        <v>32</v>
      </c>
      <c r="R6" t="s">
        <v>52</v>
      </c>
      <c r="S6" t="s">
        <v>52</v>
      </c>
      <c r="T6" t="s">
        <v>32</v>
      </c>
      <c r="U6" t="s">
        <v>32</v>
      </c>
      <c r="V6" t="s">
        <v>41</v>
      </c>
      <c r="W6" t="s">
        <v>52</v>
      </c>
      <c r="X6" t="s">
        <v>32</v>
      </c>
      <c r="Y6" t="s">
        <v>52</v>
      </c>
      <c r="Z6" t="s">
        <v>41</v>
      </c>
      <c r="AA6" t="s">
        <v>41</v>
      </c>
      <c r="AB6" t="s">
        <v>41</v>
      </c>
      <c r="AC6" t="s">
        <v>41</v>
      </c>
      <c r="AD6" t="s">
        <v>41</v>
      </c>
      <c r="AE6" t="s">
        <v>52</v>
      </c>
      <c r="AF6" t="s">
        <v>52</v>
      </c>
      <c r="AG6" t="s">
        <v>52</v>
      </c>
      <c r="AH6" t="s">
        <v>41</v>
      </c>
      <c r="AI6" t="s">
        <v>32</v>
      </c>
      <c r="AJ6" t="s">
        <v>41</v>
      </c>
      <c r="AK6" t="s">
        <v>41</v>
      </c>
      <c r="AL6" t="s">
        <v>32</v>
      </c>
      <c r="AM6" t="s">
        <v>52</v>
      </c>
      <c r="AN6" t="s">
        <v>52</v>
      </c>
      <c r="AO6" t="s">
        <v>32</v>
      </c>
      <c r="AP6" t="s">
        <v>32</v>
      </c>
      <c r="AQ6" t="s">
        <v>32</v>
      </c>
      <c r="AR6" t="s">
        <v>32</v>
      </c>
      <c r="AS6" t="s">
        <v>32</v>
      </c>
      <c r="AT6" t="s">
        <v>52</v>
      </c>
      <c r="AU6" t="s">
        <v>32</v>
      </c>
      <c r="AV6" t="s">
        <v>32</v>
      </c>
      <c r="AW6" t="s">
        <v>32</v>
      </c>
      <c r="AX6" s="89"/>
      <c r="AY6" s="89"/>
      <c r="AZ6" s="89"/>
      <c r="BA6" s="89"/>
      <c r="BB6" s="89"/>
      <c r="BC6" s="89"/>
      <c r="BD6" s="89"/>
      <c r="BE6" s="89"/>
      <c r="BF6" s="89"/>
      <c r="BG6" s="89"/>
      <c r="BH6" s="89"/>
      <c r="BI6" s="89"/>
      <c r="BJ6" s="89"/>
      <c r="BK6" s="89"/>
      <c r="BL6" s="89"/>
      <c r="BM6" s="89"/>
      <c r="BN6" s="89"/>
      <c r="BO6" s="89"/>
      <c r="BP6" s="89"/>
      <c r="BQ6" s="89"/>
      <c r="BR6" s="89"/>
      <c r="BS6" s="89"/>
      <c r="BT6" s="89"/>
      <c r="BU6" s="89"/>
      <c r="BV6" s="89"/>
      <c r="BW6" s="89"/>
      <c r="BX6" s="89"/>
      <c r="BY6" s="89"/>
      <c r="BZ6" s="89"/>
      <c r="CA6" s="89"/>
      <c r="CB6" s="89"/>
      <c r="CC6" s="89"/>
      <c r="CD6" s="89"/>
      <c r="CE6" s="89"/>
      <c r="CF6" s="89"/>
      <c r="CG6" s="89"/>
      <c r="CH6" s="89"/>
      <c r="CI6" s="89"/>
      <c r="CJ6" s="89"/>
      <c r="CK6" s="89"/>
      <c r="CL6" s="89"/>
      <c r="CM6" s="89"/>
      <c r="CN6" t="s">
        <v>32</v>
      </c>
      <c r="CO6" t="s">
        <v>52</v>
      </c>
      <c r="CP6" t="s">
        <v>32</v>
      </c>
      <c r="CQ6" t="s">
        <v>52</v>
      </c>
      <c r="CR6" t="s">
        <v>52</v>
      </c>
      <c r="CS6" t="s">
        <v>52</v>
      </c>
      <c r="CT6" t="s">
        <v>52</v>
      </c>
      <c r="CU6" t="s">
        <v>52</v>
      </c>
      <c r="CV6" t="s">
        <v>41</v>
      </c>
      <c r="CW6" t="s">
        <v>52</v>
      </c>
      <c r="CX6" t="s">
        <v>52</v>
      </c>
      <c r="CY6" t="s">
        <v>52</v>
      </c>
      <c r="CZ6" t="s">
        <v>52</v>
      </c>
      <c r="DA6" t="s">
        <v>52</v>
      </c>
      <c r="DB6" t="s">
        <v>52</v>
      </c>
      <c r="DC6" t="s">
        <v>52</v>
      </c>
      <c r="DD6" t="s">
        <v>52</v>
      </c>
      <c r="DE6" t="s">
        <v>52</v>
      </c>
      <c r="DF6" t="s">
        <v>52</v>
      </c>
      <c r="DG6" t="s">
        <v>41</v>
      </c>
      <c r="DH6" t="s">
        <v>41</v>
      </c>
      <c r="DI6" t="s">
        <v>52</v>
      </c>
      <c r="DJ6" t="s">
        <v>52</v>
      </c>
      <c r="DK6" t="s">
        <v>41</v>
      </c>
      <c r="DL6" t="s">
        <v>52</v>
      </c>
      <c r="DM6" t="s">
        <v>52</v>
      </c>
      <c r="DN6" t="s">
        <v>52</v>
      </c>
      <c r="DO6" t="s">
        <v>32</v>
      </c>
      <c r="DP6" t="s">
        <v>52</v>
      </c>
      <c r="DQ6" t="s">
        <v>52</v>
      </c>
      <c r="DR6" t="s">
        <v>52</v>
      </c>
      <c r="DS6" t="s">
        <v>52</v>
      </c>
      <c r="DT6" t="s">
        <v>52</v>
      </c>
      <c r="DU6" t="s">
        <v>52</v>
      </c>
      <c r="DV6" t="s">
        <v>52</v>
      </c>
      <c r="DW6" t="s">
        <v>52</v>
      </c>
      <c r="DX6" t="s">
        <v>52</v>
      </c>
      <c r="DY6" t="s">
        <v>52</v>
      </c>
      <c r="DZ6" t="s">
        <v>52</v>
      </c>
      <c r="EA6" t="s">
        <v>52</v>
      </c>
      <c r="EB6" t="s">
        <v>52</v>
      </c>
      <c r="EC6" t="s">
        <v>52</v>
      </c>
      <c r="ED6" t="s">
        <v>52</v>
      </c>
      <c r="EE6" t="s">
        <v>52</v>
      </c>
      <c r="EF6" t="s">
        <v>52</v>
      </c>
      <c r="EG6" t="s">
        <v>52</v>
      </c>
      <c r="EH6" t="s">
        <v>52</v>
      </c>
      <c r="EI6" t="s">
        <v>52</v>
      </c>
      <c r="EJ6" t="s">
        <v>52</v>
      </c>
      <c r="EK6" t="s">
        <v>52</v>
      </c>
      <c r="EL6" t="s">
        <v>52</v>
      </c>
      <c r="EM6" t="s">
        <v>52</v>
      </c>
      <c r="EN6" t="s">
        <v>52</v>
      </c>
      <c r="EO6" t="s">
        <v>52</v>
      </c>
      <c r="EP6" t="s">
        <v>52</v>
      </c>
      <c r="EQ6" t="s">
        <v>52</v>
      </c>
      <c r="ER6" t="s">
        <v>52</v>
      </c>
      <c r="ES6" t="s">
        <v>52</v>
      </c>
      <c r="ET6" t="s">
        <v>52</v>
      </c>
      <c r="EU6" t="s">
        <v>52</v>
      </c>
      <c r="EV6" t="s">
        <v>52</v>
      </c>
      <c r="EW6" t="s">
        <v>52</v>
      </c>
      <c r="EX6" t="s">
        <v>52</v>
      </c>
    </row>
    <row r="7" spans="1:367" ht="46.5" customHeight="1" x14ac:dyDescent="0.3">
      <c r="A7" s="157"/>
      <c r="B7" s="24" t="s">
        <v>214</v>
      </c>
      <c r="C7" t="s">
        <v>32</v>
      </c>
      <c r="D7" t="s">
        <v>32</v>
      </c>
      <c r="E7" t="s">
        <v>32</v>
      </c>
      <c r="F7" t="s">
        <v>52</v>
      </c>
      <c r="G7" t="s">
        <v>52</v>
      </c>
      <c r="H7" t="s">
        <v>52</v>
      </c>
      <c r="I7" t="s">
        <v>32</v>
      </c>
      <c r="J7" t="s">
        <v>32</v>
      </c>
      <c r="K7" t="s">
        <v>32</v>
      </c>
      <c r="L7" t="s">
        <v>32</v>
      </c>
      <c r="M7" t="s">
        <v>52</v>
      </c>
      <c r="N7" t="s">
        <v>41</v>
      </c>
      <c r="O7" t="s">
        <v>41</v>
      </c>
      <c r="P7" t="s">
        <v>41</v>
      </c>
      <c r="Q7" t="s">
        <v>32</v>
      </c>
      <c r="R7" t="s">
        <v>52</v>
      </c>
      <c r="S7" t="s">
        <v>52</v>
      </c>
      <c r="T7" t="s">
        <v>32</v>
      </c>
      <c r="U7" t="s">
        <v>32</v>
      </c>
      <c r="V7" t="s">
        <v>41</v>
      </c>
      <c r="W7" t="s">
        <v>52</v>
      </c>
      <c r="X7" t="s">
        <v>52</v>
      </c>
      <c r="Y7" t="s">
        <v>52</v>
      </c>
      <c r="Z7" t="s">
        <v>41</v>
      </c>
      <c r="AA7" t="s">
        <v>41</v>
      </c>
      <c r="AB7" t="s">
        <v>41</v>
      </c>
      <c r="AC7" t="s">
        <v>41</v>
      </c>
      <c r="AD7" t="s">
        <v>41</v>
      </c>
      <c r="AE7" t="s">
        <v>32</v>
      </c>
      <c r="AF7" t="s">
        <v>52</v>
      </c>
      <c r="AG7" t="s">
        <v>52</v>
      </c>
      <c r="AH7" t="s">
        <v>41</v>
      </c>
      <c r="AI7" t="s">
        <v>32</v>
      </c>
      <c r="AJ7" t="s">
        <v>41</v>
      </c>
      <c r="AK7" t="s">
        <v>41</v>
      </c>
      <c r="AL7" t="s">
        <v>32</v>
      </c>
      <c r="AM7" t="s">
        <v>52</v>
      </c>
      <c r="AN7" t="s">
        <v>52</v>
      </c>
      <c r="AO7" t="s">
        <v>32</v>
      </c>
      <c r="AP7" t="s">
        <v>52</v>
      </c>
      <c r="AQ7" t="s">
        <v>52</v>
      </c>
      <c r="AR7" t="s">
        <v>52</v>
      </c>
      <c r="AS7" t="s">
        <v>52</v>
      </c>
      <c r="AT7" t="s">
        <v>52</v>
      </c>
      <c r="AU7" t="s">
        <v>52</v>
      </c>
      <c r="AV7" t="s">
        <v>52</v>
      </c>
      <c r="AW7" t="s">
        <v>52</v>
      </c>
      <c r="AX7" s="89"/>
      <c r="AY7" s="89"/>
      <c r="AZ7" s="89"/>
      <c r="BA7" s="89"/>
      <c r="BB7" s="89"/>
      <c r="BC7" s="89"/>
      <c r="BD7" s="89"/>
      <c r="BE7" s="89"/>
      <c r="BF7" s="89"/>
      <c r="BG7" s="89"/>
      <c r="BH7" s="89"/>
      <c r="BI7" s="89"/>
      <c r="BJ7" s="89"/>
      <c r="BK7" s="89"/>
      <c r="BL7" s="89"/>
      <c r="BM7" s="89"/>
      <c r="BN7" s="89"/>
      <c r="BO7" s="89"/>
      <c r="BP7" s="89"/>
      <c r="BQ7" s="89"/>
      <c r="BR7" s="89"/>
      <c r="BS7" s="89"/>
      <c r="BT7" s="89"/>
      <c r="BU7" s="89"/>
      <c r="BV7" s="89"/>
      <c r="BW7" s="89"/>
      <c r="BX7" s="89"/>
      <c r="BY7" s="89"/>
      <c r="BZ7" s="89"/>
      <c r="CA7" s="89"/>
      <c r="CB7" s="89"/>
      <c r="CC7" s="89"/>
      <c r="CD7" s="89"/>
      <c r="CE7" s="89"/>
      <c r="CF7" s="89"/>
      <c r="CG7" s="89"/>
      <c r="CH7" s="89"/>
      <c r="CI7" s="89"/>
      <c r="CJ7" s="89"/>
      <c r="CK7" s="89"/>
      <c r="CL7" s="89"/>
      <c r="CM7" s="89"/>
      <c r="CN7" t="s">
        <v>32</v>
      </c>
      <c r="CO7" t="s">
        <v>32</v>
      </c>
      <c r="CP7" t="s">
        <v>32</v>
      </c>
      <c r="CQ7" t="s">
        <v>52</v>
      </c>
      <c r="CR7" t="s">
        <v>52</v>
      </c>
      <c r="CS7" t="s">
        <v>52</v>
      </c>
      <c r="CT7" t="s">
        <v>41</v>
      </c>
      <c r="CU7" t="s">
        <v>41</v>
      </c>
      <c r="CV7" t="s">
        <v>52</v>
      </c>
      <c r="CW7" t="s">
        <v>32</v>
      </c>
      <c r="CX7" t="s">
        <v>52</v>
      </c>
      <c r="CY7" t="s">
        <v>52</v>
      </c>
      <c r="CZ7" t="s">
        <v>32</v>
      </c>
      <c r="DA7" t="s">
        <v>32</v>
      </c>
      <c r="DB7" t="s">
        <v>32</v>
      </c>
      <c r="DC7" t="s">
        <v>52</v>
      </c>
      <c r="DD7" t="s">
        <v>32</v>
      </c>
      <c r="DE7" t="s">
        <v>52</v>
      </c>
      <c r="DF7" t="s">
        <v>52</v>
      </c>
      <c r="DG7" t="s">
        <v>41</v>
      </c>
      <c r="DH7" t="s">
        <v>41</v>
      </c>
      <c r="DI7" t="s">
        <v>32</v>
      </c>
      <c r="DJ7" t="s">
        <v>52</v>
      </c>
      <c r="DK7" t="s">
        <v>41</v>
      </c>
      <c r="DL7" t="s">
        <v>52</v>
      </c>
      <c r="DM7" t="s">
        <v>52</v>
      </c>
      <c r="DN7" t="s">
        <v>32</v>
      </c>
      <c r="DO7" t="s">
        <v>32</v>
      </c>
      <c r="DP7" t="s">
        <v>32</v>
      </c>
      <c r="DQ7" t="s">
        <v>52</v>
      </c>
      <c r="DR7" t="s">
        <v>32</v>
      </c>
      <c r="DS7" t="s">
        <v>32</v>
      </c>
      <c r="DT7" t="s">
        <v>32</v>
      </c>
      <c r="DU7" t="s">
        <v>32</v>
      </c>
      <c r="DV7" t="s">
        <v>32</v>
      </c>
      <c r="DW7" t="s">
        <v>32</v>
      </c>
      <c r="DX7" t="s">
        <v>32</v>
      </c>
      <c r="DY7" t="s">
        <v>32</v>
      </c>
      <c r="DZ7" t="s">
        <v>32</v>
      </c>
      <c r="EA7" t="s">
        <v>32</v>
      </c>
      <c r="EB7" t="s">
        <v>32</v>
      </c>
      <c r="EC7" t="s">
        <v>32</v>
      </c>
      <c r="ED7" t="s">
        <v>32</v>
      </c>
      <c r="EE7" t="s">
        <v>32</v>
      </c>
      <c r="EF7" t="s">
        <v>32</v>
      </c>
      <c r="EG7" t="s">
        <v>52</v>
      </c>
      <c r="EH7" t="s">
        <v>52</v>
      </c>
      <c r="EI7" t="s">
        <v>41</v>
      </c>
      <c r="EJ7" t="s">
        <v>41</v>
      </c>
      <c r="EK7" t="s">
        <v>41</v>
      </c>
      <c r="EL7" t="s">
        <v>41</v>
      </c>
      <c r="EM7" t="s">
        <v>41</v>
      </c>
      <c r="EN7" t="s">
        <v>52</v>
      </c>
      <c r="EO7" t="s">
        <v>52</v>
      </c>
      <c r="EP7" t="s">
        <v>41</v>
      </c>
      <c r="EQ7" t="s">
        <v>32</v>
      </c>
      <c r="ER7" t="s">
        <v>32</v>
      </c>
      <c r="ES7" t="s">
        <v>52</v>
      </c>
      <c r="ET7" t="s">
        <v>32</v>
      </c>
      <c r="EU7" t="s">
        <v>52</v>
      </c>
      <c r="EV7" t="s">
        <v>52</v>
      </c>
      <c r="EW7" t="s">
        <v>52</v>
      </c>
      <c r="EX7" t="s">
        <v>32</v>
      </c>
    </row>
    <row r="8" spans="1:367" ht="33" customHeight="1" x14ac:dyDescent="0.3">
      <c r="A8" s="153" t="s">
        <v>8</v>
      </c>
      <c r="B8" s="24" t="s">
        <v>5</v>
      </c>
      <c r="C8" t="s">
        <v>32</v>
      </c>
      <c r="D8" t="s">
        <v>32</v>
      </c>
      <c r="E8" t="s">
        <v>52</v>
      </c>
      <c r="F8" t="s">
        <v>32</v>
      </c>
      <c r="G8" t="s">
        <v>32</v>
      </c>
      <c r="H8" t="s">
        <v>41</v>
      </c>
      <c r="I8" t="s">
        <v>41</v>
      </c>
      <c r="J8" t="s">
        <v>32</v>
      </c>
      <c r="K8" t="s">
        <v>32</v>
      </c>
      <c r="L8" t="s">
        <v>32</v>
      </c>
      <c r="M8" t="s">
        <v>32</v>
      </c>
      <c r="N8" t="s">
        <v>32</v>
      </c>
      <c r="O8" t="s">
        <v>32</v>
      </c>
      <c r="P8" t="s">
        <v>41</v>
      </c>
      <c r="Q8" t="s">
        <v>32</v>
      </c>
      <c r="R8" t="s">
        <v>32</v>
      </c>
      <c r="S8" t="s">
        <v>32</v>
      </c>
      <c r="T8" t="s">
        <v>41</v>
      </c>
      <c r="U8" t="s">
        <v>41</v>
      </c>
      <c r="V8" t="s">
        <v>32</v>
      </c>
      <c r="W8" t="s">
        <v>32</v>
      </c>
      <c r="X8" t="s">
        <v>32</v>
      </c>
      <c r="Y8" t="s">
        <v>32</v>
      </c>
      <c r="Z8" t="s">
        <v>32</v>
      </c>
      <c r="AA8" t="s">
        <v>41</v>
      </c>
      <c r="AB8" t="s">
        <v>41</v>
      </c>
      <c r="AC8" t="s">
        <v>41</v>
      </c>
      <c r="AD8" t="s">
        <v>41</v>
      </c>
      <c r="AE8" t="s">
        <v>32</v>
      </c>
      <c r="AF8" t="s">
        <v>32</v>
      </c>
      <c r="AG8" t="s">
        <v>32</v>
      </c>
      <c r="AH8" t="s">
        <v>32</v>
      </c>
      <c r="AI8" t="s">
        <v>32</v>
      </c>
      <c r="AJ8" t="s">
        <v>41</v>
      </c>
      <c r="AK8" t="s">
        <v>41</v>
      </c>
      <c r="AL8" t="s">
        <v>32</v>
      </c>
      <c r="AM8" t="s">
        <v>32</v>
      </c>
      <c r="AN8" t="s">
        <v>32</v>
      </c>
      <c r="AO8" t="s">
        <v>41</v>
      </c>
      <c r="AP8" t="s">
        <v>41</v>
      </c>
      <c r="AQ8" t="s">
        <v>32</v>
      </c>
      <c r="AR8" t="s">
        <v>32</v>
      </c>
      <c r="AS8" t="s">
        <v>32</v>
      </c>
      <c r="AT8" t="s">
        <v>32</v>
      </c>
      <c r="AU8" t="s">
        <v>32</v>
      </c>
      <c r="AV8" t="s">
        <v>32</v>
      </c>
      <c r="AW8" t="s">
        <v>41</v>
      </c>
      <c r="AX8" s="89"/>
      <c r="AY8" s="89"/>
      <c r="AZ8" s="89"/>
      <c r="BA8" s="89"/>
      <c r="BB8" s="89"/>
      <c r="BC8" s="89"/>
      <c r="BD8" s="89"/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89"/>
      <c r="BQ8" s="89"/>
      <c r="BR8" s="89"/>
      <c r="BS8" s="89"/>
      <c r="BT8" s="89"/>
      <c r="BU8" s="89"/>
      <c r="BV8" s="89"/>
      <c r="BW8" s="89"/>
      <c r="BX8" s="89"/>
      <c r="BY8" s="89"/>
      <c r="BZ8" s="89"/>
      <c r="CA8" s="89"/>
      <c r="CB8" s="89"/>
      <c r="CC8" s="89"/>
      <c r="CD8" s="89"/>
      <c r="CE8" s="89"/>
      <c r="CF8" s="89"/>
      <c r="CG8" s="89"/>
      <c r="CH8" s="89"/>
      <c r="CI8" s="89"/>
      <c r="CJ8" s="89"/>
      <c r="CK8" s="89"/>
      <c r="CL8" s="89"/>
      <c r="CM8" s="89"/>
      <c r="CN8" t="s">
        <v>41</v>
      </c>
      <c r="CO8" t="s">
        <v>32</v>
      </c>
      <c r="CP8" t="s">
        <v>32</v>
      </c>
      <c r="CQ8" t="s">
        <v>32</v>
      </c>
      <c r="CR8" t="s">
        <v>32</v>
      </c>
      <c r="CS8" t="s">
        <v>32</v>
      </c>
      <c r="CT8" t="s">
        <v>32</v>
      </c>
      <c r="CU8" t="s">
        <v>32</v>
      </c>
      <c r="CV8" t="s">
        <v>41</v>
      </c>
      <c r="CW8" t="s">
        <v>32</v>
      </c>
      <c r="CX8" t="s">
        <v>32</v>
      </c>
      <c r="CY8" t="s">
        <v>32</v>
      </c>
      <c r="CZ8" t="s">
        <v>32</v>
      </c>
      <c r="DA8" t="s">
        <v>32</v>
      </c>
      <c r="DB8" t="s">
        <v>32</v>
      </c>
      <c r="DC8" t="s">
        <v>32</v>
      </c>
      <c r="DD8" t="s">
        <v>32</v>
      </c>
      <c r="DE8" t="s">
        <v>32</v>
      </c>
      <c r="DF8" t="s">
        <v>32</v>
      </c>
      <c r="DG8" t="s">
        <v>41</v>
      </c>
      <c r="DH8" t="s">
        <v>41</v>
      </c>
      <c r="DI8" t="s">
        <v>41</v>
      </c>
      <c r="DJ8" t="s">
        <v>32</v>
      </c>
      <c r="DK8" t="s">
        <v>32</v>
      </c>
      <c r="DL8" t="s">
        <v>32</v>
      </c>
      <c r="DM8" t="s">
        <v>32</v>
      </c>
      <c r="DN8" t="s">
        <v>32</v>
      </c>
      <c r="DO8" t="s">
        <v>32</v>
      </c>
      <c r="DP8" t="s">
        <v>32</v>
      </c>
      <c r="DQ8" t="s">
        <v>32</v>
      </c>
      <c r="DR8" t="s">
        <v>32</v>
      </c>
      <c r="DS8" t="s">
        <v>32</v>
      </c>
      <c r="DT8" t="s">
        <v>32</v>
      </c>
      <c r="DU8" t="s">
        <v>32</v>
      </c>
      <c r="DV8" t="s">
        <v>32</v>
      </c>
      <c r="DW8" t="s">
        <v>32</v>
      </c>
      <c r="DX8" t="s">
        <v>32</v>
      </c>
      <c r="DY8" t="s">
        <v>32</v>
      </c>
      <c r="DZ8" t="s">
        <v>32</v>
      </c>
      <c r="EA8" t="s">
        <v>32</v>
      </c>
      <c r="EB8" t="s">
        <v>32</v>
      </c>
      <c r="EC8" t="s">
        <v>32</v>
      </c>
      <c r="ED8" t="s">
        <v>32</v>
      </c>
      <c r="EE8" t="s">
        <v>32</v>
      </c>
      <c r="EF8" t="s">
        <v>32</v>
      </c>
      <c r="EG8" t="s">
        <v>32</v>
      </c>
      <c r="EH8" t="s">
        <v>32</v>
      </c>
      <c r="EI8" t="s">
        <v>41</v>
      </c>
      <c r="EJ8" t="s">
        <v>41</v>
      </c>
      <c r="EK8" t="s">
        <v>32</v>
      </c>
      <c r="EL8" t="s">
        <v>32</v>
      </c>
      <c r="EM8" t="s">
        <v>32</v>
      </c>
      <c r="EN8" t="s">
        <v>32</v>
      </c>
      <c r="EO8" t="s">
        <v>32</v>
      </c>
      <c r="EP8" t="s">
        <v>41</v>
      </c>
      <c r="EQ8" t="s">
        <v>41</v>
      </c>
      <c r="ER8" t="s">
        <v>32</v>
      </c>
      <c r="ES8" t="s">
        <v>32</v>
      </c>
      <c r="ET8" t="s">
        <v>41</v>
      </c>
      <c r="EU8" t="s">
        <v>32</v>
      </c>
      <c r="EV8" t="s">
        <v>32</v>
      </c>
      <c r="EW8" t="s">
        <v>32</v>
      </c>
      <c r="EX8" t="s">
        <v>32</v>
      </c>
    </row>
    <row r="9" spans="1:367" ht="31.5" customHeight="1" x14ac:dyDescent="0.3">
      <c r="A9" s="154"/>
      <c r="B9" s="24" t="s">
        <v>4</v>
      </c>
      <c r="C9" t="s">
        <v>32</v>
      </c>
      <c r="D9" t="s">
        <v>32</v>
      </c>
      <c r="E9" t="s">
        <v>52</v>
      </c>
      <c r="F9" t="s">
        <v>41</v>
      </c>
      <c r="G9" t="s">
        <v>32</v>
      </c>
      <c r="H9" t="s">
        <v>41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  <c r="O9" t="s">
        <v>41</v>
      </c>
      <c r="P9" t="s">
        <v>41</v>
      </c>
      <c r="Q9" t="s">
        <v>41</v>
      </c>
      <c r="R9" t="s">
        <v>32</v>
      </c>
      <c r="S9" t="s">
        <v>32</v>
      </c>
      <c r="T9" t="s">
        <v>41</v>
      </c>
      <c r="U9" t="s">
        <v>41</v>
      </c>
      <c r="V9" t="s">
        <v>41</v>
      </c>
      <c r="W9" t="s">
        <v>41</v>
      </c>
      <c r="X9" t="s">
        <v>41</v>
      </c>
      <c r="Y9" t="s">
        <v>32</v>
      </c>
      <c r="Z9" t="s">
        <v>32</v>
      </c>
      <c r="AA9" t="s">
        <v>41</v>
      </c>
      <c r="AB9" t="s">
        <v>41</v>
      </c>
      <c r="AC9" t="s">
        <v>41</v>
      </c>
      <c r="AD9" t="s">
        <v>41</v>
      </c>
      <c r="AE9" t="s">
        <v>41</v>
      </c>
      <c r="AF9" t="s">
        <v>32</v>
      </c>
      <c r="AG9" t="s">
        <v>32</v>
      </c>
      <c r="AH9" t="s">
        <v>41</v>
      </c>
      <c r="AI9" t="s">
        <v>41</v>
      </c>
      <c r="AJ9" t="s">
        <v>41</v>
      </c>
      <c r="AK9" t="s">
        <v>41</v>
      </c>
      <c r="AL9" t="s">
        <v>41</v>
      </c>
      <c r="AM9" t="s">
        <v>32</v>
      </c>
      <c r="AN9" t="s">
        <v>32</v>
      </c>
      <c r="AO9" t="s">
        <v>41</v>
      </c>
      <c r="AP9" t="s">
        <v>41</v>
      </c>
      <c r="AQ9" t="s">
        <v>41</v>
      </c>
      <c r="AR9" t="s">
        <v>41</v>
      </c>
      <c r="AS9" t="s">
        <v>41</v>
      </c>
      <c r="AT9" t="s">
        <v>32</v>
      </c>
      <c r="AU9" t="s">
        <v>32</v>
      </c>
      <c r="AV9" t="s">
        <v>32</v>
      </c>
      <c r="AW9" t="s">
        <v>41</v>
      </c>
      <c r="AX9" s="89"/>
      <c r="AY9" s="89"/>
      <c r="AZ9" s="89"/>
      <c r="BA9" s="89"/>
      <c r="BB9" s="89"/>
      <c r="BC9" s="89"/>
      <c r="BD9" s="89"/>
      <c r="BE9" s="89"/>
      <c r="BF9" s="89"/>
      <c r="BG9" s="89"/>
      <c r="BH9" s="89"/>
      <c r="BI9" s="89"/>
      <c r="BJ9" s="89"/>
      <c r="BK9" s="89"/>
      <c r="BL9" s="89"/>
      <c r="BM9" s="89"/>
      <c r="BN9" s="89"/>
      <c r="BO9" s="89"/>
      <c r="BP9" s="89"/>
      <c r="BQ9" s="89"/>
      <c r="BR9" s="89"/>
      <c r="BS9" s="89"/>
      <c r="BT9" s="89"/>
      <c r="BU9" s="89"/>
      <c r="BV9" s="89"/>
      <c r="BW9" s="89"/>
      <c r="BX9" s="89"/>
      <c r="BY9" s="89"/>
      <c r="BZ9" s="89"/>
      <c r="CA9" s="89"/>
      <c r="CB9" s="89"/>
      <c r="CC9" s="89"/>
      <c r="CD9" s="89"/>
      <c r="CE9" s="89"/>
      <c r="CF9" s="89"/>
      <c r="CG9" s="89"/>
      <c r="CH9" s="89"/>
      <c r="CI9" s="89"/>
      <c r="CJ9" s="89"/>
      <c r="CK9" s="89"/>
      <c r="CL9" s="89"/>
      <c r="CM9" s="89"/>
      <c r="CN9" t="s">
        <v>41</v>
      </c>
      <c r="CO9" t="s">
        <v>41</v>
      </c>
      <c r="CP9" t="s">
        <v>32</v>
      </c>
      <c r="CQ9" t="s">
        <v>32</v>
      </c>
      <c r="CR9" t="s">
        <v>32</v>
      </c>
      <c r="CS9" t="s">
        <v>41</v>
      </c>
      <c r="CT9" t="s">
        <v>41</v>
      </c>
      <c r="CU9" t="s">
        <v>41</v>
      </c>
      <c r="CV9" t="s">
        <v>41</v>
      </c>
      <c r="CW9" t="s">
        <v>32</v>
      </c>
      <c r="CX9" t="s">
        <v>32</v>
      </c>
      <c r="CY9" t="s">
        <v>32</v>
      </c>
      <c r="CZ9" t="s">
        <v>32</v>
      </c>
      <c r="DA9" t="s">
        <v>41</v>
      </c>
      <c r="DB9" t="s">
        <v>41</v>
      </c>
      <c r="DC9" t="s">
        <v>41</v>
      </c>
      <c r="DD9" t="s">
        <v>41</v>
      </c>
      <c r="DE9" t="s">
        <v>32</v>
      </c>
      <c r="DF9" t="s">
        <v>32</v>
      </c>
      <c r="DG9" t="s">
        <v>32</v>
      </c>
      <c r="DH9" t="s">
        <v>32</v>
      </c>
      <c r="DI9" t="s">
        <v>41</v>
      </c>
      <c r="DJ9" t="s">
        <v>41</v>
      </c>
      <c r="DK9" t="s">
        <v>41</v>
      </c>
      <c r="DL9" t="s">
        <v>32</v>
      </c>
      <c r="DM9" t="s">
        <v>32</v>
      </c>
      <c r="DN9" t="s">
        <v>41</v>
      </c>
      <c r="DO9" t="s">
        <v>41</v>
      </c>
      <c r="DP9" t="s">
        <v>41</v>
      </c>
      <c r="DQ9" t="s">
        <v>41</v>
      </c>
      <c r="DR9" t="s">
        <v>41</v>
      </c>
      <c r="DS9" t="s">
        <v>32</v>
      </c>
      <c r="DT9" t="s">
        <v>32</v>
      </c>
      <c r="DU9" t="s">
        <v>41</v>
      </c>
      <c r="DV9" t="s">
        <v>41</v>
      </c>
      <c r="DW9" t="s">
        <v>41</v>
      </c>
      <c r="DX9" t="s">
        <v>41</v>
      </c>
      <c r="DY9" t="s">
        <v>41</v>
      </c>
      <c r="DZ9" t="s">
        <v>41</v>
      </c>
      <c r="EA9" t="s">
        <v>41</v>
      </c>
      <c r="EB9" t="s">
        <v>41</v>
      </c>
      <c r="EC9" t="s">
        <v>41</v>
      </c>
      <c r="ED9" t="s">
        <v>41</v>
      </c>
      <c r="EE9" t="s">
        <v>41</v>
      </c>
      <c r="EF9" t="s">
        <v>41</v>
      </c>
      <c r="EG9" t="s">
        <v>32</v>
      </c>
      <c r="EH9" t="s">
        <v>32</v>
      </c>
      <c r="EI9" t="s">
        <v>41</v>
      </c>
      <c r="EJ9" t="s">
        <v>41</v>
      </c>
      <c r="EK9" t="s">
        <v>41</v>
      </c>
      <c r="EL9" t="s">
        <v>41</v>
      </c>
      <c r="EM9" t="s">
        <v>41</v>
      </c>
      <c r="EN9" t="s">
        <v>32</v>
      </c>
      <c r="EO9" t="s">
        <v>32</v>
      </c>
      <c r="EP9" t="s">
        <v>41</v>
      </c>
      <c r="EQ9" t="s">
        <v>41</v>
      </c>
      <c r="ER9" t="s">
        <v>41</v>
      </c>
      <c r="ES9" t="s">
        <v>41</v>
      </c>
      <c r="ET9" t="s">
        <v>41</v>
      </c>
      <c r="EU9" t="s">
        <v>32</v>
      </c>
      <c r="EV9" t="s">
        <v>32</v>
      </c>
      <c r="EW9" t="s">
        <v>32</v>
      </c>
      <c r="EX9" t="s">
        <v>41</v>
      </c>
    </row>
    <row r="10" spans="1:367" ht="99" customHeight="1" x14ac:dyDescent="0.3">
      <c r="A10" s="44" t="s">
        <v>213</v>
      </c>
      <c r="B10" s="44" t="s">
        <v>213</v>
      </c>
      <c r="CN10" t="s">
        <v>32</v>
      </c>
      <c r="CO10" t="s">
        <v>32</v>
      </c>
      <c r="CP10" t="s">
        <v>32</v>
      </c>
      <c r="CQ10" t="s">
        <v>32</v>
      </c>
      <c r="CR10" t="s">
        <v>32</v>
      </c>
      <c r="CS10" t="s">
        <v>32</v>
      </c>
      <c r="CT10" t="s">
        <v>41</v>
      </c>
      <c r="CU10" t="s">
        <v>41</v>
      </c>
      <c r="CV10" t="s">
        <v>41</v>
      </c>
      <c r="CW10" t="s">
        <v>32</v>
      </c>
      <c r="CX10" t="s">
        <v>32</v>
      </c>
      <c r="CY10" t="s">
        <v>32</v>
      </c>
      <c r="CZ10" t="s">
        <v>41</v>
      </c>
      <c r="DA10" t="s">
        <v>41</v>
      </c>
      <c r="DB10" t="s">
        <v>41</v>
      </c>
      <c r="DC10" t="s">
        <v>41</v>
      </c>
      <c r="DD10" t="s">
        <v>41</v>
      </c>
      <c r="DE10" t="s">
        <v>32</v>
      </c>
      <c r="DF10" t="s">
        <v>41</v>
      </c>
      <c r="DG10" t="s">
        <v>41</v>
      </c>
      <c r="DH10" t="s">
        <v>41</v>
      </c>
      <c r="DI10" t="s">
        <v>41</v>
      </c>
      <c r="DJ10" t="s">
        <v>32</v>
      </c>
      <c r="DK10" t="s">
        <v>41</v>
      </c>
      <c r="DL10" t="s">
        <v>41</v>
      </c>
      <c r="DM10" t="s">
        <v>32</v>
      </c>
      <c r="DN10" t="s">
        <v>32</v>
      </c>
      <c r="DO10" t="s">
        <v>41</v>
      </c>
      <c r="DP10" t="s">
        <v>32</v>
      </c>
      <c r="DQ10" t="s">
        <v>32</v>
      </c>
      <c r="DR10" t="s">
        <v>41</v>
      </c>
      <c r="DS10" t="s">
        <v>41</v>
      </c>
      <c r="DT10" t="s">
        <v>41</v>
      </c>
      <c r="DU10" t="s">
        <v>41</v>
      </c>
      <c r="DV10" t="s">
        <v>41</v>
      </c>
      <c r="DW10" t="s">
        <v>41</v>
      </c>
      <c r="DX10" t="s">
        <v>41</v>
      </c>
      <c r="DY10" t="s">
        <v>41</v>
      </c>
      <c r="DZ10" t="s">
        <v>41</v>
      </c>
      <c r="EA10" t="s">
        <v>41</v>
      </c>
      <c r="EB10" t="s">
        <v>41</v>
      </c>
      <c r="EC10" t="s">
        <v>41</v>
      </c>
      <c r="ED10" t="s">
        <v>41</v>
      </c>
      <c r="EE10" t="s">
        <v>41</v>
      </c>
      <c r="EF10" t="s">
        <v>32</v>
      </c>
      <c r="EG10" t="s">
        <v>32</v>
      </c>
      <c r="EH10" t="s">
        <v>32</v>
      </c>
      <c r="EI10" t="s">
        <v>41</v>
      </c>
      <c r="EJ10" t="s">
        <v>41</v>
      </c>
      <c r="EK10" t="s">
        <v>32</v>
      </c>
      <c r="EL10" t="s">
        <v>32</v>
      </c>
      <c r="EM10" t="s">
        <v>32</v>
      </c>
      <c r="EN10" t="s">
        <v>32</v>
      </c>
      <c r="EO10" t="s">
        <v>32</v>
      </c>
      <c r="EP10" t="s">
        <v>32</v>
      </c>
      <c r="EQ10" t="s">
        <v>32</v>
      </c>
      <c r="ER10" t="s">
        <v>32</v>
      </c>
      <c r="ES10" t="s">
        <v>32</v>
      </c>
      <c r="ET10" t="s">
        <v>32</v>
      </c>
      <c r="EU10" t="s">
        <v>32</v>
      </c>
      <c r="EV10" t="s">
        <v>32</v>
      </c>
      <c r="EW10" t="s">
        <v>32</v>
      </c>
      <c r="EX10" t="s">
        <v>32</v>
      </c>
    </row>
  </sheetData>
  <mergeCells count="54">
    <mergeCell ref="MH2:MN2"/>
    <mergeCell ref="MO2:MU2"/>
    <mergeCell ref="MV2:NB2"/>
    <mergeCell ref="KY2:LE2"/>
    <mergeCell ref="LF2:LL2"/>
    <mergeCell ref="LM2:LS2"/>
    <mergeCell ref="LT2:LZ2"/>
    <mergeCell ref="MA2:MG2"/>
    <mergeCell ref="JP2:JV2"/>
    <mergeCell ref="JW2:KC2"/>
    <mergeCell ref="KD2:KJ2"/>
    <mergeCell ref="KK2:KQ2"/>
    <mergeCell ref="KR2:KX2"/>
    <mergeCell ref="IG2:IM2"/>
    <mergeCell ref="IN2:IT2"/>
    <mergeCell ref="IU2:JA2"/>
    <mergeCell ref="JB2:JH2"/>
    <mergeCell ref="JI2:JO2"/>
    <mergeCell ref="GX2:HD2"/>
    <mergeCell ref="HE2:HK2"/>
    <mergeCell ref="HL2:HR2"/>
    <mergeCell ref="HS2:HY2"/>
    <mergeCell ref="HZ2:IF2"/>
    <mergeCell ref="FO2:FU2"/>
    <mergeCell ref="FV2:GB2"/>
    <mergeCell ref="GC2:GI2"/>
    <mergeCell ref="GJ2:GP2"/>
    <mergeCell ref="GQ2:GW2"/>
    <mergeCell ref="EF2:EL2"/>
    <mergeCell ref="EM2:ES2"/>
    <mergeCell ref="ET2:EZ2"/>
    <mergeCell ref="FA2:FG2"/>
    <mergeCell ref="FH2:FN2"/>
    <mergeCell ref="CW2:DC2"/>
    <mergeCell ref="DD2:DJ2"/>
    <mergeCell ref="DK2:DQ2"/>
    <mergeCell ref="DR2:DX2"/>
    <mergeCell ref="DY2:EE2"/>
    <mergeCell ref="BN2:BT2"/>
    <mergeCell ref="BU2:CA2"/>
    <mergeCell ref="CB2:CH2"/>
    <mergeCell ref="CI2:CO2"/>
    <mergeCell ref="CP2:CV2"/>
    <mergeCell ref="A8:A9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</mergeCells>
  <conditionalFormatting sqref="C5:NC10">
    <cfRule type="cellIs" dxfId="3" priority="1" operator="equal">
      <formula>"---None---"</formula>
    </cfRule>
    <cfRule type="cellIs" dxfId="2" priority="2" operator="equal">
      <formula>"Not Scheduled"</formula>
    </cfRule>
    <cfRule type="cellIs" dxfId="1" priority="3" operator="equal">
      <formula>"Missed"</formula>
    </cfRule>
    <cfRule type="cellIs" dxfId="0" priority="4" operator="equal">
      <formula>"Done"</formula>
    </cfRule>
  </conditionalFormatting>
  <dataValidations count="1">
    <dataValidation type="list" allowBlank="1" showInputMessage="1" showErrorMessage="1" sqref="C5:NC10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4"/>
  <sheetViews>
    <sheetView zoomScale="91" zoomScaleNormal="115" workbookViewId="0">
      <selection activeCell="B3" sqref="B3"/>
    </sheetView>
  </sheetViews>
  <sheetFormatPr defaultColWidth="11.44140625" defaultRowHeight="14.4" x14ac:dyDescent="0.3"/>
  <cols>
    <col min="2" max="2" width="89.5546875" bestFit="1" customWidth="1"/>
    <col min="3" max="3" width="28.6640625" bestFit="1" customWidth="1"/>
    <col min="4" max="4" width="28.44140625" customWidth="1"/>
    <col min="5" max="5" width="25.88671875" bestFit="1" customWidth="1"/>
    <col min="6" max="6" width="17.33203125" bestFit="1" customWidth="1"/>
    <col min="7" max="7" width="31.33203125" bestFit="1" customWidth="1"/>
  </cols>
  <sheetData>
    <row r="2" spans="2:7" x14ac:dyDescent="0.3">
      <c r="B2" s="72" t="s">
        <v>106</v>
      </c>
      <c r="C2" s="72" t="s">
        <v>107</v>
      </c>
      <c r="D2" s="72" t="s">
        <v>108</v>
      </c>
      <c r="E2" s="72" t="s">
        <v>109</v>
      </c>
      <c r="F2" s="72" t="s">
        <v>110</v>
      </c>
      <c r="G2" s="72" t="s">
        <v>146</v>
      </c>
    </row>
    <row r="3" spans="2:7" x14ac:dyDescent="0.3">
      <c r="B3" s="73" t="s">
        <v>113</v>
      </c>
      <c r="C3" s="73">
        <v>4</v>
      </c>
      <c r="D3" s="74">
        <v>46137</v>
      </c>
      <c r="E3" s="73">
        <v>1</v>
      </c>
      <c r="F3" s="73">
        <f t="shared" ref="F3:F24" ca="1" si="0">C3 + MAX(0, (30-_xlfn.DAYS(D3, TODAY()))) + (10-E3)</f>
        <v>77</v>
      </c>
      <c r="G3" s="83"/>
    </row>
    <row r="4" spans="2:7" x14ac:dyDescent="0.3">
      <c r="B4" s="73" t="s">
        <v>145</v>
      </c>
      <c r="C4" s="73">
        <v>3</v>
      </c>
      <c r="D4" s="74">
        <v>46138</v>
      </c>
      <c r="E4" s="73">
        <v>3</v>
      </c>
      <c r="F4" s="73">
        <f t="shared" ca="1" si="0"/>
        <v>73</v>
      </c>
      <c r="G4" s="83"/>
    </row>
    <row r="5" spans="2:7" x14ac:dyDescent="0.3">
      <c r="B5" s="73" t="s">
        <v>119</v>
      </c>
      <c r="C5" s="73">
        <v>3</v>
      </c>
      <c r="D5" s="74">
        <v>46144</v>
      </c>
      <c r="E5" s="73">
        <v>0</v>
      </c>
      <c r="F5" s="73">
        <f t="shared" ca="1" si="0"/>
        <v>70</v>
      </c>
      <c r="G5" s="83"/>
    </row>
    <row r="6" spans="2:7" x14ac:dyDescent="0.3">
      <c r="B6" s="73" t="s">
        <v>121</v>
      </c>
      <c r="C6" s="73">
        <v>3</v>
      </c>
      <c r="D6" s="74">
        <v>46144</v>
      </c>
      <c r="E6" s="73">
        <v>0</v>
      </c>
      <c r="F6" s="73">
        <f t="shared" ca="1" si="0"/>
        <v>70</v>
      </c>
      <c r="G6" s="83"/>
    </row>
    <row r="7" spans="2:7" x14ac:dyDescent="0.3">
      <c r="B7" s="73" t="s">
        <v>111</v>
      </c>
      <c r="C7" s="73">
        <v>2</v>
      </c>
      <c r="D7" s="74">
        <v>46145</v>
      </c>
      <c r="E7" s="73">
        <v>0</v>
      </c>
      <c r="F7" s="73">
        <f t="shared" ca="1" si="0"/>
        <v>68</v>
      </c>
      <c r="G7" s="83"/>
    </row>
    <row r="8" spans="2:7" x14ac:dyDescent="0.3">
      <c r="B8" s="73" t="s">
        <v>159</v>
      </c>
      <c r="C8" s="73">
        <v>3</v>
      </c>
      <c r="D8" s="74">
        <v>46151</v>
      </c>
      <c r="E8" s="73">
        <v>0</v>
      </c>
      <c r="F8" s="73">
        <f t="shared" ca="1" si="0"/>
        <v>63</v>
      </c>
      <c r="G8" s="83"/>
    </row>
    <row r="9" spans="2:7" x14ac:dyDescent="0.3">
      <c r="B9" s="73" t="s">
        <v>117</v>
      </c>
      <c r="C9" s="73">
        <v>3</v>
      </c>
      <c r="D9" s="74">
        <v>46151</v>
      </c>
      <c r="E9" s="73">
        <v>0</v>
      </c>
      <c r="F9" s="73">
        <f t="shared" ca="1" si="0"/>
        <v>63</v>
      </c>
      <c r="G9" s="83"/>
    </row>
    <row r="10" spans="2:7" x14ac:dyDescent="0.3">
      <c r="B10" s="73" t="s">
        <v>115</v>
      </c>
      <c r="C10" s="73">
        <v>3</v>
      </c>
      <c r="D10" s="74">
        <v>46151</v>
      </c>
      <c r="E10" s="73">
        <v>0</v>
      </c>
      <c r="F10" s="73">
        <f t="shared" ca="1" si="0"/>
        <v>63</v>
      </c>
      <c r="G10" s="83"/>
    </row>
    <row r="11" spans="2:7" x14ac:dyDescent="0.3">
      <c r="B11" s="73" t="s">
        <v>120</v>
      </c>
      <c r="C11" s="73">
        <v>2</v>
      </c>
      <c r="D11" s="74">
        <v>46152</v>
      </c>
      <c r="E11" s="73">
        <v>0</v>
      </c>
      <c r="F11" s="73">
        <f t="shared" ca="1" si="0"/>
        <v>61</v>
      </c>
      <c r="G11" s="83"/>
    </row>
    <row r="12" spans="2:7" x14ac:dyDescent="0.3">
      <c r="B12" s="73" t="s">
        <v>114</v>
      </c>
      <c r="C12" s="73">
        <v>2</v>
      </c>
      <c r="D12" s="74">
        <v>46152</v>
      </c>
      <c r="E12" s="73">
        <v>0</v>
      </c>
      <c r="F12" s="73">
        <f t="shared" ca="1" si="0"/>
        <v>61</v>
      </c>
      <c r="G12" s="83"/>
    </row>
    <row r="13" spans="2:7" x14ac:dyDescent="0.3">
      <c r="B13" s="73" t="s">
        <v>122</v>
      </c>
      <c r="C13" s="73">
        <v>1</v>
      </c>
      <c r="D13" s="74">
        <v>46152</v>
      </c>
      <c r="E13" s="73">
        <v>0</v>
      </c>
      <c r="F13" s="73">
        <f t="shared" ca="1" si="0"/>
        <v>60</v>
      </c>
      <c r="G13" s="83"/>
    </row>
    <row r="14" spans="2:7" x14ac:dyDescent="0.3">
      <c r="B14" s="73" t="s">
        <v>123</v>
      </c>
      <c r="C14" s="73">
        <v>1</v>
      </c>
      <c r="D14" s="74">
        <v>46152</v>
      </c>
      <c r="E14" s="73">
        <v>0</v>
      </c>
      <c r="F14" s="73">
        <f t="shared" ca="1" si="0"/>
        <v>60</v>
      </c>
      <c r="G14" s="83"/>
    </row>
    <row r="15" spans="2:7" x14ac:dyDescent="0.3">
      <c r="B15" s="73" t="s">
        <v>124</v>
      </c>
      <c r="C15" s="73">
        <v>1</v>
      </c>
      <c r="D15" s="74">
        <v>46152</v>
      </c>
      <c r="E15" s="73">
        <v>0</v>
      </c>
      <c r="F15" s="73">
        <f t="shared" ca="1" si="0"/>
        <v>60</v>
      </c>
      <c r="G15" s="83"/>
    </row>
    <row r="16" spans="2:7" x14ac:dyDescent="0.3">
      <c r="B16" s="73" t="s">
        <v>160</v>
      </c>
      <c r="C16" s="73">
        <v>3</v>
      </c>
      <c r="D16" s="74">
        <v>46158</v>
      </c>
      <c r="E16" s="73">
        <v>0</v>
      </c>
      <c r="F16" s="73">
        <f t="shared" ca="1" si="0"/>
        <v>56</v>
      </c>
      <c r="G16" s="83"/>
    </row>
    <row r="17" spans="2:7" x14ac:dyDescent="0.3">
      <c r="B17" s="73" t="s">
        <v>125</v>
      </c>
      <c r="C17" s="73">
        <v>1</v>
      </c>
      <c r="D17" s="74">
        <v>46158</v>
      </c>
      <c r="E17" s="73">
        <v>0</v>
      </c>
      <c r="F17" s="73">
        <f t="shared" ca="1" si="0"/>
        <v>54</v>
      </c>
      <c r="G17" s="83"/>
    </row>
    <row r="18" spans="2:7" x14ac:dyDescent="0.3">
      <c r="B18" s="73" t="s">
        <v>126</v>
      </c>
      <c r="C18" s="73">
        <v>1</v>
      </c>
      <c r="D18" s="74">
        <v>46158</v>
      </c>
      <c r="E18" s="73">
        <v>0</v>
      </c>
      <c r="F18" s="73">
        <f t="shared" ca="1" si="0"/>
        <v>54</v>
      </c>
      <c r="G18" s="83"/>
    </row>
    <row r="19" spans="2:7" x14ac:dyDescent="0.3">
      <c r="B19" s="73" t="s">
        <v>127</v>
      </c>
      <c r="C19" s="73">
        <v>1</v>
      </c>
      <c r="D19" s="74">
        <v>46158</v>
      </c>
      <c r="E19" s="73">
        <v>0</v>
      </c>
      <c r="F19" s="73">
        <f t="shared" ca="1" si="0"/>
        <v>54</v>
      </c>
      <c r="G19" s="83"/>
    </row>
    <row r="20" spans="2:7" x14ac:dyDescent="0.3">
      <c r="B20" s="73" t="s">
        <v>128</v>
      </c>
      <c r="C20" s="73">
        <v>1</v>
      </c>
      <c r="D20" s="74">
        <v>46158</v>
      </c>
      <c r="E20" s="73">
        <v>0</v>
      </c>
      <c r="F20" s="73">
        <f t="shared" ca="1" si="0"/>
        <v>54</v>
      </c>
      <c r="G20" s="83"/>
    </row>
    <row r="21" spans="2:7" x14ac:dyDescent="0.3">
      <c r="B21" s="73" t="s">
        <v>112</v>
      </c>
      <c r="C21" s="73">
        <v>2</v>
      </c>
      <c r="D21" s="74">
        <v>46158</v>
      </c>
      <c r="E21" s="73">
        <v>4</v>
      </c>
      <c r="F21" s="73">
        <f t="shared" ca="1" si="0"/>
        <v>51</v>
      </c>
      <c r="G21" s="83"/>
    </row>
    <row r="22" spans="2:7" x14ac:dyDescent="0.3">
      <c r="B22" s="73" t="s">
        <v>129</v>
      </c>
      <c r="C22" s="73">
        <v>3</v>
      </c>
      <c r="D22" s="74">
        <v>46172</v>
      </c>
      <c r="E22" s="73">
        <v>0</v>
      </c>
      <c r="F22" s="73">
        <f t="shared" ca="1" si="0"/>
        <v>42</v>
      </c>
      <c r="G22" s="83"/>
    </row>
    <row r="23" spans="2:7" x14ac:dyDescent="0.3">
      <c r="B23" s="73" t="s">
        <v>116</v>
      </c>
      <c r="C23" s="73">
        <v>2</v>
      </c>
      <c r="D23" s="74">
        <v>46172</v>
      </c>
      <c r="E23" s="73">
        <v>0</v>
      </c>
      <c r="F23" s="73">
        <f t="shared" ca="1" si="0"/>
        <v>41</v>
      </c>
      <c r="G23" s="83"/>
    </row>
    <row r="24" spans="2:7" x14ac:dyDescent="0.3">
      <c r="B24" s="73" t="s">
        <v>118</v>
      </c>
      <c r="C24" s="73">
        <v>1</v>
      </c>
      <c r="D24" s="74">
        <v>46186</v>
      </c>
      <c r="E24" s="73">
        <v>0</v>
      </c>
      <c r="F24" s="73">
        <f t="shared" ca="1" si="0"/>
        <v>26</v>
      </c>
      <c r="G24" s="83"/>
    </row>
  </sheetData>
  <conditionalFormatting sqref="F3:G2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G1048576"/>
  <sheetViews>
    <sheetView workbookViewId="0">
      <selection activeCell="D3" sqref="D3"/>
    </sheetView>
  </sheetViews>
  <sheetFormatPr defaultColWidth="11.44140625" defaultRowHeight="14.4" x14ac:dyDescent="0.3"/>
  <cols>
    <col min="1" max="1" width="22.6640625" bestFit="1" customWidth="1"/>
    <col min="2" max="2" width="26.88671875" bestFit="1" customWidth="1"/>
    <col min="3" max="3" width="18.5546875" bestFit="1" customWidth="1"/>
    <col min="4" max="4" width="24.33203125" bestFit="1" customWidth="1"/>
    <col min="5" max="5" width="26.88671875" bestFit="1" customWidth="1"/>
    <col min="6" max="6" width="19.5546875" bestFit="1" customWidth="1"/>
  </cols>
  <sheetData>
    <row r="2" spans="2:7" x14ac:dyDescent="0.3">
      <c r="B2" s="72" t="s">
        <v>155</v>
      </c>
      <c r="C2" s="72" t="s">
        <v>147</v>
      </c>
      <c r="D2" s="72" t="s">
        <v>236</v>
      </c>
      <c r="E2" s="72" t="s">
        <v>176</v>
      </c>
      <c r="G2" s="86"/>
    </row>
    <row r="3" spans="2:7" x14ac:dyDescent="0.3">
      <c r="B3" s="73" t="s">
        <v>150</v>
      </c>
      <c r="C3" s="73" t="s">
        <v>169</v>
      </c>
      <c r="D3" s="74">
        <f ca="1">TODAY()+MOD(6-WEEKDAY(TODAY(),2),7)-7</f>
        <v>46165</v>
      </c>
      <c r="E3" s="74">
        <f ca="1">TODAY()+MOD(6-WEEKDAY(TODAY(),2),7)</f>
        <v>46172</v>
      </c>
    </row>
    <row r="4" spans="2:7" x14ac:dyDescent="0.3">
      <c r="B4" s="73" t="s">
        <v>151</v>
      </c>
      <c r="C4" s="73" t="s">
        <v>169</v>
      </c>
      <c r="D4" s="74">
        <f ca="1">TODAY()+MOD(6-WEEKDAY(TODAY(),2),7)-7</f>
        <v>46165</v>
      </c>
      <c r="E4" s="74">
        <f ca="1">TODAY()+MOD(6-WEEKDAY(TODAY(),2),7)</f>
        <v>46172</v>
      </c>
    </row>
    <row r="5" spans="2:7" x14ac:dyDescent="0.3">
      <c r="B5" s="73" t="s">
        <v>152</v>
      </c>
      <c r="C5" s="73" t="s">
        <v>170</v>
      </c>
      <c r="D5" s="74">
        <f ca="1">$B$1048565+_xlfn.CEILING.MATH((TODAY()-$B$1048565)/14, 1)*14-14</f>
        <v>46165</v>
      </c>
      <c r="E5" s="74">
        <f ca="1">$B$1048565+_xlfn.CEILING.MATH((TODAY()-$B$1048565)/14, 1)*14</f>
        <v>46179</v>
      </c>
    </row>
    <row r="6" spans="2:7" x14ac:dyDescent="0.3">
      <c r="B6" s="73" t="s">
        <v>157</v>
      </c>
      <c r="C6" s="73" t="s">
        <v>170</v>
      </c>
      <c r="D6" s="74">
        <f ca="1">$B$1048569+_xlfn.CEILING.MATH((TODAY()-$B$1048569)/14, 1)*14-14</f>
        <v>46165</v>
      </c>
      <c r="E6" s="74">
        <f ca="1">$B$1048569+_xlfn.CEILING.MATH((TODAY()-$B$1048569)/14, 1)*14</f>
        <v>46179</v>
      </c>
    </row>
    <row r="7" spans="2:7" x14ac:dyDescent="0.3">
      <c r="B7" s="73" t="s">
        <v>153</v>
      </c>
      <c r="C7" s="73" t="s">
        <v>237</v>
      </c>
      <c r="D7" s="74">
        <f ca="1">IF(DAY(TODAY())&gt;23,
   DATE(YEAR(TODAY()),MONTH(TODAY()),23),
   DATE(YEAR(TODAY()),MONTH(TODAY())-1,23))</f>
        <v>46165</v>
      </c>
      <c r="E7" s="74">
        <f ca="1">IF(DAY(TODAY())&lt;=23,
   DATE(YEAR(TODAY()),MONTH(TODAY()),23),
   DATE(YEAR(TODAY()),MONTH(TODAY())+1,23))</f>
        <v>46196</v>
      </c>
    </row>
    <row r="8" spans="2:7" x14ac:dyDescent="0.3">
      <c r="B8" s="73" t="s">
        <v>173</v>
      </c>
      <c r="C8" s="73" t="s">
        <v>175</v>
      </c>
      <c r="D8" s="74">
        <f ca="1">TODAY()+MOD(7-WEEKDAY(TODAY(),2),7)-7</f>
        <v>46166</v>
      </c>
      <c r="E8" s="74">
        <f ca="1">TODAY()+MOD(7-WEEKDAY(TODAY(),2),7)</f>
        <v>46173</v>
      </c>
    </row>
    <row r="9" spans="2:7" x14ac:dyDescent="0.3">
      <c r="B9" s="73" t="s">
        <v>174</v>
      </c>
      <c r="C9" s="73" t="s">
        <v>175</v>
      </c>
      <c r="D9" s="74">
        <f ca="1">TODAY()+MOD(7-WEEKDAY(TODAY(),2),7)-7</f>
        <v>46166</v>
      </c>
      <c r="E9" s="74">
        <f ca="1">TODAY()+MOD(7-WEEKDAY(TODAY(),2),7)</f>
        <v>46173</v>
      </c>
    </row>
    <row r="10" spans="2:7" x14ac:dyDescent="0.3">
      <c r="B10" s="73" t="s">
        <v>158</v>
      </c>
      <c r="C10" s="73" t="s">
        <v>180</v>
      </c>
      <c r="D10" s="74">
        <f ca="1">$B$1048570+_xlfn.CEILING.MATH((TODAY()-$B$1048570)/40, 1)*40-40</f>
        <v>46167</v>
      </c>
      <c r="E10" s="74">
        <f ca="1">$B$1048570+_xlfn.CEILING.MATH((TODAY()-$B$1048570)/40, 1)*40</f>
        <v>46207</v>
      </c>
    </row>
    <row r="11" spans="2:7" x14ac:dyDescent="0.3">
      <c r="B11" s="73" t="s">
        <v>148</v>
      </c>
      <c r="C11" s="73" t="s">
        <v>168</v>
      </c>
      <c r="D11" s="74">
        <f ca="1">$B$1048562+_xlfn.CEILING.MATH((TODAY()-$B$1048562)/5, 1)*5-5</f>
        <v>46169</v>
      </c>
      <c r="E11" s="74">
        <f ca="1">$B$1048562+_xlfn.CEILING.MATH((TODAY()-$B$1048562)/5, 1)*5</f>
        <v>46174</v>
      </c>
    </row>
    <row r="12" spans="2:7" x14ac:dyDescent="0.3">
      <c r="B12" s="73" t="s">
        <v>178</v>
      </c>
      <c r="C12" s="73" t="s">
        <v>181</v>
      </c>
      <c r="D12" s="74">
        <f ca="1">$B$1048576+_xlfn.CEILING.MATH((TODAY()-$B$1048576)/21, 1)*21-21</f>
        <v>46153</v>
      </c>
      <c r="E12" s="74">
        <f ca="1">$B$1048576+_xlfn.CEILING.MATH((TODAY()-$B$1048576)/21, 1)*21</f>
        <v>46174</v>
      </c>
      <c r="G12" s="49"/>
    </row>
    <row r="13" spans="2:7" x14ac:dyDescent="0.3">
      <c r="B13" s="73" t="s">
        <v>156</v>
      </c>
      <c r="C13" s="73" t="s">
        <v>231</v>
      </c>
      <c r="D13" s="74">
        <f ca="1">IF(DAY(TODAY())&gt;5,
   DATE(YEAR(TODAY()),MONTH(TODAY()),5),
   DATE(YEAR(TODAY()),MONTH(TODAY())-1,5))</f>
        <v>46147</v>
      </c>
      <c r="E13" s="74">
        <f ca="1">IF(DAY(TODAY())&lt;=5,
   DATE(YEAR(TODAY()),MONTH(TODAY()),5),
   DATE(YEAR(TODAY()),MONTH(TODAY())+1,5))</f>
        <v>46178</v>
      </c>
    </row>
    <row r="14" spans="2:7" x14ac:dyDescent="0.3">
      <c r="B14" s="73" t="s">
        <v>177</v>
      </c>
      <c r="C14" s="73" t="s">
        <v>231</v>
      </c>
      <c r="D14" s="74">
        <f ca="1">IF(DAY(TODAY())&gt;5,
   DATE(YEAR(TODAY()),MONTH(TODAY()),5),
   DATE(YEAR(TODAY()),MONTH(TODAY())-1,5))</f>
        <v>46147</v>
      </c>
      <c r="E14" s="74">
        <f ca="1">IF(DAY(TODAY())&lt;=5,
   DATE(YEAR(TODAY()),MONTH(TODAY()),5),
   DATE(YEAR(TODAY()),MONTH(TODAY())+1,5))</f>
        <v>46178</v>
      </c>
    </row>
    <row r="15" spans="2:7" x14ac:dyDescent="0.3">
      <c r="B15" s="73" t="s">
        <v>161</v>
      </c>
      <c r="C15" s="73" t="s">
        <v>182</v>
      </c>
      <c r="D15" s="74">
        <f ca="1">$B$1048571+_xlfn.CEILING.MATH((TODAY()-$B$1048571)/28, 1)*28-28</f>
        <v>46153</v>
      </c>
      <c r="E15" s="74">
        <f ca="1">$B$1048571+_xlfn.CEILING.MATH((TODAY()-$B$1048571)/28, 1)*28</f>
        <v>46181</v>
      </c>
    </row>
    <row r="16" spans="2:7" x14ac:dyDescent="0.3">
      <c r="B16" s="73" t="s">
        <v>149</v>
      </c>
      <c r="C16" s="73" t="s">
        <v>171</v>
      </c>
      <c r="D16" s="74">
        <f ca="1">IF(DAY(TODAY())&gt;15,
   DATE(YEAR(TODAY()),MONTH(TODAY()),15),
   DATE(YEAR(TODAY()),MONTH(TODAY())-1,15))</f>
        <v>46157</v>
      </c>
      <c r="E16" s="74">
        <f ca="1">IF(DAY(TODAY())&lt;=15,
   DATE(YEAR(TODAY()),MONTH(TODAY()),15),
   DATE(YEAR(TODAY()),MONTH(TODAY())+1,15))</f>
        <v>46188</v>
      </c>
    </row>
    <row r="17" spans="2:5" x14ac:dyDescent="0.3">
      <c r="B17" s="73" t="s">
        <v>154</v>
      </c>
      <c r="C17" s="73" t="s">
        <v>179</v>
      </c>
      <c r="D17" s="74">
        <f ca="1">$B$1048568+_xlfn.CEILING.MATH((TODAY()-$B$1048568)/90, 1)*90-90</f>
        <v>46157</v>
      </c>
      <c r="E17" s="74">
        <f ca="1">$B$1048568+_xlfn.CEILING.MATH((TODAY()-$B$1048568)/90, 1)*90</f>
        <v>46247</v>
      </c>
    </row>
    <row r="1048562" spans="1:2" x14ac:dyDescent="0.3">
      <c r="A1048562" s="84" t="s">
        <v>148</v>
      </c>
      <c r="B1048562" s="74">
        <v>46064</v>
      </c>
    </row>
    <row r="1048563" spans="1:2" x14ac:dyDescent="0.3">
      <c r="A1048563" s="85" t="s">
        <v>149</v>
      </c>
      <c r="B1048563" s="74">
        <v>46042</v>
      </c>
    </row>
    <row r="1048564" spans="1:2" x14ac:dyDescent="0.3">
      <c r="A1048564" s="84" t="s">
        <v>150</v>
      </c>
      <c r="B1048564" s="74" t="s">
        <v>103</v>
      </c>
    </row>
    <row r="1048565" spans="1:2" x14ac:dyDescent="0.3">
      <c r="A1048565" s="85" t="s">
        <v>152</v>
      </c>
      <c r="B1048565" s="74">
        <v>46067</v>
      </c>
    </row>
    <row r="1048566" spans="1:2" x14ac:dyDescent="0.3">
      <c r="A1048566" s="84" t="s">
        <v>151</v>
      </c>
      <c r="B1048566" s="74" t="s">
        <v>103</v>
      </c>
    </row>
    <row r="1048567" spans="1:2" x14ac:dyDescent="0.3">
      <c r="A1048567" s="85" t="s">
        <v>153</v>
      </c>
      <c r="B1048567" s="74" t="s">
        <v>103</v>
      </c>
    </row>
    <row r="1048568" spans="1:2" x14ac:dyDescent="0.3">
      <c r="A1048568" s="84" t="s">
        <v>154</v>
      </c>
      <c r="B1048568" s="74">
        <v>46067</v>
      </c>
    </row>
    <row r="1048569" spans="1:2" x14ac:dyDescent="0.3">
      <c r="A1048569" s="85" t="s">
        <v>157</v>
      </c>
      <c r="B1048569" s="74">
        <v>46067</v>
      </c>
    </row>
    <row r="1048570" spans="1:2" x14ac:dyDescent="0.3">
      <c r="A1048570" s="84" t="s">
        <v>158</v>
      </c>
      <c r="B1048570" s="74">
        <v>46047</v>
      </c>
    </row>
    <row r="1048571" spans="1:2" x14ac:dyDescent="0.3">
      <c r="A1048571" s="85" t="s">
        <v>161</v>
      </c>
      <c r="B1048571" s="74">
        <v>46069</v>
      </c>
    </row>
    <row r="1048572" spans="1:2" x14ac:dyDescent="0.3">
      <c r="A1048572" s="84" t="s">
        <v>173</v>
      </c>
      <c r="B1048572" s="74" t="s">
        <v>103</v>
      </c>
    </row>
    <row r="1048573" spans="1:2" x14ac:dyDescent="0.3">
      <c r="A1048573" s="85" t="s">
        <v>174</v>
      </c>
      <c r="B1048573" s="74" t="s">
        <v>103</v>
      </c>
    </row>
    <row r="1048574" spans="1:2" x14ac:dyDescent="0.3">
      <c r="A1048574" s="84" t="s">
        <v>156</v>
      </c>
      <c r="B1048574" s="74" t="s">
        <v>103</v>
      </c>
    </row>
    <row r="1048575" spans="1:2" x14ac:dyDescent="0.3">
      <c r="A1048575" s="85" t="s">
        <v>177</v>
      </c>
      <c r="B1048575" s="74" t="s">
        <v>103</v>
      </c>
    </row>
    <row r="1048576" spans="1:2" x14ac:dyDescent="0.3">
      <c r="A1048576" s="84" t="s">
        <v>178</v>
      </c>
      <c r="B1048576" s="74">
        <v>46048</v>
      </c>
    </row>
  </sheetData>
  <conditionalFormatting sqref="E3:E1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/>
  </sheetViews>
  <sheetFormatPr defaultColWidth="11.44140625" defaultRowHeight="14.4" x14ac:dyDescent="0.3"/>
  <cols>
    <col min="2" max="2" width="24" bestFit="1" customWidth="1"/>
    <col min="3" max="3" width="14.5546875" customWidth="1"/>
    <col min="4" max="4" width="52.44140625" style="1" bestFit="1" customWidth="1"/>
    <col min="6" max="6" width="24" bestFit="1" customWidth="1"/>
    <col min="7" max="7" width="14.5546875" bestFit="1" customWidth="1"/>
    <col min="8" max="8" width="21.109375" bestFit="1" customWidth="1"/>
  </cols>
  <sheetData>
    <row r="2" spans="2:8" ht="18" x14ac:dyDescent="0.3">
      <c r="B2" s="158" t="s">
        <v>16</v>
      </c>
      <c r="C2" s="158"/>
      <c r="D2" s="158"/>
      <c r="F2" s="158" t="s">
        <v>17</v>
      </c>
      <c r="G2" s="158"/>
      <c r="H2" s="158"/>
    </row>
    <row r="3" spans="2:8" x14ac:dyDescent="0.3">
      <c r="B3" s="76" t="s">
        <v>132</v>
      </c>
      <c r="C3" s="76" t="s">
        <v>133</v>
      </c>
      <c r="D3" s="78" t="s">
        <v>134</v>
      </c>
      <c r="F3" s="76" t="s">
        <v>132</v>
      </c>
      <c r="G3" s="76" t="s">
        <v>133</v>
      </c>
      <c r="H3" s="77" t="s">
        <v>134</v>
      </c>
    </row>
    <row r="4" spans="2:8" ht="57.6" x14ac:dyDescent="0.3">
      <c r="B4" s="3">
        <v>15</v>
      </c>
      <c r="C4" s="3" t="s">
        <v>130</v>
      </c>
      <c r="D4" s="79" t="s">
        <v>138</v>
      </c>
      <c r="F4" s="3">
        <v>15</v>
      </c>
      <c r="G4" s="3" t="s">
        <v>141</v>
      </c>
      <c r="H4" s="82" t="s">
        <v>143</v>
      </c>
    </row>
    <row r="5" spans="2:8" ht="158.4" x14ac:dyDescent="0.3">
      <c r="B5" s="3">
        <v>60</v>
      </c>
      <c r="C5" s="3" t="s">
        <v>131</v>
      </c>
      <c r="D5" s="79" t="s">
        <v>137</v>
      </c>
      <c r="F5" s="3">
        <v>15</v>
      </c>
      <c r="G5" s="3" t="s">
        <v>142</v>
      </c>
      <c r="H5" s="82" t="s">
        <v>144</v>
      </c>
    </row>
    <row r="6" spans="2:8" ht="43.2" x14ac:dyDescent="0.3">
      <c r="B6" s="3">
        <v>45</v>
      </c>
      <c r="C6" s="3" t="s">
        <v>139</v>
      </c>
      <c r="D6" s="79" t="s">
        <v>136</v>
      </c>
    </row>
    <row r="7" spans="2:8" ht="29.4" thickBot="1" x14ac:dyDescent="0.35">
      <c r="B7" s="80">
        <v>15</v>
      </c>
      <c r="C7" s="80" t="s">
        <v>140</v>
      </c>
      <c r="D7" s="81" t="s">
        <v>135</v>
      </c>
    </row>
    <row r="8" spans="2:8" x14ac:dyDescent="0.3">
      <c r="D8" s="75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1F2B-8FE0-4529-B4E1-55EC9C5E81B1}">
  <dimension ref="B2:NB9"/>
  <sheetViews>
    <sheetView workbookViewId="0">
      <selection activeCell="F8" sqref="F8"/>
    </sheetView>
  </sheetViews>
  <sheetFormatPr defaultRowHeight="14.4" x14ac:dyDescent="0.3"/>
  <sheetData>
    <row r="2" spans="2:366" x14ac:dyDescent="0.3">
      <c r="B2" s="159" t="str">
        <f>"Day "&amp;ROUNDDOWN(B3/3,0)+1</f>
        <v>Day 1</v>
      </c>
      <c r="C2" s="159"/>
      <c r="D2" s="159"/>
      <c r="E2" s="159" t="str">
        <f>"Day "&amp;ROUNDDOWN(E3/3,0)+1</f>
        <v>Day 2</v>
      </c>
      <c r="F2" s="159"/>
      <c r="G2" s="159"/>
      <c r="H2" s="159" t="str">
        <f t="shared" ref="H2" si="0">"Day "&amp;ROUNDDOWN(H3/3,0)+1</f>
        <v>Day 3</v>
      </c>
      <c r="I2" s="159"/>
      <c r="J2" s="159"/>
      <c r="K2" s="159" t="str">
        <f t="shared" ref="K2" si="1">"Day "&amp;ROUNDDOWN(K3/3,0)+1</f>
        <v>Day 4</v>
      </c>
      <c r="L2" s="159"/>
      <c r="M2" s="159"/>
      <c r="N2" s="159" t="str">
        <f t="shared" ref="N2" si="2">"Day "&amp;ROUNDDOWN(N3/3,0)+1</f>
        <v>Day 5</v>
      </c>
      <c r="O2" s="159"/>
      <c r="P2" s="159"/>
      <c r="Q2" s="159" t="str">
        <f t="shared" ref="Q2" si="3">"Day "&amp;ROUNDDOWN(Q3/3,0)+1</f>
        <v>Day 6</v>
      </c>
      <c r="R2" s="159"/>
      <c r="S2" s="159"/>
      <c r="T2" s="159" t="str">
        <f t="shared" ref="T2" si="4">"Day "&amp;ROUNDDOWN(T3/3,0)+1</f>
        <v>Day 7</v>
      </c>
      <c r="U2" s="159"/>
      <c r="V2" s="159"/>
      <c r="W2" s="159" t="str">
        <f t="shared" ref="W2" si="5">"Day "&amp;ROUNDDOWN(W3/3,0)+1</f>
        <v>Day 8</v>
      </c>
      <c r="X2" s="159"/>
      <c r="Y2" s="159"/>
      <c r="Z2" s="159" t="str">
        <f t="shared" ref="Z2" si="6">"Day "&amp;ROUNDDOWN(Z3/3,0)+1</f>
        <v>Day 9</v>
      </c>
      <c r="AA2" s="159"/>
      <c r="AB2" s="159"/>
      <c r="AC2" s="159" t="str">
        <f t="shared" ref="AC2" si="7">"Day "&amp;ROUNDDOWN(AC3/3,0)+1</f>
        <v>Day 10</v>
      </c>
      <c r="AD2" s="159"/>
      <c r="AE2" s="159"/>
      <c r="AF2" s="159" t="str">
        <f t="shared" ref="AF2" si="8">"Day "&amp;ROUNDDOWN(AF3/3,0)+1</f>
        <v>Day 11</v>
      </c>
      <c r="AG2" s="159"/>
      <c r="AH2" s="159"/>
      <c r="AI2" s="159" t="str">
        <f t="shared" ref="AI2" si="9">"Day "&amp;ROUNDDOWN(AI3/3,0)+1</f>
        <v>Day 12</v>
      </c>
      <c r="AJ2" s="159"/>
      <c r="AK2" s="159"/>
      <c r="AL2" s="159" t="str">
        <f t="shared" ref="AL2" si="10">"Day "&amp;ROUNDDOWN(AL3/3,0)+1</f>
        <v>Day 13</v>
      </c>
      <c r="AM2" s="159"/>
      <c r="AN2" s="159"/>
      <c r="AO2" s="159" t="str">
        <f t="shared" ref="AO2" si="11">"Day "&amp;ROUNDDOWN(AO3/3,0)+1</f>
        <v>Day 14</v>
      </c>
      <c r="AP2" s="159"/>
      <c r="AQ2" s="159"/>
      <c r="AR2" s="159" t="str">
        <f t="shared" ref="AR2" si="12">"Day "&amp;ROUNDDOWN(AR3/3,0)+1</f>
        <v>Day 15</v>
      </c>
      <c r="AS2" s="159"/>
      <c r="AT2" s="159"/>
      <c r="AU2" s="159" t="str">
        <f t="shared" ref="AU2" si="13">"Day "&amp;ROUNDDOWN(AU3/3,0)+1</f>
        <v>Day 16</v>
      </c>
      <c r="AV2" s="159"/>
      <c r="AW2" s="159"/>
      <c r="AX2" s="159" t="str">
        <f t="shared" ref="AX2" si="14">"Day "&amp;ROUNDDOWN(AX3/3,0)+1</f>
        <v>Day 17</v>
      </c>
      <c r="AY2" s="159"/>
      <c r="AZ2" s="159"/>
      <c r="BA2" s="159" t="str">
        <f t="shared" ref="BA2" si="15">"Day "&amp;ROUNDDOWN(BA3/3,0)+1</f>
        <v>Day 18</v>
      </c>
      <c r="BB2" s="159"/>
      <c r="BC2" s="159"/>
      <c r="BD2" s="159" t="str">
        <f>"Day "&amp;ROUNDDOWN(BD3/3,0)+1</f>
        <v>Day 19</v>
      </c>
      <c r="BE2" s="159"/>
      <c r="BF2" s="159"/>
      <c r="BG2" s="159" t="str">
        <f>"Day "&amp;ROUNDDOWN(BG3/3,0)+1</f>
        <v>Day 20</v>
      </c>
      <c r="BH2" s="159"/>
      <c r="BI2" s="159"/>
      <c r="BJ2" s="159" t="str">
        <f t="shared" ref="BJ2" si="16">"Day "&amp;ROUNDDOWN(BJ3/3,0)+1</f>
        <v>Day 21</v>
      </c>
      <c r="BK2" s="159"/>
      <c r="BL2" s="159"/>
      <c r="BM2" s="159" t="str">
        <f t="shared" ref="BM2" si="17">"Day "&amp;ROUNDDOWN(BM3/3,0)+1</f>
        <v>Day 22</v>
      </c>
      <c r="BN2" s="159"/>
      <c r="BO2" s="159"/>
      <c r="BP2" s="159" t="str">
        <f t="shared" ref="BP2" si="18">"Day "&amp;ROUNDDOWN(BP3/3,0)+1</f>
        <v>Day 23</v>
      </c>
      <c r="BQ2" s="159"/>
      <c r="BR2" s="159"/>
      <c r="BS2" s="159" t="str">
        <f t="shared" ref="BS2" si="19">"Day "&amp;ROUNDDOWN(BS3/3,0)+1</f>
        <v>Day 24</v>
      </c>
      <c r="BT2" s="159"/>
      <c r="BU2" s="159"/>
      <c r="BV2" s="159" t="str">
        <f t="shared" ref="BV2" si="20">"Day "&amp;ROUNDDOWN(BV3/3,0)+1</f>
        <v>Day 25</v>
      </c>
      <c r="BW2" s="159"/>
      <c r="BX2" s="159"/>
      <c r="BY2" s="159" t="str">
        <f t="shared" ref="BY2" si="21">"Day "&amp;ROUNDDOWN(BY3/3,0)+1</f>
        <v>Day 26</v>
      </c>
      <c r="BZ2" s="159"/>
      <c r="CA2" s="159"/>
      <c r="CB2" s="159" t="str">
        <f t="shared" ref="CB2" si="22">"Day "&amp;ROUNDDOWN(CB3/3,0)+1</f>
        <v>Day 27</v>
      </c>
      <c r="CC2" s="159"/>
      <c r="CD2" s="159"/>
      <c r="CE2" s="159" t="str">
        <f t="shared" ref="CE2" si="23">"Day "&amp;ROUNDDOWN(CE3/3,0)+1</f>
        <v>Day 28</v>
      </c>
      <c r="CF2" s="159"/>
      <c r="CG2" s="159"/>
      <c r="CH2" s="159" t="str">
        <f t="shared" ref="CH2" si="24">"Day "&amp;ROUNDDOWN(CH3/3,0)+1</f>
        <v>Day 29</v>
      </c>
      <c r="CI2" s="159"/>
      <c r="CJ2" s="159"/>
      <c r="CK2" s="159" t="str">
        <f t="shared" ref="CK2" si="25">"Day "&amp;ROUNDDOWN(CK3/3,0)+1</f>
        <v>Day 30</v>
      </c>
      <c r="CL2" s="159"/>
      <c r="CM2" s="159"/>
      <c r="CN2" s="159" t="str">
        <f t="shared" ref="CN2" si="26">"Day "&amp;ROUNDDOWN(CN3/3,0)+1</f>
        <v>Day 31</v>
      </c>
      <c r="CO2" s="159"/>
      <c r="CP2" s="159"/>
      <c r="CQ2" s="159" t="str">
        <f t="shared" ref="CQ2" si="27">"Day "&amp;ROUNDDOWN(CQ3/3,0)+1</f>
        <v>Day 32</v>
      </c>
      <c r="CR2" s="159"/>
      <c r="CS2" s="159"/>
      <c r="CT2" s="159" t="str">
        <f t="shared" ref="CT2" si="28">"Day "&amp;ROUNDDOWN(CT3/3,0)+1</f>
        <v>Day 33</v>
      </c>
      <c r="CU2" s="159"/>
      <c r="CV2" s="159"/>
      <c r="CW2" s="159" t="str">
        <f t="shared" ref="CW2" si="29">"Day "&amp;ROUNDDOWN(CW3/3,0)+1</f>
        <v>Day 34</v>
      </c>
      <c r="CX2" s="159"/>
      <c r="CY2" s="159"/>
      <c r="CZ2" s="159" t="str">
        <f t="shared" ref="CZ2" si="30">"Day "&amp;ROUNDDOWN(CZ3/3,0)+1</f>
        <v>Day 35</v>
      </c>
      <c r="DA2" s="159"/>
      <c r="DB2" s="159"/>
      <c r="DC2" s="159" t="str">
        <f t="shared" ref="DC2" si="31">"Day "&amp;ROUNDDOWN(DC3/3,0)+1</f>
        <v>Day 36</v>
      </c>
      <c r="DD2" s="159"/>
      <c r="DE2" s="159"/>
      <c r="DF2" s="133"/>
      <c r="DG2" s="133"/>
      <c r="DH2" s="133"/>
      <c r="DI2" s="133"/>
      <c r="DJ2" s="133"/>
      <c r="DK2" s="133"/>
      <c r="DL2" s="133"/>
      <c r="DM2" s="133"/>
      <c r="DN2" s="133"/>
      <c r="DO2" s="133"/>
      <c r="DP2" s="133"/>
      <c r="DQ2" s="133"/>
      <c r="DR2" s="133"/>
      <c r="DS2" s="133"/>
      <c r="DT2" s="133"/>
      <c r="DU2" s="133"/>
      <c r="DV2" s="133"/>
      <c r="DW2" s="133"/>
      <c r="DX2" s="133"/>
      <c r="DY2" s="133"/>
      <c r="DZ2" s="133"/>
      <c r="EA2" s="133"/>
      <c r="EB2" s="133"/>
      <c r="EC2" s="133"/>
      <c r="ED2" s="133"/>
      <c r="EE2" s="133"/>
      <c r="EF2" s="133"/>
      <c r="EG2" s="133"/>
      <c r="EH2" s="133"/>
      <c r="EI2" s="133"/>
      <c r="EJ2" s="133"/>
      <c r="EK2" s="133"/>
      <c r="EL2" s="133"/>
      <c r="EM2" s="133"/>
      <c r="EN2" s="133"/>
      <c r="EO2" s="133"/>
      <c r="EP2" s="133"/>
      <c r="EQ2" s="133"/>
      <c r="ER2" s="133"/>
      <c r="ES2" s="133"/>
      <c r="ET2" s="133"/>
      <c r="EU2" s="133"/>
      <c r="EV2" s="133"/>
      <c r="EW2" s="133"/>
      <c r="EX2" s="133"/>
      <c r="EY2" s="133"/>
      <c r="EZ2" s="133"/>
      <c r="FA2" s="133"/>
      <c r="FB2" s="133"/>
      <c r="FC2" s="133"/>
      <c r="FD2" s="133"/>
      <c r="FE2" s="133"/>
      <c r="FF2" s="133"/>
      <c r="FG2" s="133"/>
      <c r="FH2" s="133"/>
      <c r="FI2" s="133"/>
      <c r="FJ2" s="133"/>
      <c r="FK2" s="133"/>
      <c r="FL2" s="133"/>
      <c r="FM2" s="133"/>
      <c r="FN2" s="133"/>
      <c r="FO2" s="133"/>
      <c r="FP2" s="133"/>
      <c r="FQ2" s="133"/>
      <c r="FR2" s="159"/>
      <c r="FS2" s="159"/>
      <c r="FT2" s="159"/>
      <c r="FU2" s="159"/>
      <c r="FV2" s="159"/>
      <c r="FW2" s="159"/>
    </row>
    <row r="3" spans="2:366" ht="23.25" hidden="1" customHeight="1" x14ac:dyDescent="0.3">
      <c r="B3" s="133" cm="1">
        <f t="array" ref="B3:NB3">_xlfn.SEQUENCE(,365)</f>
        <v>1</v>
      </c>
      <c r="C3" s="133">
        <v>2</v>
      </c>
      <c r="D3" s="133">
        <v>3</v>
      </c>
      <c r="E3" s="133">
        <v>4</v>
      </c>
      <c r="F3" s="133">
        <v>5</v>
      </c>
      <c r="G3" s="133">
        <v>6</v>
      </c>
      <c r="H3" s="133">
        <v>7</v>
      </c>
      <c r="I3" s="133">
        <v>8</v>
      </c>
      <c r="J3" s="133">
        <v>9</v>
      </c>
      <c r="K3" s="133">
        <v>10</v>
      </c>
      <c r="L3" s="133">
        <v>11</v>
      </c>
      <c r="M3" s="133">
        <v>12</v>
      </c>
      <c r="N3" s="133">
        <v>13</v>
      </c>
      <c r="O3" s="133">
        <v>14</v>
      </c>
      <c r="P3" s="133">
        <v>15</v>
      </c>
      <c r="Q3" s="133">
        <v>16</v>
      </c>
      <c r="R3" s="133">
        <v>17</v>
      </c>
      <c r="S3" s="133">
        <v>18</v>
      </c>
      <c r="T3">
        <v>19</v>
      </c>
      <c r="U3">
        <v>20</v>
      </c>
      <c r="V3">
        <v>21</v>
      </c>
      <c r="W3">
        <v>22</v>
      </c>
      <c r="X3">
        <v>23</v>
      </c>
      <c r="Y3">
        <v>24</v>
      </c>
      <c r="Z3">
        <v>25</v>
      </c>
      <c r="AA3">
        <v>26</v>
      </c>
      <c r="AB3">
        <v>27</v>
      </c>
      <c r="AC3">
        <v>28</v>
      </c>
      <c r="AD3">
        <v>29</v>
      </c>
      <c r="AE3">
        <v>30</v>
      </c>
      <c r="AF3">
        <v>31</v>
      </c>
      <c r="AG3">
        <v>32</v>
      </c>
      <c r="AH3">
        <v>33</v>
      </c>
      <c r="AI3">
        <v>34</v>
      </c>
      <c r="AJ3">
        <v>35</v>
      </c>
      <c r="AK3">
        <v>36</v>
      </c>
      <c r="AL3">
        <v>37</v>
      </c>
      <c r="AM3">
        <v>38</v>
      </c>
      <c r="AN3">
        <v>39</v>
      </c>
      <c r="AO3">
        <v>40</v>
      </c>
      <c r="AP3">
        <v>41</v>
      </c>
      <c r="AQ3">
        <v>42</v>
      </c>
      <c r="AR3">
        <v>43</v>
      </c>
      <c r="AS3">
        <v>44</v>
      </c>
      <c r="AT3">
        <v>45</v>
      </c>
      <c r="AU3">
        <v>46</v>
      </c>
      <c r="AV3">
        <v>47</v>
      </c>
      <c r="AW3">
        <v>48</v>
      </c>
      <c r="AX3">
        <v>49</v>
      </c>
      <c r="AY3">
        <v>50</v>
      </c>
      <c r="AZ3">
        <v>51</v>
      </c>
      <c r="BA3">
        <v>52</v>
      </c>
      <c r="BB3">
        <v>53</v>
      </c>
      <c r="BC3">
        <v>54</v>
      </c>
      <c r="BD3">
        <v>55</v>
      </c>
      <c r="BE3">
        <v>56</v>
      </c>
      <c r="BF3">
        <v>57</v>
      </c>
      <c r="BG3">
        <v>58</v>
      </c>
      <c r="BH3">
        <v>59</v>
      </c>
      <c r="BI3">
        <v>60</v>
      </c>
      <c r="BJ3">
        <v>61</v>
      </c>
      <c r="BK3">
        <v>62</v>
      </c>
      <c r="BL3">
        <v>63</v>
      </c>
      <c r="BM3">
        <v>64</v>
      </c>
      <c r="BN3">
        <v>65</v>
      </c>
      <c r="BO3">
        <v>66</v>
      </c>
      <c r="BP3">
        <v>67</v>
      </c>
      <c r="BQ3">
        <v>68</v>
      </c>
      <c r="BR3">
        <v>69</v>
      </c>
      <c r="BS3">
        <v>70</v>
      </c>
      <c r="BT3">
        <v>71</v>
      </c>
      <c r="BU3">
        <v>72</v>
      </c>
      <c r="BV3">
        <v>73</v>
      </c>
      <c r="BW3">
        <v>74</v>
      </c>
      <c r="BX3">
        <v>75</v>
      </c>
      <c r="BY3">
        <v>76</v>
      </c>
      <c r="BZ3">
        <v>77</v>
      </c>
      <c r="CA3">
        <v>78</v>
      </c>
      <c r="CB3">
        <v>79</v>
      </c>
      <c r="CC3">
        <v>80</v>
      </c>
      <c r="CD3">
        <v>81</v>
      </c>
      <c r="CE3">
        <v>82</v>
      </c>
      <c r="CF3">
        <v>83</v>
      </c>
      <c r="CG3">
        <v>84</v>
      </c>
      <c r="CH3">
        <v>85</v>
      </c>
      <c r="CI3">
        <v>86</v>
      </c>
      <c r="CJ3">
        <v>87</v>
      </c>
      <c r="CK3">
        <v>88</v>
      </c>
      <c r="CL3">
        <v>89</v>
      </c>
      <c r="CM3">
        <v>90</v>
      </c>
      <c r="CN3">
        <v>91</v>
      </c>
      <c r="CO3">
        <v>92</v>
      </c>
      <c r="CP3">
        <v>93</v>
      </c>
      <c r="CQ3">
        <v>94</v>
      </c>
      <c r="CR3">
        <v>95</v>
      </c>
      <c r="CS3">
        <v>96</v>
      </c>
      <c r="CT3">
        <v>97</v>
      </c>
      <c r="CU3">
        <v>98</v>
      </c>
      <c r="CV3">
        <v>99</v>
      </c>
      <c r="CW3">
        <v>100</v>
      </c>
      <c r="CX3">
        <v>101</v>
      </c>
      <c r="CY3">
        <v>102</v>
      </c>
      <c r="CZ3">
        <v>103</v>
      </c>
      <c r="DA3">
        <v>104</v>
      </c>
      <c r="DB3">
        <v>105</v>
      </c>
      <c r="DC3">
        <v>106</v>
      </c>
      <c r="DD3">
        <v>107</v>
      </c>
      <c r="DE3">
        <v>108</v>
      </c>
      <c r="DF3">
        <v>109</v>
      </c>
      <c r="DG3">
        <v>110</v>
      </c>
      <c r="DH3">
        <v>111</v>
      </c>
      <c r="DI3">
        <v>112</v>
      </c>
      <c r="DJ3">
        <v>113</v>
      </c>
      <c r="DK3">
        <v>114</v>
      </c>
      <c r="DL3">
        <v>115</v>
      </c>
      <c r="DM3">
        <v>116</v>
      </c>
      <c r="DN3">
        <v>117</v>
      </c>
      <c r="DO3">
        <v>118</v>
      </c>
      <c r="DP3">
        <v>119</v>
      </c>
      <c r="DQ3">
        <v>120</v>
      </c>
      <c r="DR3">
        <v>121</v>
      </c>
      <c r="DS3">
        <v>122</v>
      </c>
      <c r="DT3">
        <v>123</v>
      </c>
      <c r="DU3">
        <v>124</v>
      </c>
      <c r="DV3">
        <v>125</v>
      </c>
      <c r="DW3">
        <v>126</v>
      </c>
      <c r="DX3">
        <v>127</v>
      </c>
      <c r="DY3">
        <v>128</v>
      </c>
      <c r="DZ3">
        <v>129</v>
      </c>
      <c r="EA3">
        <v>130</v>
      </c>
      <c r="EB3">
        <v>131</v>
      </c>
      <c r="EC3">
        <v>132</v>
      </c>
      <c r="ED3">
        <v>133</v>
      </c>
      <c r="EE3">
        <v>134</v>
      </c>
      <c r="EF3">
        <v>135</v>
      </c>
      <c r="EG3">
        <v>136</v>
      </c>
      <c r="EH3">
        <v>137</v>
      </c>
      <c r="EI3">
        <v>138</v>
      </c>
      <c r="EJ3">
        <v>139</v>
      </c>
      <c r="EK3">
        <v>140</v>
      </c>
      <c r="EL3">
        <v>141</v>
      </c>
      <c r="EM3">
        <v>142</v>
      </c>
      <c r="EN3">
        <v>143</v>
      </c>
      <c r="EO3">
        <v>144</v>
      </c>
      <c r="EP3">
        <v>145</v>
      </c>
      <c r="EQ3">
        <v>146</v>
      </c>
      <c r="ER3">
        <v>147</v>
      </c>
      <c r="ES3">
        <v>148</v>
      </c>
      <c r="ET3">
        <v>149</v>
      </c>
      <c r="EU3">
        <v>150</v>
      </c>
      <c r="EV3">
        <v>151</v>
      </c>
      <c r="EW3">
        <v>152</v>
      </c>
      <c r="EX3">
        <v>153</v>
      </c>
      <c r="EY3">
        <v>154</v>
      </c>
      <c r="EZ3">
        <v>155</v>
      </c>
      <c r="FA3">
        <v>156</v>
      </c>
      <c r="FB3">
        <v>157</v>
      </c>
      <c r="FC3">
        <v>158</v>
      </c>
      <c r="FD3">
        <v>159</v>
      </c>
      <c r="FE3">
        <v>160</v>
      </c>
      <c r="FF3">
        <v>161</v>
      </c>
      <c r="FG3">
        <v>162</v>
      </c>
      <c r="FH3">
        <v>163</v>
      </c>
      <c r="FI3">
        <v>164</v>
      </c>
      <c r="FJ3">
        <v>165</v>
      </c>
      <c r="FK3">
        <v>166</v>
      </c>
      <c r="FL3">
        <v>167</v>
      </c>
      <c r="FM3">
        <v>168</v>
      </c>
      <c r="FN3">
        <v>169</v>
      </c>
      <c r="FO3">
        <v>170</v>
      </c>
      <c r="FP3">
        <v>171</v>
      </c>
      <c r="FQ3">
        <v>172</v>
      </c>
      <c r="FR3">
        <v>173</v>
      </c>
      <c r="FS3">
        <v>174</v>
      </c>
      <c r="FT3">
        <v>175</v>
      </c>
      <c r="FU3">
        <v>176</v>
      </c>
      <c r="FV3">
        <v>177</v>
      </c>
      <c r="FW3">
        <v>178</v>
      </c>
      <c r="FX3">
        <v>179</v>
      </c>
      <c r="FY3">
        <v>180</v>
      </c>
      <c r="FZ3">
        <v>181</v>
      </c>
      <c r="GA3">
        <v>182</v>
      </c>
      <c r="GB3">
        <v>183</v>
      </c>
      <c r="GC3">
        <v>184</v>
      </c>
      <c r="GD3">
        <v>185</v>
      </c>
      <c r="GE3">
        <v>186</v>
      </c>
      <c r="GF3">
        <v>187</v>
      </c>
      <c r="GG3">
        <v>188</v>
      </c>
      <c r="GH3">
        <v>189</v>
      </c>
      <c r="GI3">
        <v>190</v>
      </c>
      <c r="GJ3">
        <v>191</v>
      </c>
      <c r="GK3">
        <v>192</v>
      </c>
      <c r="GL3">
        <v>193</v>
      </c>
      <c r="GM3">
        <v>194</v>
      </c>
      <c r="GN3">
        <v>195</v>
      </c>
      <c r="GO3">
        <v>196</v>
      </c>
      <c r="GP3">
        <v>197</v>
      </c>
      <c r="GQ3">
        <v>198</v>
      </c>
      <c r="GR3">
        <v>199</v>
      </c>
      <c r="GS3">
        <v>200</v>
      </c>
      <c r="GT3">
        <v>201</v>
      </c>
      <c r="GU3">
        <v>202</v>
      </c>
      <c r="GV3">
        <v>203</v>
      </c>
      <c r="GW3">
        <v>204</v>
      </c>
      <c r="GX3">
        <v>205</v>
      </c>
      <c r="GY3">
        <v>206</v>
      </c>
      <c r="GZ3">
        <v>207</v>
      </c>
      <c r="HA3">
        <v>208</v>
      </c>
      <c r="HB3">
        <v>209</v>
      </c>
      <c r="HC3">
        <v>210</v>
      </c>
      <c r="HD3">
        <v>211</v>
      </c>
      <c r="HE3">
        <v>212</v>
      </c>
      <c r="HF3">
        <v>213</v>
      </c>
      <c r="HG3">
        <v>214</v>
      </c>
      <c r="HH3">
        <v>215</v>
      </c>
      <c r="HI3">
        <v>216</v>
      </c>
      <c r="HJ3">
        <v>217</v>
      </c>
      <c r="HK3">
        <v>218</v>
      </c>
      <c r="HL3">
        <v>219</v>
      </c>
      <c r="HM3">
        <v>220</v>
      </c>
      <c r="HN3">
        <v>221</v>
      </c>
      <c r="HO3">
        <v>222</v>
      </c>
      <c r="HP3">
        <v>223</v>
      </c>
      <c r="HQ3">
        <v>224</v>
      </c>
      <c r="HR3">
        <v>225</v>
      </c>
      <c r="HS3">
        <v>226</v>
      </c>
      <c r="HT3">
        <v>227</v>
      </c>
      <c r="HU3">
        <v>228</v>
      </c>
      <c r="HV3">
        <v>229</v>
      </c>
      <c r="HW3">
        <v>230</v>
      </c>
      <c r="HX3">
        <v>231</v>
      </c>
      <c r="HY3">
        <v>232</v>
      </c>
      <c r="HZ3">
        <v>233</v>
      </c>
      <c r="IA3">
        <v>234</v>
      </c>
      <c r="IB3">
        <v>235</v>
      </c>
      <c r="IC3">
        <v>236</v>
      </c>
      <c r="ID3">
        <v>237</v>
      </c>
      <c r="IE3">
        <v>238</v>
      </c>
      <c r="IF3">
        <v>239</v>
      </c>
      <c r="IG3">
        <v>240</v>
      </c>
      <c r="IH3">
        <v>241</v>
      </c>
      <c r="II3">
        <v>242</v>
      </c>
      <c r="IJ3">
        <v>243</v>
      </c>
      <c r="IK3">
        <v>244</v>
      </c>
      <c r="IL3">
        <v>245</v>
      </c>
      <c r="IM3">
        <v>246</v>
      </c>
      <c r="IN3">
        <v>247</v>
      </c>
      <c r="IO3">
        <v>248</v>
      </c>
      <c r="IP3">
        <v>249</v>
      </c>
      <c r="IQ3">
        <v>250</v>
      </c>
      <c r="IR3">
        <v>251</v>
      </c>
      <c r="IS3">
        <v>252</v>
      </c>
      <c r="IT3">
        <v>253</v>
      </c>
      <c r="IU3">
        <v>254</v>
      </c>
      <c r="IV3">
        <v>255</v>
      </c>
      <c r="IW3">
        <v>256</v>
      </c>
      <c r="IX3">
        <v>257</v>
      </c>
      <c r="IY3">
        <v>258</v>
      </c>
      <c r="IZ3">
        <v>259</v>
      </c>
      <c r="JA3">
        <v>260</v>
      </c>
      <c r="JB3">
        <v>261</v>
      </c>
      <c r="JC3">
        <v>262</v>
      </c>
      <c r="JD3">
        <v>263</v>
      </c>
      <c r="JE3">
        <v>264</v>
      </c>
      <c r="JF3">
        <v>265</v>
      </c>
      <c r="JG3">
        <v>266</v>
      </c>
      <c r="JH3">
        <v>267</v>
      </c>
      <c r="JI3">
        <v>268</v>
      </c>
      <c r="JJ3">
        <v>269</v>
      </c>
      <c r="JK3">
        <v>270</v>
      </c>
      <c r="JL3">
        <v>271</v>
      </c>
      <c r="JM3">
        <v>272</v>
      </c>
      <c r="JN3">
        <v>273</v>
      </c>
      <c r="JO3">
        <v>274</v>
      </c>
      <c r="JP3">
        <v>275</v>
      </c>
      <c r="JQ3">
        <v>276</v>
      </c>
      <c r="JR3">
        <v>277</v>
      </c>
      <c r="JS3">
        <v>278</v>
      </c>
      <c r="JT3">
        <v>279</v>
      </c>
      <c r="JU3">
        <v>280</v>
      </c>
      <c r="JV3">
        <v>281</v>
      </c>
      <c r="JW3">
        <v>282</v>
      </c>
      <c r="JX3">
        <v>283</v>
      </c>
      <c r="JY3">
        <v>284</v>
      </c>
      <c r="JZ3">
        <v>285</v>
      </c>
      <c r="KA3">
        <v>286</v>
      </c>
      <c r="KB3">
        <v>287</v>
      </c>
      <c r="KC3">
        <v>288</v>
      </c>
      <c r="KD3">
        <v>289</v>
      </c>
      <c r="KE3">
        <v>290</v>
      </c>
      <c r="KF3">
        <v>291</v>
      </c>
      <c r="KG3">
        <v>292</v>
      </c>
      <c r="KH3">
        <v>293</v>
      </c>
      <c r="KI3">
        <v>294</v>
      </c>
      <c r="KJ3">
        <v>295</v>
      </c>
      <c r="KK3">
        <v>296</v>
      </c>
      <c r="KL3">
        <v>297</v>
      </c>
      <c r="KM3">
        <v>298</v>
      </c>
      <c r="KN3">
        <v>299</v>
      </c>
      <c r="KO3">
        <v>300</v>
      </c>
      <c r="KP3">
        <v>301</v>
      </c>
      <c r="KQ3">
        <v>302</v>
      </c>
      <c r="KR3">
        <v>303</v>
      </c>
      <c r="KS3">
        <v>304</v>
      </c>
      <c r="KT3">
        <v>305</v>
      </c>
      <c r="KU3">
        <v>306</v>
      </c>
      <c r="KV3">
        <v>307</v>
      </c>
      <c r="KW3">
        <v>308</v>
      </c>
      <c r="KX3">
        <v>309</v>
      </c>
      <c r="KY3">
        <v>310</v>
      </c>
      <c r="KZ3">
        <v>311</v>
      </c>
      <c r="LA3">
        <v>312</v>
      </c>
      <c r="LB3">
        <v>313</v>
      </c>
      <c r="LC3">
        <v>314</v>
      </c>
      <c r="LD3">
        <v>315</v>
      </c>
      <c r="LE3">
        <v>316</v>
      </c>
      <c r="LF3">
        <v>317</v>
      </c>
      <c r="LG3">
        <v>318</v>
      </c>
      <c r="LH3">
        <v>319</v>
      </c>
      <c r="LI3">
        <v>320</v>
      </c>
      <c r="LJ3">
        <v>321</v>
      </c>
      <c r="LK3">
        <v>322</v>
      </c>
      <c r="LL3">
        <v>323</v>
      </c>
      <c r="LM3">
        <v>324</v>
      </c>
      <c r="LN3">
        <v>325</v>
      </c>
      <c r="LO3">
        <v>326</v>
      </c>
      <c r="LP3">
        <v>327</v>
      </c>
      <c r="LQ3">
        <v>328</v>
      </c>
      <c r="LR3">
        <v>329</v>
      </c>
      <c r="LS3">
        <v>330</v>
      </c>
      <c r="LT3">
        <v>331</v>
      </c>
      <c r="LU3">
        <v>332</v>
      </c>
      <c r="LV3">
        <v>333</v>
      </c>
      <c r="LW3">
        <v>334</v>
      </c>
      <c r="LX3">
        <v>335</v>
      </c>
      <c r="LY3">
        <v>336</v>
      </c>
      <c r="LZ3">
        <v>337</v>
      </c>
      <c r="MA3">
        <v>338</v>
      </c>
      <c r="MB3">
        <v>339</v>
      </c>
      <c r="MC3">
        <v>340</v>
      </c>
      <c r="MD3">
        <v>341</v>
      </c>
      <c r="ME3">
        <v>342</v>
      </c>
      <c r="MF3">
        <v>343</v>
      </c>
      <c r="MG3">
        <v>344</v>
      </c>
      <c r="MH3">
        <v>345</v>
      </c>
      <c r="MI3">
        <v>346</v>
      </c>
      <c r="MJ3">
        <v>347</v>
      </c>
      <c r="MK3">
        <v>348</v>
      </c>
      <c r="ML3">
        <v>349</v>
      </c>
      <c r="MM3">
        <v>350</v>
      </c>
      <c r="MN3">
        <v>351</v>
      </c>
      <c r="MO3">
        <v>352</v>
      </c>
      <c r="MP3">
        <v>353</v>
      </c>
      <c r="MQ3">
        <v>354</v>
      </c>
      <c r="MR3">
        <v>355</v>
      </c>
      <c r="MS3">
        <v>356</v>
      </c>
      <c r="MT3">
        <v>357</v>
      </c>
      <c r="MU3">
        <v>358</v>
      </c>
      <c r="MV3">
        <v>359</v>
      </c>
      <c r="MW3">
        <v>360</v>
      </c>
      <c r="MX3">
        <v>361</v>
      </c>
      <c r="MY3">
        <v>362</v>
      </c>
      <c r="MZ3">
        <v>363</v>
      </c>
      <c r="NA3">
        <v>364</v>
      </c>
      <c r="NB3">
        <v>365</v>
      </c>
    </row>
    <row r="4" spans="2:366" x14ac:dyDescent="0.3">
      <c r="B4" t="s">
        <v>233</v>
      </c>
      <c r="C4" t="s">
        <v>234</v>
      </c>
      <c r="D4" t="s">
        <v>235</v>
      </c>
      <c r="E4" t="s">
        <v>233</v>
      </c>
      <c r="F4" t="s">
        <v>234</v>
      </c>
      <c r="G4" t="s">
        <v>235</v>
      </c>
      <c r="H4" t="s">
        <v>233</v>
      </c>
      <c r="I4" t="s">
        <v>234</v>
      </c>
      <c r="J4" t="s">
        <v>235</v>
      </c>
      <c r="K4" t="s">
        <v>233</v>
      </c>
      <c r="L4" t="s">
        <v>234</v>
      </c>
      <c r="M4" t="s">
        <v>235</v>
      </c>
    </row>
    <row r="5" spans="2:366" x14ac:dyDescent="0.3">
      <c r="B5">
        <v>1</v>
      </c>
      <c r="C5">
        <v>30</v>
      </c>
      <c r="D5">
        <v>25</v>
      </c>
    </row>
    <row r="6" spans="2:366" x14ac:dyDescent="0.3">
      <c r="B6">
        <v>2</v>
      </c>
      <c r="C6">
        <v>30</v>
      </c>
      <c r="D6">
        <v>25</v>
      </c>
    </row>
    <row r="7" spans="2:366" x14ac:dyDescent="0.3">
      <c r="B7">
        <v>3</v>
      </c>
    </row>
    <row r="8" spans="2:366" x14ac:dyDescent="0.3">
      <c r="B8">
        <v>4</v>
      </c>
    </row>
    <row r="9" spans="2:366" x14ac:dyDescent="0.3">
      <c r="B9">
        <v>5</v>
      </c>
    </row>
  </sheetData>
  <mergeCells count="38">
    <mergeCell ref="CH2:CJ2"/>
    <mergeCell ref="CK2:CM2"/>
    <mergeCell ref="CN2:CP2"/>
    <mergeCell ref="CQ2:CS2"/>
    <mergeCell ref="AO2:AQ2"/>
    <mergeCell ref="AR2:AT2"/>
    <mergeCell ref="AU2:AW2"/>
    <mergeCell ref="AX2:AZ2"/>
    <mergeCell ref="BJ2:BL2"/>
    <mergeCell ref="FU2:FW2"/>
    <mergeCell ref="FR2:FT2"/>
    <mergeCell ref="BA2:BC2"/>
    <mergeCell ref="BD2:BF2"/>
    <mergeCell ref="BG2:BI2"/>
    <mergeCell ref="BY2:CA2"/>
    <mergeCell ref="BM2:BO2"/>
    <mergeCell ref="BP2:BR2"/>
    <mergeCell ref="BS2:BU2"/>
    <mergeCell ref="BV2:BX2"/>
    <mergeCell ref="CT2:CV2"/>
    <mergeCell ref="CW2:CY2"/>
    <mergeCell ref="CZ2:DB2"/>
    <mergeCell ref="DC2:DE2"/>
    <mergeCell ref="CB2:CD2"/>
    <mergeCell ref="CE2:CG2"/>
    <mergeCell ref="AL2:AN2"/>
    <mergeCell ref="T2:V2"/>
    <mergeCell ref="B2:D2"/>
    <mergeCell ref="E2:G2"/>
    <mergeCell ref="H2:J2"/>
    <mergeCell ref="K2:M2"/>
    <mergeCell ref="N2:P2"/>
    <mergeCell ref="Q2:S2"/>
    <mergeCell ref="W2:Y2"/>
    <mergeCell ref="Z2:AB2"/>
    <mergeCell ref="AC2:AE2"/>
    <mergeCell ref="AF2:AH2"/>
    <mergeCell ref="AI2:A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Vision Board</vt:lpstr>
      <vt:lpstr>Detailed Planning</vt:lpstr>
      <vt:lpstr>Schedule</vt:lpstr>
      <vt:lpstr>Logbook</vt:lpstr>
      <vt:lpstr>To-Do List</vt:lpstr>
      <vt:lpstr>Recurrent Tasks Tracker</vt:lpstr>
      <vt:lpstr>Calisthenics Routine</vt:lpstr>
      <vt:lpstr>Vocabulary 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Lozano, Daniel</cp:lastModifiedBy>
  <dcterms:created xsi:type="dcterms:W3CDTF">2015-06-05T18:19:34Z</dcterms:created>
  <dcterms:modified xsi:type="dcterms:W3CDTF">2026-05-30T00:02:22Z</dcterms:modified>
</cp:coreProperties>
</file>