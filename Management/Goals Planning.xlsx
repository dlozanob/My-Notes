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6AD557BD-6E0F-423A-B6C4-BBA459798014}" xr6:coauthVersionLast="47" xr6:coauthVersionMax="47" xr10:uidLastSave="{00000000-0000-0000-0000-000000000000}"/>
  <bookViews>
    <workbookView xWindow="20370" yWindow="-3000" windowWidth="29040" windowHeight="15720" firstSheet="1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5" l="1"/>
  <c r="F6" i="5"/>
  <c r="E9" i="7"/>
  <c r="E8" i="7"/>
  <c r="E16" i="7" l="1"/>
  <c r="D16" i="7"/>
  <c r="D14" i="7"/>
  <c r="D8" i="7"/>
  <c r="D9" i="7"/>
  <c r="D17" i="7"/>
  <c r="D15" i="7"/>
  <c r="D13" i="7"/>
  <c r="D12" i="7"/>
  <c r="D3" i="7"/>
  <c r="D7" i="7"/>
  <c r="D6" i="7"/>
  <c r="D11" i="7"/>
  <c r="D10" i="7"/>
  <c r="D5" i="7"/>
  <c r="D4" i="7"/>
  <c r="E3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3" i="7"/>
  <c r="J23" i="2" l="1"/>
  <c r="K23" i="2" s="1"/>
  <c r="E12" i="7" l="1"/>
  <c r="E17" i="7"/>
  <c r="E15" i="7"/>
  <c r="E7" i="7"/>
  <c r="E6" i="7"/>
  <c r="E5" i="7"/>
  <c r="E4" i="7"/>
  <c r="E14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<sst xmlns="http://schemas.openxmlformats.org/spreadsheetml/2006/main" count="781" uniqueCount="239">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</sst>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/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27" dataDxfId="2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5"/>
    <tableColumn id="2" xr3:uid="{0BA13A88-2DB2-42F4-9C09-E56CF8590AED}" name="Importance (1-5)" dataDxfId="24"/>
    <tableColumn id="3" xr3:uid="{1A6917C2-468C-48ED-9177-AA8E25AD4AF8}" name="Deadline" dataDxfId="23"/>
    <tableColumn id="4" xr3:uid="{FEAE9DBB-3AC6-424C-9191-E939A3B53451}" name="Progress (1-5)" dataDxfId="22"/>
    <tableColumn id="5" xr3:uid="{999FE4F4-1750-4966-B8AA-6A4C8C62DCC5}" name="Priority" dataDxfId="21">
      <calculatedColumnFormula>C3 + MAX(0, (30-_xlfn.DAYS(D3, TODAY()))) + (10-E3)</calculatedColumnFormula>
    </tableColumn>
    <tableColumn id="6" xr3:uid="{75E8F6A4-CE29-4B38-8EFC-46F951A46AE3}" name="Status Description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19" dataDxfId="1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17"/>
    <tableColumn id="2" xr3:uid="{01AABBA1-86AF-4CDD-8059-B6B90931FA25}" name="Frequency" dataDxfId="16"/>
    <tableColumn id="4" xr3:uid="{7E9972C0-1274-4C43-9D4F-294C74FAC42E}" name="Previous Check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2" t="s">
        <v>80</v>
      </c>
      <c r="C2" s="143"/>
      <c r="D2" s="143"/>
      <c r="E2" s="143"/>
      <c r="F2" s="143"/>
      <c r="G2" s="143"/>
      <c r="H2" s="143"/>
      <c r="I2" s="143"/>
      <c r="J2" s="143"/>
      <c r="K2" s="143"/>
      <c r="L2" s="144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3" zoomScale="80" workbookViewId="0">
      <selection activeCell="D38" sqref="D38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216</v>
      </c>
      <c r="C10" s="106" t="s">
        <v>217</v>
      </c>
      <c r="D10" s="106" t="s">
        <v>218</v>
      </c>
      <c r="E10" s="106" t="s">
        <v>219</v>
      </c>
      <c r="G10" s="147" t="s">
        <v>184</v>
      </c>
      <c r="H10" s="147"/>
      <c r="I10" s="147"/>
    </row>
    <row r="11" spans="2:11" ht="15.75" x14ac:dyDescent="0.25">
      <c r="B11" s="145" t="s">
        <v>86</v>
      </c>
      <c r="C11" s="146"/>
      <c r="D11" s="146"/>
      <c r="E11" s="146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5" t="s">
        <v>97</v>
      </c>
      <c r="C16" s="146"/>
      <c r="D16" s="146"/>
      <c r="E16" s="146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5" t="s">
        <v>220</v>
      </c>
      <c r="C21" s="146"/>
      <c r="D21" s="146"/>
      <c r="E21" s="146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5" t="s">
        <v>88</v>
      </c>
      <c r="C25" s="146"/>
      <c r="D25" s="146"/>
      <c r="E25" s="146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37" t="s">
        <v>225</v>
      </c>
      <c r="C31" s="138">
        <v>46142</v>
      </c>
      <c r="D31" s="138">
        <v>46148</v>
      </c>
      <c r="E31" s="13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226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227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231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221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1" t="s">
        <v>222</v>
      </c>
      <c r="C37" s="132">
        <v>46124</v>
      </c>
      <c r="D37" s="132">
        <v>46133</v>
      </c>
      <c r="E37" s="133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4" t="s">
        <v>223</v>
      </c>
      <c r="C38" s="135">
        <v>46134</v>
      </c>
      <c r="D38" s="135">
        <v>46143</v>
      </c>
      <c r="E38" s="136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224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225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5" t="s">
        <v>53</v>
      </c>
      <c r="C48" s="146"/>
      <c r="D48" s="146"/>
      <c r="E48" s="146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5" t="s">
        <v>103</v>
      </c>
      <c r="C55" s="146"/>
      <c r="D55" s="146"/>
      <c r="E55" s="146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8" t="s">
        <v>34</v>
      </c>
      <c r="K3" s="149"/>
    </row>
    <row r="4" spans="3:11" ht="42" x14ac:dyDescent="0.25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2.75" x14ac:dyDescent="0.25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2.75" x14ac:dyDescent="0.25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2.75" x14ac:dyDescent="0.25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2.75" x14ac:dyDescent="0.25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2.75" x14ac:dyDescent="0.25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2.75" x14ac:dyDescent="0.25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2.75" x14ac:dyDescent="0.25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D5" activePane="bottomRight" state="frozen"/>
      <selection pane="topRight" activeCell="C1" sqref="C1"/>
      <selection pane="bottomLeft" activeCell="A5" sqref="A5"/>
      <selection pane="bottomRight" activeCell="DQ10" sqref="DQ10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0" t="str">
        <f>"Week "&amp;ROUNDDOWN(C4/7,0)+1</f>
        <v>Week 1</v>
      </c>
      <c r="D2" s="151"/>
      <c r="E2" s="151"/>
      <c r="F2" s="151"/>
      <c r="G2" s="151"/>
      <c r="H2" s="151"/>
      <c r="I2" s="151"/>
      <c r="J2" s="150" t="str">
        <f>"Week "&amp;ROUNDDOWN(J4/7,0)+1</f>
        <v>Week 2</v>
      </c>
      <c r="K2" s="151"/>
      <c r="L2" s="151"/>
      <c r="M2" s="151"/>
      <c r="N2" s="151"/>
      <c r="O2" s="151"/>
      <c r="P2" s="151"/>
      <c r="Q2" s="150" t="str">
        <f>"Week "&amp;ROUNDDOWN(Q4/7,0)+1</f>
        <v>Week 3</v>
      </c>
      <c r="R2" s="151"/>
      <c r="S2" s="151"/>
      <c r="T2" s="151"/>
      <c r="U2" s="151"/>
      <c r="V2" s="151"/>
      <c r="W2" s="151"/>
      <c r="X2" s="150" t="str">
        <f>"Week "&amp;ROUNDDOWN(X4/7,0)+1</f>
        <v>Week 4</v>
      </c>
      <c r="Y2" s="151"/>
      <c r="Z2" s="151"/>
      <c r="AA2" s="151"/>
      <c r="AB2" s="151"/>
      <c r="AC2" s="151"/>
      <c r="AD2" s="151"/>
      <c r="AE2" s="150" t="str">
        <f>"Week "&amp;ROUNDDOWN(AE4/7,0)+1</f>
        <v>Week 5</v>
      </c>
      <c r="AF2" s="151"/>
      <c r="AG2" s="151"/>
      <c r="AH2" s="151"/>
      <c r="AI2" s="151"/>
      <c r="AJ2" s="151"/>
      <c r="AK2" s="151"/>
      <c r="AL2" s="150" t="str">
        <f>"Week "&amp;ROUNDDOWN(AL4/7,0)+1</f>
        <v>Week 6</v>
      </c>
      <c r="AM2" s="151"/>
      <c r="AN2" s="151"/>
      <c r="AO2" s="151"/>
      <c r="AP2" s="151"/>
      <c r="AQ2" s="151"/>
      <c r="AR2" s="151"/>
      <c r="AS2" s="150" t="str">
        <f>"Week "&amp;ROUNDDOWN(AS4/7,0)+1</f>
        <v>Week 7</v>
      </c>
      <c r="AT2" s="151"/>
      <c r="AU2" s="151"/>
      <c r="AV2" s="151"/>
      <c r="AW2" s="151"/>
      <c r="AX2" s="151"/>
      <c r="AY2" s="151"/>
      <c r="AZ2" s="150" t="str">
        <f>"Week "&amp;ROUNDDOWN(AZ4/7,0)+1</f>
        <v>Week 8</v>
      </c>
      <c r="BA2" s="151"/>
      <c r="BB2" s="151"/>
      <c r="BC2" s="151"/>
      <c r="BD2" s="151"/>
      <c r="BE2" s="151"/>
      <c r="BF2" s="151"/>
      <c r="BG2" s="150" t="str">
        <f>"Week "&amp;ROUNDDOWN(BG4/7,0)+1</f>
        <v>Week 9</v>
      </c>
      <c r="BH2" s="151"/>
      <c r="BI2" s="151"/>
      <c r="BJ2" s="151"/>
      <c r="BK2" s="151"/>
      <c r="BL2" s="151"/>
      <c r="BM2" s="151"/>
      <c r="BN2" s="150" t="str">
        <f>"Week "&amp;ROUNDDOWN(BN4/7,0)+1</f>
        <v>Week 10</v>
      </c>
      <c r="BO2" s="151"/>
      <c r="BP2" s="151"/>
      <c r="BQ2" s="151"/>
      <c r="BR2" s="151"/>
      <c r="BS2" s="151"/>
      <c r="BT2" s="151"/>
      <c r="BU2" s="150" t="str">
        <f>"Week "&amp;ROUNDDOWN(BU4/7,0)+1</f>
        <v>Week 11</v>
      </c>
      <c r="BV2" s="151"/>
      <c r="BW2" s="151"/>
      <c r="BX2" s="151"/>
      <c r="BY2" s="151"/>
      <c r="BZ2" s="151"/>
      <c r="CA2" s="151"/>
      <c r="CB2" s="150" t="str">
        <f>"Week "&amp;ROUNDDOWN(CB4/7,0)+1</f>
        <v>Week 12</v>
      </c>
      <c r="CC2" s="151"/>
      <c r="CD2" s="151"/>
      <c r="CE2" s="151"/>
      <c r="CF2" s="151"/>
      <c r="CG2" s="151"/>
      <c r="CH2" s="151"/>
      <c r="CI2" s="150" t="str">
        <f>"Week "&amp;ROUNDDOWN(CI4/7,0)+1</f>
        <v>Week 13</v>
      </c>
      <c r="CJ2" s="151"/>
      <c r="CK2" s="151"/>
      <c r="CL2" s="151"/>
      <c r="CM2" s="151"/>
      <c r="CN2" s="151"/>
      <c r="CO2" s="151"/>
      <c r="CP2" s="150" t="str">
        <f>"Week "&amp;ROUNDDOWN(CP4/7,0)+1</f>
        <v>Week 14</v>
      </c>
      <c r="CQ2" s="151"/>
      <c r="CR2" s="151"/>
      <c r="CS2" s="151"/>
      <c r="CT2" s="151"/>
      <c r="CU2" s="151"/>
      <c r="CV2" s="151"/>
      <c r="CW2" s="150" t="str">
        <f>"Week "&amp;ROUNDDOWN(CW4/7,0)+1</f>
        <v>Week 15</v>
      </c>
      <c r="CX2" s="151"/>
      <c r="CY2" s="151"/>
      <c r="CZ2" s="151"/>
      <c r="DA2" s="151"/>
      <c r="DB2" s="151"/>
      <c r="DC2" s="151"/>
      <c r="DD2" s="150" t="str">
        <f>"Week "&amp;ROUNDDOWN(DD4/7,0)+1</f>
        <v>Week 16</v>
      </c>
      <c r="DE2" s="151"/>
      <c r="DF2" s="151"/>
      <c r="DG2" s="151"/>
      <c r="DH2" s="151"/>
      <c r="DI2" s="151"/>
      <c r="DJ2" s="151"/>
      <c r="DK2" s="150" t="str">
        <f>"Week "&amp;ROUNDDOWN(DK4/7,0)+1</f>
        <v>Week 17</v>
      </c>
      <c r="DL2" s="151"/>
      <c r="DM2" s="151"/>
      <c r="DN2" s="151"/>
      <c r="DO2" s="151"/>
      <c r="DP2" s="151"/>
      <c r="DQ2" s="151"/>
      <c r="DR2" s="150" t="str">
        <f>"Week "&amp;ROUNDDOWN(DR4/7,0)+1</f>
        <v>Week 18</v>
      </c>
      <c r="DS2" s="151"/>
      <c r="DT2" s="151"/>
      <c r="DU2" s="151"/>
      <c r="DV2" s="151"/>
      <c r="DW2" s="151"/>
      <c r="DX2" s="151"/>
      <c r="DY2" s="150" t="str">
        <f>"Week "&amp;ROUNDDOWN(DY4/7,0)+1</f>
        <v>Week 19</v>
      </c>
      <c r="DZ2" s="151"/>
      <c r="EA2" s="151"/>
      <c r="EB2" s="151"/>
      <c r="EC2" s="151"/>
      <c r="ED2" s="151"/>
      <c r="EE2" s="151"/>
      <c r="EF2" s="150" t="str">
        <f>"Week "&amp;ROUNDDOWN(EF4/7,0)+1</f>
        <v>Week 20</v>
      </c>
      <c r="EG2" s="151"/>
      <c r="EH2" s="151"/>
      <c r="EI2" s="151"/>
      <c r="EJ2" s="151"/>
      <c r="EK2" s="151"/>
      <c r="EL2" s="151"/>
      <c r="EM2" s="150" t="str">
        <f>"Week "&amp;ROUNDDOWN(EM4/7,0)+1</f>
        <v>Week 21</v>
      </c>
      <c r="EN2" s="151"/>
      <c r="EO2" s="151"/>
      <c r="EP2" s="151"/>
      <c r="EQ2" s="151"/>
      <c r="ER2" s="151"/>
      <c r="ES2" s="151"/>
      <c r="ET2" s="150" t="str">
        <f>"Week "&amp;ROUNDDOWN(ET4/7,0)+1</f>
        <v>Week 22</v>
      </c>
      <c r="EU2" s="151"/>
      <c r="EV2" s="151"/>
      <c r="EW2" s="151"/>
      <c r="EX2" s="151"/>
      <c r="EY2" s="151"/>
      <c r="EZ2" s="151"/>
      <c r="FA2" s="150" t="str">
        <f>"Week "&amp;ROUNDDOWN(FA4/7,0)+1</f>
        <v>Week 23</v>
      </c>
      <c r="FB2" s="151"/>
      <c r="FC2" s="151"/>
      <c r="FD2" s="151"/>
      <c r="FE2" s="151"/>
      <c r="FF2" s="151"/>
      <c r="FG2" s="151"/>
      <c r="FH2" s="150" t="str">
        <f>"Week "&amp;ROUNDDOWN(FH4/7,0)+1</f>
        <v>Week 24</v>
      </c>
      <c r="FI2" s="151"/>
      <c r="FJ2" s="151"/>
      <c r="FK2" s="151"/>
      <c r="FL2" s="151"/>
      <c r="FM2" s="151"/>
      <c r="FN2" s="151"/>
      <c r="FO2" s="150" t="str">
        <f>"Week "&amp;ROUNDDOWN(FO4/7,0)+1</f>
        <v>Week 25</v>
      </c>
      <c r="FP2" s="151"/>
      <c r="FQ2" s="151"/>
      <c r="FR2" s="151"/>
      <c r="FS2" s="151"/>
      <c r="FT2" s="151"/>
      <c r="FU2" s="151"/>
      <c r="FV2" s="150" t="str">
        <f>"Week "&amp;ROUNDDOWN(FV4/7,0)+1</f>
        <v>Week 26</v>
      </c>
      <c r="FW2" s="151"/>
      <c r="FX2" s="151"/>
      <c r="FY2" s="151"/>
      <c r="FZ2" s="151"/>
      <c r="GA2" s="151"/>
      <c r="GB2" s="151"/>
      <c r="GC2" s="150" t="str">
        <f>"Week "&amp;ROUNDDOWN(GC4/7,0)+1</f>
        <v>Week 27</v>
      </c>
      <c r="GD2" s="151"/>
      <c r="GE2" s="151"/>
      <c r="GF2" s="151"/>
      <c r="GG2" s="151"/>
      <c r="GH2" s="151"/>
      <c r="GI2" s="151"/>
      <c r="GJ2" s="150" t="str">
        <f>"Week "&amp;ROUNDDOWN(GJ4/7,0)+1</f>
        <v>Week 28</v>
      </c>
      <c r="GK2" s="151"/>
      <c r="GL2" s="151"/>
      <c r="GM2" s="151"/>
      <c r="GN2" s="151"/>
      <c r="GO2" s="151"/>
      <c r="GP2" s="151"/>
      <c r="GQ2" s="150" t="str">
        <f>"Week "&amp;ROUNDDOWN(GQ4/7,0)+1</f>
        <v>Week 29</v>
      </c>
      <c r="GR2" s="151"/>
      <c r="GS2" s="151"/>
      <c r="GT2" s="151"/>
      <c r="GU2" s="151"/>
      <c r="GV2" s="151"/>
      <c r="GW2" s="151"/>
      <c r="GX2" s="150" t="str">
        <f>"Week "&amp;ROUNDDOWN(GX4/7,0)+1</f>
        <v>Week 30</v>
      </c>
      <c r="GY2" s="151"/>
      <c r="GZ2" s="151"/>
      <c r="HA2" s="151"/>
      <c r="HB2" s="151"/>
      <c r="HC2" s="151"/>
      <c r="HD2" s="151"/>
      <c r="HE2" s="150" t="str">
        <f>"Week "&amp;ROUNDDOWN(HE4/7,0)+1</f>
        <v>Week 31</v>
      </c>
      <c r="HF2" s="151"/>
      <c r="HG2" s="151"/>
      <c r="HH2" s="151"/>
      <c r="HI2" s="151"/>
      <c r="HJ2" s="151"/>
      <c r="HK2" s="151"/>
      <c r="HL2" s="150" t="str">
        <f>"Week "&amp;ROUNDDOWN(HL4/7,0)+1</f>
        <v>Week 32</v>
      </c>
      <c r="HM2" s="151"/>
      <c r="HN2" s="151"/>
      <c r="HO2" s="151"/>
      <c r="HP2" s="151"/>
      <c r="HQ2" s="151"/>
      <c r="HR2" s="151"/>
      <c r="HS2" s="150" t="str">
        <f>"Week "&amp;ROUNDDOWN(HS4/7,0)+1</f>
        <v>Week 33</v>
      </c>
      <c r="HT2" s="151"/>
      <c r="HU2" s="151"/>
      <c r="HV2" s="151"/>
      <c r="HW2" s="151"/>
      <c r="HX2" s="151"/>
      <c r="HY2" s="151"/>
      <c r="HZ2" s="150" t="str">
        <f>"Week "&amp;ROUNDDOWN(HZ4/7,0)+1</f>
        <v>Week 34</v>
      </c>
      <c r="IA2" s="151"/>
      <c r="IB2" s="151"/>
      <c r="IC2" s="151"/>
      <c r="ID2" s="151"/>
      <c r="IE2" s="151"/>
      <c r="IF2" s="151"/>
      <c r="IG2" s="150" t="str">
        <f>"Week "&amp;ROUNDDOWN(IG4/7,0)+1</f>
        <v>Week 35</v>
      </c>
      <c r="IH2" s="151"/>
      <c r="II2" s="151"/>
      <c r="IJ2" s="151"/>
      <c r="IK2" s="151"/>
      <c r="IL2" s="151"/>
      <c r="IM2" s="151"/>
      <c r="IN2" s="150" t="str">
        <f>"Week "&amp;ROUNDDOWN(IN4/7,0)+1</f>
        <v>Week 36</v>
      </c>
      <c r="IO2" s="151"/>
      <c r="IP2" s="151"/>
      <c r="IQ2" s="151"/>
      <c r="IR2" s="151"/>
      <c r="IS2" s="151"/>
      <c r="IT2" s="151"/>
      <c r="IU2" s="150" t="str">
        <f>"Week "&amp;ROUNDDOWN(IU4/7,0)+1</f>
        <v>Week 37</v>
      </c>
      <c r="IV2" s="151"/>
      <c r="IW2" s="151"/>
      <c r="IX2" s="151"/>
      <c r="IY2" s="151"/>
      <c r="IZ2" s="151"/>
      <c r="JA2" s="151"/>
      <c r="JB2" s="150" t="str">
        <f>"Week "&amp;ROUNDDOWN(JB4/7,0)+1</f>
        <v>Week 38</v>
      </c>
      <c r="JC2" s="151"/>
      <c r="JD2" s="151"/>
      <c r="JE2" s="151"/>
      <c r="JF2" s="151"/>
      <c r="JG2" s="151"/>
      <c r="JH2" s="151"/>
      <c r="JI2" s="150" t="str">
        <f>"Week "&amp;ROUNDDOWN(JI4/7,0)+1</f>
        <v>Week 39</v>
      </c>
      <c r="JJ2" s="151"/>
      <c r="JK2" s="151"/>
      <c r="JL2" s="151"/>
      <c r="JM2" s="151"/>
      <c r="JN2" s="151"/>
      <c r="JO2" s="151"/>
      <c r="JP2" s="150" t="str">
        <f>"Week "&amp;ROUNDDOWN(JP4/7,0)+1</f>
        <v>Week 40</v>
      </c>
      <c r="JQ2" s="151"/>
      <c r="JR2" s="151"/>
      <c r="JS2" s="151"/>
      <c r="JT2" s="151"/>
      <c r="JU2" s="151"/>
      <c r="JV2" s="151"/>
      <c r="JW2" s="150" t="str">
        <f>"Week "&amp;ROUNDDOWN(JW4/7,0)+1</f>
        <v>Week 41</v>
      </c>
      <c r="JX2" s="151"/>
      <c r="JY2" s="151"/>
      <c r="JZ2" s="151"/>
      <c r="KA2" s="151"/>
      <c r="KB2" s="151"/>
      <c r="KC2" s="151"/>
      <c r="KD2" s="150" t="str">
        <f>"Week "&amp;ROUNDDOWN(KD4/7,0)+1</f>
        <v>Week 42</v>
      </c>
      <c r="KE2" s="151"/>
      <c r="KF2" s="151"/>
      <c r="KG2" s="151"/>
      <c r="KH2" s="151"/>
      <c r="KI2" s="151"/>
      <c r="KJ2" s="151"/>
      <c r="KK2" s="150" t="str">
        <f>"Week "&amp;ROUNDDOWN(KK4/7,0)+1</f>
        <v>Week 43</v>
      </c>
      <c r="KL2" s="151"/>
      <c r="KM2" s="151"/>
      <c r="KN2" s="151"/>
      <c r="KO2" s="151"/>
      <c r="KP2" s="151"/>
      <c r="KQ2" s="151"/>
      <c r="KR2" s="150" t="str">
        <f>"Week "&amp;ROUNDDOWN(KR4/7,0)+1</f>
        <v>Week 44</v>
      </c>
      <c r="KS2" s="151"/>
      <c r="KT2" s="151"/>
      <c r="KU2" s="151"/>
      <c r="KV2" s="151"/>
      <c r="KW2" s="151"/>
      <c r="KX2" s="151"/>
      <c r="KY2" s="150" t="str">
        <f>"Week "&amp;ROUNDDOWN(KY4/7,0)+1</f>
        <v>Week 45</v>
      </c>
      <c r="KZ2" s="151"/>
      <c r="LA2" s="151"/>
      <c r="LB2" s="151"/>
      <c r="LC2" s="151"/>
      <c r="LD2" s="151"/>
      <c r="LE2" s="151"/>
      <c r="LF2" s="150" t="str">
        <f>"Week "&amp;ROUNDDOWN(LF4/7,0)+1</f>
        <v>Week 46</v>
      </c>
      <c r="LG2" s="151"/>
      <c r="LH2" s="151"/>
      <c r="LI2" s="151"/>
      <c r="LJ2" s="151"/>
      <c r="LK2" s="151"/>
      <c r="LL2" s="151"/>
      <c r="LM2" s="150" t="str">
        <f>"Week "&amp;ROUNDDOWN(LM4/7,0)+1</f>
        <v>Week 47</v>
      </c>
      <c r="LN2" s="151"/>
      <c r="LO2" s="151"/>
      <c r="LP2" s="151"/>
      <c r="LQ2" s="151"/>
      <c r="LR2" s="151"/>
      <c r="LS2" s="151"/>
      <c r="LT2" s="150" t="str">
        <f>"Week "&amp;ROUNDDOWN(LT4/7,0)+1</f>
        <v>Week 48</v>
      </c>
      <c r="LU2" s="151"/>
      <c r="LV2" s="151"/>
      <c r="LW2" s="151"/>
      <c r="LX2" s="151"/>
      <c r="LY2" s="151"/>
      <c r="LZ2" s="151"/>
      <c r="MA2" s="150" t="str">
        <f>"Week "&amp;ROUNDDOWN(MA4/7,0)+1</f>
        <v>Week 49</v>
      </c>
      <c r="MB2" s="151"/>
      <c r="MC2" s="151"/>
      <c r="MD2" s="151"/>
      <c r="ME2" s="151"/>
      <c r="MF2" s="151"/>
      <c r="MG2" s="151"/>
      <c r="MH2" s="150" t="str">
        <f>"Week "&amp;ROUNDDOWN(MH4/7,0)+1</f>
        <v>Week 50</v>
      </c>
      <c r="MI2" s="151"/>
      <c r="MJ2" s="151"/>
      <c r="MK2" s="151"/>
      <c r="ML2" s="151"/>
      <c r="MM2" s="151"/>
      <c r="MN2" s="151"/>
      <c r="MO2" s="150" t="str">
        <f>"Week "&amp;ROUNDDOWN(MO4/7,0)+1</f>
        <v>Week 51</v>
      </c>
      <c r="MP2" s="151"/>
      <c r="MQ2" s="151"/>
      <c r="MR2" s="151"/>
      <c r="MS2" s="151"/>
      <c r="MT2" s="151"/>
      <c r="MU2" s="151"/>
      <c r="MV2" s="150" t="str">
        <f>"Week "&amp;ROUNDDOWN(MV4/7,0)+1</f>
        <v>Week 52</v>
      </c>
      <c r="MW2" s="151"/>
      <c r="MX2" s="151"/>
      <c r="MY2" s="151"/>
      <c r="MZ2" s="151"/>
      <c r="NA2" s="151"/>
      <c r="NB2" s="151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</row>
    <row r="6" spans="1:367" ht="57.75" customHeight="1" x14ac:dyDescent="0.25">
      <c r="A6" s="152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</row>
    <row r="7" spans="1:367" ht="46.5" customHeight="1" x14ac:dyDescent="0.25">
      <c r="A7" s="154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</row>
    <row r="8" spans="1:367" ht="33" customHeight="1" x14ac:dyDescent="0.25">
      <c r="A8" s="15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s="141" t="s">
        <v>32</v>
      </c>
      <c r="DN8" s="141" t="s">
        <v>32</v>
      </c>
      <c r="DO8" s="141" t="s">
        <v>32</v>
      </c>
      <c r="DP8" s="141" t="s">
        <v>32</v>
      </c>
      <c r="DQ8" s="141" t="s">
        <v>32</v>
      </c>
    </row>
    <row r="9" spans="1:367" ht="31.5" customHeight="1" x14ac:dyDescent="0.25">
      <c r="A9" s="15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s="141" t="s">
        <v>32</v>
      </c>
      <c r="DN9" s="141" t="s">
        <v>41</v>
      </c>
      <c r="DO9" s="141" t="s">
        <v>41</v>
      </c>
      <c r="DP9" s="141" t="s">
        <v>41</v>
      </c>
      <c r="DQ9" s="141" t="s">
        <v>41</v>
      </c>
    </row>
    <row r="10" spans="1:367" ht="99" customHeight="1" x14ac:dyDescent="0.25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s="141" t="s">
        <v>32</v>
      </c>
      <c r="DN10" s="141" t="s">
        <v>32</v>
      </c>
      <c r="DO10" s="141" t="s">
        <v>41</v>
      </c>
      <c r="DP10" s="141" t="s">
        <v>32</v>
      </c>
      <c r="DQ10" s="141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1" priority="1" operator="equal">
      <formula>"---None---"</formula>
    </cfRule>
    <cfRule type="cellIs" dxfId="30" priority="2" operator="equal">
      <formula>"Not Scheduled"</formula>
    </cfRule>
    <cfRule type="cellIs" dxfId="29" priority="3" operator="equal">
      <formula>"Missed"</formula>
    </cfRule>
    <cfRule type="cellIs" dxfId="28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4" sqref="B4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25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45</v>
      </c>
      <c r="G3" s="83"/>
    </row>
    <row r="4" spans="2:7" x14ac:dyDescent="0.25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41</v>
      </c>
      <c r="G4" s="83"/>
    </row>
    <row r="5" spans="2:7" x14ac:dyDescent="0.25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38</v>
      </c>
      <c r="G5" s="83"/>
    </row>
    <row r="6" spans="2:7" x14ac:dyDescent="0.25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38</v>
      </c>
      <c r="G6" s="83"/>
    </row>
    <row r="7" spans="2:7" x14ac:dyDescent="0.25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36</v>
      </c>
      <c r="G7" s="83"/>
    </row>
    <row r="8" spans="2:7" x14ac:dyDescent="0.25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31</v>
      </c>
      <c r="G8" s="83"/>
    </row>
    <row r="9" spans="2:7" x14ac:dyDescent="0.25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31</v>
      </c>
      <c r="G9" s="83"/>
    </row>
    <row r="10" spans="2:7" x14ac:dyDescent="0.25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31</v>
      </c>
      <c r="G10" s="83"/>
    </row>
    <row r="11" spans="2:7" x14ac:dyDescent="0.25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29</v>
      </c>
      <c r="G11" s="83"/>
    </row>
    <row r="12" spans="2:7" x14ac:dyDescent="0.25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29</v>
      </c>
      <c r="G12" s="83"/>
    </row>
    <row r="13" spans="2:7" x14ac:dyDescent="0.25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28</v>
      </c>
      <c r="G13" s="83"/>
    </row>
    <row r="14" spans="2:7" x14ac:dyDescent="0.25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28</v>
      </c>
      <c r="G14" s="83"/>
    </row>
    <row r="15" spans="2:7" x14ac:dyDescent="0.25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28</v>
      </c>
      <c r="G15" s="83"/>
    </row>
    <row r="16" spans="2:7" x14ac:dyDescent="0.25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24</v>
      </c>
      <c r="G16" s="83"/>
    </row>
    <row r="17" spans="2:7" x14ac:dyDescent="0.25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22</v>
      </c>
      <c r="G17" s="83"/>
    </row>
    <row r="18" spans="2:7" x14ac:dyDescent="0.25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22</v>
      </c>
      <c r="G18" s="83"/>
    </row>
    <row r="19" spans="2:7" x14ac:dyDescent="0.25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22</v>
      </c>
      <c r="G19" s="83"/>
    </row>
    <row r="20" spans="2:7" x14ac:dyDescent="0.25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22</v>
      </c>
      <c r="G20" s="83"/>
    </row>
    <row r="21" spans="2:7" x14ac:dyDescent="0.25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19</v>
      </c>
      <c r="G21" s="83"/>
    </row>
    <row r="22" spans="2:7" x14ac:dyDescent="0.25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13</v>
      </c>
      <c r="G22" s="83"/>
    </row>
    <row r="23" spans="2:7" x14ac:dyDescent="0.25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12</v>
      </c>
      <c r="G23" s="83"/>
    </row>
    <row r="24" spans="2:7" x14ac:dyDescent="0.25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E3" sqref="E3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25">
      <c r="B3" s="73" t="s">
        <v>149</v>
      </c>
      <c r="C3" s="73" t="s">
        <v>169</v>
      </c>
      <c r="D3" s="74">
        <f ca="1">$B$1048562+_xlfn.CEILING.MATH((TODAY()-$B$1048562)/5, 1)*5-5</f>
        <v>46134</v>
      </c>
      <c r="E3" s="74">
        <f ca="1">$B$1048562+_xlfn.CEILING.MATH((TODAY()-$B$1048562)/5, 1)*5</f>
        <v>46139</v>
      </c>
    </row>
    <row r="4" spans="2:7" x14ac:dyDescent="0.25">
      <c r="B4" s="73" t="s">
        <v>151</v>
      </c>
      <c r="C4" s="73" t="s">
        <v>170</v>
      </c>
      <c r="D4" s="74">
        <f ca="1">TODAY()+MOD(6-WEEKDAY(TODAY(),2),7)-7</f>
        <v>46137</v>
      </c>
      <c r="E4" s="74">
        <f ca="1">TODAY()+MOD(6-WEEKDAY(TODAY(),2),7)</f>
        <v>46144</v>
      </c>
    </row>
    <row r="5" spans="2:7" x14ac:dyDescent="0.25">
      <c r="B5" s="73" t="s">
        <v>152</v>
      </c>
      <c r="C5" s="73" t="s">
        <v>170</v>
      </c>
      <c r="D5" s="74">
        <f ca="1">TODAY()+MOD(6-WEEKDAY(TODAY(),2),7)-7</f>
        <v>46137</v>
      </c>
      <c r="E5" s="74">
        <f ca="1">TODAY()+MOD(6-WEEKDAY(TODAY(),2),7)</f>
        <v>46144</v>
      </c>
    </row>
    <row r="6" spans="2:7" x14ac:dyDescent="0.25">
      <c r="B6" s="73" t="s">
        <v>174</v>
      </c>
      <c r="C6" s="73" t="s">
        <v>176</v>
      </c>
      <c r="D6" s="74">
        <f ca="1">TODAY()+MOD(7-WEEKDAY(TODAY(),2),7)-7</f>
        <v>46138</v>
      </c>
      <c r="E6" s="74">
        <f ca="1">TODAY()+MOD(7-WEEKDAY(TODAY(),2),7)</f>
        <v>46145</v>
      </c>
    </row>
    <row r="7" spans="2:7" x14ac:dyDescent="0.25">
      <c r="B7" s="73" t="s">
        <v>175</v>
      </c>
      <c r="C7" s="73" t="s">
        <v>176</v>
      </c>
      <c r="D7" s="74">
        <f ca="1">TODAY()+MOD(7-WEEKDAY(TODAY(),2),7)-7</f>
        <v>46138</v>
      </c>
      <c r="E7" s="74">
        <f ca="1">TODAY()+MOD(7-WEEKDAY(TODAY(),2),7)</f>
        <v>46145</v>
      </c>
    </row>
    <row r="8" spans="2:7" x14ac:dyDescent="0.25">
      <c r="B8" s="73" t="s">
        <v>157</v>
      </c>
      <c r="C8" s="73" t="s">
        <v>232</v>
      </c>
      <c r="D8" s="74">
        <f ca="1">IF(DAY(TODAY())&gt;5,
   DATE(YEAR(TODAY()),MONTH(TODAY()),5),
   DATE(YEAR(TODAY()),MONTH(TODAY())-1,5))</f>
        <v>46117</v>
      </c>
      <c r="E8" s="74">
        <f ca="1">IF(DAY(TODAY())&lt;=5,
   DATE(YEAR(TODAY()),MONTH(TODAY()),5),
   DATE(YEAR(TODAY()),MONTH(TODAY())+1,5))</f>
        <v>46147</v>
      </c>
    </row>
    <row r="9" spans="2:7" x14ac:dyDescent="0.25">
      <c r="B9" s="73" t="s">
        <v>178</v>
      </c>
      <c r="C9" s="73" t="s">
        <v>232</v>
      </c>
      <c r="D9" s="74">
        <f ca="1">IF(DAY(TODAY())&gt;5,
   DATE(YEAR(TODAY()),MONTH(TODAY()),5),
   DATE(YEAR(TODAY()),MONTH(TODAY())-1,5))</f>
        <v>46117</v>
      </c>
      <c r="E9" s="74">
        <f ca="1">IF(DAY(TODAY())&lt;=5,
   DATE(YEAR(TODAY()),MONTH(TODAY()),5),
   DATE(YEAR(TODAY()),MONTH(TODAY())+1,5))</f>
        <v>46147</v>
      </c>
    </row>
    <row r="10" spans="2:7" x14ac:dyDescent="0.25">
      <c r="B10" s="73" t="s">
        <v>153</v>
      </c>
      <c r="C10" s="73" t="s">
        <v>171</v>
      </c>
      <c r="D10" s="74">
        <f ca="1">$B$1048565+_xlfn.CEILING.MATH((TODAY()-$B$1048565)/14, 1)*14-14</f>
        <v>46137</v>
      </c>
      <c r="E10" s="74">
        <f ca="1">$B$1048565+_xlfn.CEILING.MATH((TODAY()-$B$1048565)/14, 1)*14</f>
        <v>46151</v>
      </c>
    </row>
    <row r="11" spans="2:7" x14ac:dyDescent="0.25">
      <c r="B11" s="73" t="s">
        <v>158</v>
      </c>
      <c r="C11" s="73" t="s">
        <v>171</v>
      </c>
      <c r="D11" s="74">
        <f ca="1">$B$1048569+_xlfn.CEILING.MATH((TODAY()-$B$1048569)/14, 1)*14-14</f>
        <v>46137</v>
      </c>
      <c r="E11" s="74">
        <f ca="1">$B$1048569+_xlfn.CEILING.MATH((TODAY()-$B$1048569)/14, 1)*14</f>
        <v>46151</v>
      </c>
    </row>
    <row r="12" spans="2:7" x14ac:dyDescent="0.25">
      <c r="B12" s="73" t="s">
        <v>179</v>
      </c>
      <c r="C12" s="73" t="s">
        <v>182</v>
      </c>
      <c r="D12" s="74">
        <f ca="1">$B$1048576+_xlfn.CEILING.MATH((TODAY()-$B$1048576)/21, 1)*21-21</f>
        <v>46132</v>
      </c>
      <c r="E12" s="74">
        <f ca="1">$B$1048576+_xlfn.CEILING.MATH((TODAY()-$B$1048576)/21, 1)*21</f>
        <v>46153</v>
      </c>
      <c r="G12" s="49"/>
    </row>
    <row r="13" spans="2:7" x14ac:dyDescent="0.25">
      <c r="B13" s="73" t="s">
        <v>162</v>
      </c>
      <c r="C13" s="73" t="s">
        <v>183</v>
      </c>
      <c r="D13" s="74">
        <f ca="1">$B$1048571+_xlfn.CEILING.MATH((TODAY()-$B$1048571)/28, 1)*28-28</f>
        <v>46125</v>
      </c>
      <c r="E13" s="74">
        <f ca="1">$B$1048571+_xlfn.CEILING.MATH((TODAY()-$B$1048571)/28, 1)*28</f>
        <v>46153</v>
      </c>
    </row>
    <row r="14" spans="2:7" x14ac:dyDescent="0.25">
      <c r="B14" s="73" t="s">
        <v>150</v>
      </c>
      <c r="C14" s="73" t="s">
        <v>172</v>
      </c>
      <c r="D14" s="74">
        <f ca="1">IF(DAY(TODAY())&gt;15,
   DATE(YEAR(TODAY()),MONTH(TODAY()),15),
   DATE(YEAR(TODAY()),MONTH(TODAY())-1,15))</f>
        <v>46127</v>
      </c>
      <c r="E14" s="74">
        <f ca="1">IF(DAY(TODAY())&lt;=15,
   DATE(YEAR(TODAY()),MONTH(TODAY()),15),
   DATE(YEAR(TODAY()),MONTH(TODAY())+1,15))</f>
        <v>46157</v>
      </c>
    </row>
    <row r="15" spans="2:7" x14ac:dyDescent="0.25">
      <c r="B15" s="73" t="s">
        <v>155</v>
      </c>
      <c r="C15" s="73" t="s">
        <v>180</v>
      </c>
      <c r="D15" s="74">
        <f ca="1">$B$1048568+_xlfn.CEILING.MATH((TODAY()-$B$1048568)/90, 1)*90-90</f>
        <v>46067</v>
      </c>
      <c r="E15" s="74">
        <f ca="1">$B$1048568+_xlfn.CEILING.MATH((TODAY()-$B$1048568)/90, 1)*90</f>
        <v>46157</v>
      </c>
    </row>
    <row r="16" spans="2:7" x14ac:dyDescent="0.25">
      <c r="B16" s="73" t="s">
        <v>154</v>
      </c>
      <c r="C16" s="73" t="s">
        <v>238</v>
      </c>
      <c r="D16" s="74">
        <f ca="1">IF(DAY(TODAY())&gt;23,
   DATE(YEAR(TODAY()),MONTH(TODAY()),23),
   DATE(YEAR(TODAY()),MONTH(TODAY())-1,23))</f>
        <v>46135</v>
      </c>
      <c r="E16" s="74">
        <f ca="1">IF(DAY(TODAY())&lt;=23,
   DATE(YEAR(TODAY()),MONTH(TODAY()),23),
   DATE(YEAR(TODAY()),MONTH(TODAY())+1,23))</f>
        <v>46165</v>
      </c>
    </row>
    <row r="17" spans="2:5" x14ac:dyDescent="0.25">
      <c r="B17" s="73" t="s">
        <v>159</v>
      </c>
      <c r="C17" s="73" t="s">
        <v>181</v>
      </c>
      <c r="D17" s="74">
        <f ca="1">$B$1048570+_xlfn.CEILING.MATH((TODAY()-$B$1048570)/40, 1)*40-40</f>
        <v>46127</v>
      </c>
      <c r="E17" s="74">
        <f ca="1">$B$1048570+_xlfn.CEILING.MATH((TODAY()-$B$1048570)/40, 1)*40</f>
        <v>46167</v>
      </c>
    </row>
    <row r="1048562" spans="1:2" x14ac:dyDescent="0.25">
      <c r="A1048562" s="84" t="s">
        <v>149</v>
      </c>
      <c r="B1048562" s="74">
        <v>46064</v>
      </c>
    </row>
    <row r="1048563" spans="1:2" x14ac:dyDescent="0.25">
      <c r="A1048563" s="85" t="s">
        <v>150</v>
      </c>
      <c r="B1048563" s="74">
        <v>46042</v>
      </c>
    </row>
    <row r="1048564" spans="1:2" x14ac:dyDescent="0.25">
      <c r="A1048564" s="84" t="s">
        <v>151</v>
      </c>
      <c r="B1048564" s="74" t="s">
        <v>104</v>
      </c>
    </row>
    <row r="1048565" spans="1:2" x14ac:dyDescent="0.25">
      <c r="A1048565" s="85" t="s">
        <v>153</v>
      </c>
      <c r="B1048565" s="74">
        <v>46067</v>
      </c>
    </row>
    <row r="1048566" spans="1:2" x14ac:dyDescent="0.25">
      <c r="A1048566" s="84" t="s">
        <v>152</v>
      </c>
      <c r="B1048566" s="74" t="s">
        <v>104</v>
      </c>
    </row>
    <row r="1048567" spans="1:2" x14ac:dyDescent="0.25">
      <c r="A1048567" s="85" t="s">
        <v>154</v>
      </c>
      <c r="B1048567" s="74" t="s">
        <v>104</v>
      </c>
    </row>
    <row r="1048568" spans="1:2" x14ac:dyDescent="0.25">
      <c r="A1048568" s="84" t="s">
        <v>155</v>
      </c>
      <c r="B1048568" s="74">
        <v>46067</v>
      </c>
    </row>
    <row r="1048569" spans="1:2" x14ac:dyDescent="0.25">
      <c r="A1048569" s="85" t="s">
        <v>158</v>
      </c>
      <c r="B1048569" s="74">
        <v>46067</v>
      </c>
    </row>
    <row r="1048570" spans="1:2" x14ac:dyDescent="0.25">
      <c r="A1048570" s="84" t="s">
        <v>159</v>
      </c>
      <c r="B1048570" s="74">
        <v>46047</v>
      </c>
    </row>
    <row r="1048571" spans="1:2" x14ac:dyDescent="0.25">
      <c r="A1048571" s="85" t="s">
        <v>162</v>
      </c>
      <c r="B1048571" s="74">
        <v>46069</v>
      </c>
    </row>
    <row r="1048572" spans="1:2" x14ac:dyDescent="0.25">
      <c r="A1048572" s="84" t="s">
        <v>174</v>
      </c>
      <c r="B1048572" s="74" t="s">
        <v>104</v>
      </c>
    </row>
    <row r="1048573" spans="1:2" x14ac:dyDescent="0.25">
      <c r="A1048573" s="85" t="s">
        <v>175</v>
      </c>
      <c r="B1048573" s="74" t="s">
        <v>104</v>
      </c>
    </row>
    <row r="1048574" spans="1:2" x14ac:dyDescent="0.25">
      <c r="A1048574" s="84" t="s">
        <v>157</v>
      </c>
      <c r="B1048574" s="74" t="s">
        <v>104</v>
      </c>
    </row>
    <row r="1048575" spans="1:2" x14ac:dyDescent="0.25">
      <c r="A1048575" s="85" t="s">
        <v>178</v>
      </c>
      <c r="B1048575" s="74" t="s">
        <v>104</v>
      </c>
    </row>
    <row r="1048576" spans="1:2" x14ac:dyDescent="0.25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25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75" x14ac:dyDescent="0.25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80" x14ac:dyDescent="0.25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75" x14ac:dyDescent="0.25">
      <c r="B6" s="3">
        <v>45</v>
      </c>
      <c r="C6" s="3" t="s">
        <v>140</v>
      </c>
      <c r="D6" s="79" t="s">
        <v>137</v>
      </c>
    </row>
    <row r="7" spans="2:8" ht="30.75" thickBot="1" x14ac:dyDescent="0.3">
      <c r="B7" s="80">
        <v>15</v>
      </c>
      <c r="C7" s="80" t="s">
        <v>141</v>
      </c>
      <c r="D7" s="81" t="s">
        <v>136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140"/>
      <c r="DU2" s="140"/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140"/>
      <c r="EL2" s="140"/>
      <c r="EM2" s="140"/>
      <c r="EN2" s="140"/>
      <c r="EO2" s="140"/>
      <c r="EP2" s="140"/>
      <c r="EQ2" s="140"/>
      <c r="ER2" s="140"/>
      <c r="ES2" s="140"/>
      <c r="ET2" s="140"/>
      <c r="EU2" s="140"/>
      <c r="EV2" s="140"/>
      <c r="EW2" s="140"/>
      <c r="EX2" s="140"/>
      <c r="EY2" s="140"/>
      <c r="EZ2" s="140"/>
      <c r="FA2" s="140"/>
      <c r="FB2" s="140"/>
      <c r="FC2" s="140"/>
      <c r="FD2" s="140"/>
      <c r="FE2" s="140"/>
      <c r="FF2" s="140"/>
      <c r="FG2" s="140"/>
      <c r="FH2" s="140"/>
      <c r="FI2" s="140"/>
      <c r="FJ2" s="140"/>
      <c r="FK2" s="140"/>
      <c r="FL2" s="140"/>
      <c r="FM2" s="140"/>
      <c r="FN2" s="140"/>
      <c r="FO2" s="140"/>
      <c r="FP2" s="140"/>
      <c r="FQ2" s="140"/>
      <c r="FR2" s="156"/>
      <c r="FS2" s="156"/>
      <c r="FT2" s="156"/>
      <c r="FU2" s="156"/>
      <c r="FV2" s="156"/>
      <c r="FW2" s="156"/>
    </row>
    <row r="3" spans="2:366" ht="23.25" hidden="1" customHeight="1" x14ac:dyDescent="0.25">
      <c r="B3" s="140" cm="1">
        <f t="array" ref="B3:NB3">_xlfn.SEQUENCE(,365)</f>
        <v>1</v>
      </c>
      <c r="C3" s="140">
        <v>2</v>
      </c>
      <c r="D3" s="140">
        <v>3</v>
      </c>
      <c r="E3" s="140">
        <v>4</v>
      </c>
      <c r="F3" s="140">
        <v>5</v>
      </c>
      <c r="G3" s="140">
        <v>6</v>
      </c>
      <c r="H3" s="140">
        <v>7</v>
      </c>
      <c r="I3" s="140">
        <v>8</v>
      </c>
      <c r="J3" s="140">
        <v>9</v>
      </c>
      <c r="K3" s="140">
        <v>10</v>
      </c>
      <c r="L3" s="140">
        <v>11</v>
      </c>
      <c r="M3" s="140">
        <v>12</v>
      </c>
      <c r="N3" s="140">
        <v>13</v>
      </c>
      <c r="O3" s="140">
        <v>14</v>
      </c>
      <c r="P3" s="140">
        <v>15</v>
      </c>
      <c r="Q3" s="140">
        <v>16</v>
      </c>
      <c r="R3" s="140">
        <v>17</v>
      </c>
      <c r="S3" s="140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2026-04-27T01:59:22Z</dcterms:modified>
</cp:coreProperties>
</file>