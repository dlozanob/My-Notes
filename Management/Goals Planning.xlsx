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1CF556BA-2735-465B-A32A-2C396B81C5F3}" xr6:coauthVersionLast="47" xr6:coauthVersionMax="47" xr10:uidLastSave="{00000000-0000-0000-0000-000000000000}"/>
  <bookViews>
    <workbookView xWindow="28680" yWindow="-120" windowWidth="29040" windowHeight="15720" firstSheet="2" activeTab="6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Study Tracker" sheetId="8" r:id="rId7"/>
    <sheet name="Calisthenics Routine" sheetId="6" r:id="rId8"/>
  </sheets>
  <definedNames>
    <definedName name="_xlnm._FilterDatabase" localSheetId="3" hidden="1">Logbook!$A$2:$NC$10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8" l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J70" i="8" a="1"/>
  <c r="J70" i="8" s="1"/>
  <c r="J71" i="8" a="1"/>
  <c r="J71" i="8" s="1"/>
  <c r="J72" i="8" a="1"/>
  <c r="J72" i="8" s="1"/>
  <c r="J73" i="8" a="1"/>
  <c r="J73" i="8" s="1"/>
  <c r="J74" i="8" a="1"/>
  <c r="J74" i="8" s="1"/>
  <c r="J75" i="8" a="1"/>
  <c r="J75" i="8" s="1"/>
  <c r="J76" i="8" a="1"/>
  <c r="J76" i="8" s="1"/>
  <c r="J77" i="8" a="1"/>
  <c r="J77" i="8" s="1"/>
  <c r="J78" i="8" a="1"/>
  <c r="J78" i="8" s="1"/>
  <c r="J79" i="8" a="1"/>
  <c r="J79" i="8" s="1"/>
  <c r="J80" i="8" a="1"/>
  <c r="J80" i="8" s="1"/>
  <c r="J81" i="8" a="1"/>
  <c r="J81" i="8" s="1"/>
  <c r="J82" i="8" a="1"/>
  <c r="J82" i="8" s="1"/>
  <c r="J83" i="8" a="1"/>
  <c r="J83" i="8" s="1"/>
  <c r="J84" i="8" a="1"/>
  <c r="J84" i="8" s="1"/>
  <c r="J85" i="8" a="1"/>
  <c r="J85" i="8" s="1"/>
  <c r="J86" i="8" a="1"/>
  <c r="J86" i="8" s="1"/>
  <c r="J87" i="8" a="1"/>
  <c r="J87" i="8" s="1"/>
  <c r="J88" i="8" a="1"/>
  <c r="J88" i="8" s="1"/>
  <c r="J89" i="8" a="1"/>
  <c r="J89" i="8" s="1"/>
  <c r="J90" i="8" a="1"/>
  <c r="J90" i="8" s="1"/>
  <c r="J91" i="8" a="1"/>
  <c r="J91" i="8" s="1"/>
  <c r="J92" i="8" a="1"/>
  <c r="J92" i="8" s="1"/>
  <c r="J93" i="8" a="1"/>
  <c r="J93" i="8" s="1"/>
  <c r="J94" i="8" a="1"/>
  <c r="J94" i="8" s="1"/>
  <c r="J95" i="8" a="1"/>
  <c r="J95" i="8" s="1"/>
  <c r="J96" i="8" a="1"/>
  <c r="J96" i="8" s="1"/>
  <c r="J97" i="8" a="1"/>
  <c r="J97" i="8" s="1"/>
  <c r="J98" i="8" a="1"/>
  <c r="J98" i="8" s="1"/>
  <c r="J99" i="8" a="1"/>
  <c r="J99" i="8" s="1"/>
  <c r="J100" i="8" a="1"/>
  <c r="J100" i="8" s="1"/>
  <c r="J101" i="8" a="1"/>
  <c r="J101" i="8" s="1"/>
  <c r="J102" i="8" a="1"/>
  <c r="J102" i="8" s="1"/>
  <c r="J103" i="8" a="1"/>
  <c r="J103" i="8" s="1"/>
  <c r="J104" i="8" a="1"/>
  <c r="J104" i="8" s="1"/>
  <c r="J105" i="8" a="1"/>
  <c r="J105" i="8" s="1"/>
  <c r="J106" i="8" a="1"/>
  <c r="J106" i="8" s="1"/>
  <c r="J107" i="8" a="1"/>
  <c r="J107" i="8" s="1"/>
  <c r="J108" i="8" a="1"/>
  <c r="J108" i="8" s="1"/>
  <c r="J109" i="8" a="1"/>
  <c r="J109" i="8" s="1"/>
  <c r="J110" i="8" a="1"/>
  <c r="J110" i="8" s="1"/>
  <c r="J111" i="8" a="1"/>
  <c r="J111" i="8" s="1"/>
  <c r="J112" i="8" a="1"/>
  <c r="J112" i="8" s="1"/>
  <c r="J113" i="8" a="1"/>
  <c r="J113" i="8" s="1"/>
  <c r="J114" i="8" a="1"/>
  <c r="J114" i="8" s="1"/>
  <c r="J115" i="8" a="1"/>
  <c r="J115" i="8" s="1"/>
  <c r="J116" i="8" a="1"/>
  <c r="J116" i="8" s="1"/>
  <c r="J117" i="8" a="1"/>
  <c r="J117" i="8" s="1"/>
  <c r="J118" i="8" a="1"/>
  <c r="J118" i="8" s="1"/>
  <c r="J119" i="8" a="1"/>
  <c r="J119" i="8" s="1"/>
  <c r="J120" i="8" a="1"/>
  <c r="J120" i="8" s="1"/>
  <c r="J121" i="8" a="1"/>
  <c r="J121" i="8" s="1"/>
  <c r="J122" i="8" a="1"/>
  <c r="J122" i="8" s="1"/>
  <c r="J123" i="8" a="1"/>
  <c r="J123" i="8" s="1"/>
  <c r="J124" i="8" a="1"/>
  <c r="J124" i="8" s="1"/>
  <c r="J125" i="8" a="1"/>
  <c r="J125" i="8" s="1"/>
  <c r="J126" i="8" a="1"/>
  <c r="J126" i="8" s="1"/>
  <c r="J127" i="8" a="1"/>
  <c r="J127" i="8" s="1"/>
  <c r="J128" i="8" a="1"/>
  <c r="J128" i="8" s="1"/>
  <c r="J129" i="8" a="1"/>
  <c r="J129" i="8" s="1"/>
  <c r="J130" i="8" a="1"/>
  <c r="J130" i="8" s="1"/>
  <c r="J131" i="8" a="1"/>
  <c r="J131" i="8" s="1"/>
  <c r="J132" i="8" a="1"/>
  <c r="J132" i="8" s="1"/>
  <c r="J133" i="8" a="1"/>
  <c r="J133" i="8" s="1"/>
  <c r="J134" i="8" a="1"/>
  <c r="J134" i="8" s="1"/>
  <c r="J135" i="8" a="1"/>
  <c r="J135" i="8" s="1"/>
  <c r="J136" i="8" a="1"/>
  <c r="J136" i="8" s="1"/>
  <c r="J137" i="8" a="1"/>
  <c r="J137" i="8" s="1"/>
  <c r="J138" i="8" a="1"/>
  <c r="J138" i="8" s="1"/>
  <c r="J139" i="8" a="1"/>
  <c r="J139" i="8" s="1"/>
  <c r="J140" i="8" a="1"/>
  <c r="J140" i="8" s="1"/>
  <c r="J141" i="8" a="1"/>
  <c r="J141" i="8" s="1"/>
  <c r="J142" i="8" a="1"/>
  <c r="J142" i="8" s="1"/>
  <c r="J143" i="8" a="1"/>
  <c r="J143" i="8" s="1"/>
  <c r="J144" i="8" a="1"/>
  <c r="J144" i="8" s="1"/>
  <c r="J145" i="8" a="1"/>
  <c r="J145" i="8" s="1"/>
  <c r="J146" i="8" a="1"/>
  <c r="J146" i="8" s="1"/>
  <c r="J147" i="8" a="1"/>
  <c r="J147" i="8" s="1"/>
  <c r="J148" i="8" a="1"/>
  <c r="J148" i="8" s="1"/>
  <c r="J149" i="8" a="1"/>
  <c r="J149" i="8" s="1"/>
  <c r="J150" i="8" a="1"/>
  <c r="J150" i="8" s="1"/>
  <c r="J151" i="8" a="1"/>
  <c r="J151" i="8" s="1"/>
  <c r="J152" i="8" a="1"/>
  <c r="J152" i="8" s="1"/>
  <c r="J153" i="8" a="1"/>
  <c r="J153" i="8" s="1"/>
  <c r="J154" i="8" a="1"/>
  <c r="J154" i="8" s="1"/>
  <c r="J155" i="8" a="1"/>
  <c r="J155" i="8" s="1"/>
  <c r="J156" i="8" a="1"/>
  <c r="J156" i="8" s="1"/>
  <c r="J157" i="8" a="1"/>
  <c r="J157" i="8" s="1"/>
  <c r="J158" i="8" a="1"/>
  <c r="J158" i="8" s="1"/>
  <c r="J159" i="8" a="1"/>
  <c r="J159" i="8" s="1"/>
  <c r="J160" i="8" a="1"/>
  <c r="J160" i="8" s="1"/>
  <c r="J161" i="8" a="1"/>
  <c r="J161" i="8" s="1"/>
  <c r="J162" i="8" a="1"/>
  <c r="J162" i="8" s="1"/>
  <c r="J163" i="8" a="1"/>
  <c r="J163" i="8" s="1"/>
  <c r="J164" i="8" a="1"/>
  <c r="J164" i="8" s="1"/>
  <c r="J165" i="8" a="1"/>
  <c r="J165" i="8" s="1"/>
  <c r="J166" i="8" a="1"/>
  <c r="J166" i="8" s="1"/>
  <c r="J167" i="8" a="1"/>
  <c r="J167" i="8" s="1"/>
  <c r="J168" i="8" a="1"/>
  <c r="J168" i="8" s="1"/>
  <c r="J169" i="8" a="1"/>
  <c r="J169" i="8" s="1"/>
  <c r="J170" i="8" a="1"/>
  <c r="J170" i="8" s="1"/>
  <c r="J171" i="8" a="1"/>
  <c r="J171" i="8" s="1"/>
  <c r="J172" i="8" a="1"/>
  <c r="J172" i="8" s="1"/>
  <c r="J173" i="8" a="1"/>
  <c r="J173" i="8" s="1"/>
  <c r="J174" i="8" a="1"/>
  <c r="J174" i="8" s="1"/>
  <c r="J175" i="8" a="1"/>
  <c r="J175" i="8" s="1"/>
  <c r="J176" i="8" a="1"/>
  <c r="J176" i="8" s="1"/>
  <c r="J177" i="8" a="1"/>
  <c r="J177" i="8" s="1"/>
  <c r="J178" i="8" a="1"/>
  <c r="J178" i="8" s="1"/>
  <c r="J179" i="8" a="1"/>
  <c r="J179" i="8" s="1"/>
  <c r="J180" i="8" a="1"/>
  <c r="J180" i="8" s="1"/>
  <c r="J181" i="8" a="1"/>
  <c r="J181" i="8" s="1"/>
  <c r="J182" i="8" a="1"/>
  <c r="J182" i="8" s="1"/>
  <c r="J183" i="8" a="1"/>
  <c r="J183" i="8" s="1"/>
  <c r="J184" i="8" a="1"/>
  <c r="J184" i="8" s="1"/>
  <c r="J185" i="8" a="1"/>
  <c r="J185" i="8" s="1"/>
  <c r="J186" i="8" a="1"/>
  <c r="J186" i="8" s="1"/>
  <c r="J187" i="8" a="1"/>
  <c r="J187" i="8" s="1"/>
  <c r="J188" i="8" a="1"/>
  <c r="J188" i="8" s="1"/>
  <c r="J189" i="8" a="1"/>
  <c r="J189" i="8" s="1"/>
  <c r="J190" i="8" a="1"/>
  <c r="J190" i="8" s="1"/>
  <c r="J191" i="8" a="1"/>
  <c r="J191" i="8" s="1"/>
  <c r="J192" i="8" a="1"/>
  <c r="J192" i="8" s="1"/>
  <c r="J193" i="8" a="1"/>
  <c r="J193" i="8" s="1"/>
  <c r="J194" i="8" a="1"/>
  <c r="J194" i="8" s="1"/>
  <c r="J195" i="8" a="1"/>
  <c r="J195" i="8" s="1"/>
  <c r="J196" i="8" a="1"/>
  <c r="J196" i="8" s="1"/>
  <c r="J197" i="8" a="1"/>
  <c r="J197" i="8" s="1"/>
  <c r="J198" i="8" a="1"/>
  <c r="J198" i="8" s="1"/>
  <c r="J199" i="8" a="1"/>
  <c r="J199" i="8" s="1"/>
  <c r="J200" i="8" a="1"/>
  <c r="J200" i="8" s="1"/>
  <c r="J201" i="8" a="1"/>
  <c r="J201" i="8" s="1"/>
  <c r="J202" i="8" a="1"/>
  <c r="J202" i="8" s="1"/>
  <c r="J203" i="8" a="1"/>
  <c r="J203" i="8" s="1"/>
  <c r="J204" i="8" a="1"/>
  <c r="J204" i="8" s="1"/>
  <c r="J205" i="8" a="1"/>
  <c r="J205" i="8" s="1"/>
  <c r="J206" i="8" a="1"/>
  <c r="J206" i="8" s="1"/>
  <c r="J207" i="8" a="1"/>
  <c r="J207" i="8" s="1"/>
  <c r="J208" i="8" a="1"/>
  <c r="J208" i="8" s="1"/>
  <c r="J209" i="8" a="1"/>
  <c r="J209" i="8" s="1"/>
  <c r="J210" i="8" a="1"/>
  <c r="J210" i="8" s="1"/>
  <c r="J211" i="8" a="1"/>
  <c r="J211" i="8" s="1"/>
  <c r="J212" i="8" a="1"/>
  <c r="J212" i="8" s="1"/>
  <c r="J213" i="8" a="1"/>
  <c r="J213" i="8" s="1"/>
  <c r="J214" i="8" a="1"/>
  <c r="J214" i="8" s="1"/>
  <c r="J215" i="8" a="1"/>
  <c r="J215" i="8" s="1"/>
  <c r="J216" i="8" a="1"/>
  <c r="J216" i="8" s="1"/>
  <c r="J217" i="8" a="1"/>
  <c r="J217" i="8" s="1"/>
  <c r="J218" i="8" a="1"/>
  <c r="J218" i="8" s="1"/>
  <c r="J219" i="8" a="1"/>
  <c r="J219" i="8" s="1"/>
  <c r="J220" i="8" a="1"/>
  <c r="J220" i="8" s="1"/>
  <c r="J221" i="8" a="1"/>
  <c r="J221" i="8" s="1"/>
  <c r="J222" i="8" a="1"/>
  <c r="J222" i="8" s="1"/>
  <c r="J223" i="8" a="1"/>
  <c r="J223" i="8" s="1"/>
  <c r="J224" i="8" a="1"/>
  <c r="J224" i="8" s="1"/>
  <c r="J225" i="8" a="1"/>
  <c r="J225" i="8" s="1"/>
  <c r="J226" i="8" a="1"/>
  <c r="J226" i="8" s="1"/>
  <c r="J227" i="8" a="1"/>
  <c r="J227" i="8" s="1"/>
  <c r="J228" i="8" a="1"/>
  <c r="J228" i="8" s="1"/>
  <c r="J229" i="8" a="1"/>
  <c r="J229" i="8" s="1"/>
  <c r="J230" i="8" a="1"/>
  <c r="J230" i="8" s="1"/>
  <c r="J231" i="8" a="1"/>
  <c r="J231" i="8" s="1"/>
  <c r="J232" i="8" a="1"/>
  <c r="J232" i="8" s="1"/>
  <c r="J233" i="8" a="1"/>
  <c r="J233" i="8" s="1"/>
  <c r="J234" i="8" a="1"/>
  <c r="J234" i="8" s="1"/>
  <c r="J235" i="8" a="1"/>
  <c r="J235" i="8" s="1"/>
  <c r="J236" i="8" a="1"/>
  <c r="J236" i="8" s="1"/>
  <c r="J237" i="8" a="1"/>
  <c r="J237" i="8" s="1"/>
  <c r="J238" i="8" a="1"/>
  <c r="J238" i="8" s="1"/>
  <c r="J239" i="8" a="1"/>
  <c r="J239" i="8" s="1"/>
  <c r="J240" i="8" a="1"/>
  <c r="J240" i="8" s="1"/>
  <c r="J241" i="8" a="1"/>
  <c r="J241" i="8" s="1"/>
  <c r="J242" i="8" a="1"/>
  <c r="J242" i="8" s="1"/>
  <c r="J243" i="8" a="1"/>
  <c r="J243" i="8" s="1"/>
  <c r="J244" i="8" a="1"/>
  <c r="J244" i="8" s="1"/>
  <c r="J245" i="8" a="1"/>
  <c r="J245" i="8" s="1"/>
  <c r="J246" i="8" a="1"/>
  <c r="J246" i="8" s="1"/>
  <c r="J247" i="8" a="1"/>
  <c r="J247" i="8" s="1"/>
  <c r="J248" i="8" a="1"/>
  <c r="J248" i="8" s="1"/>
  <c r="J249" i="8" a="1"/>
  <c r="J249" i="8" s="1"/>
  <c r="J250" i="8" a="1"/>
  <c r="J250" i="8" s="1"/>
  <c r="J251" i="8" a="1"/>
  <c r="J251" i="8" s="1"/>
  <c r="J252" i="8" a="1"/>
  <c r="J252" i="8" s="1"/>
  <c r="J253" i="8" a="1"/>
  <c r="J253" i="8" s="1"/>
  <c r="J254" i="8" a="1"/>
  <c r="J254" i="8" s="1"/>
  <c r="J255" i="8" a="1"/>
  <c r="J255" i="8" s="1"/>
  <c r="J256" i="8" a="1"/>
  <c r="J256" i="8" s="1"/>
  <c r="J257" i="8" a="1"/>
  <c r="J257" i="8" s="1"/>
  <c r="J258" i="8" a="1"/>
  <c r="J258" i="8" s="1"/>
  <c r="J259" i="8" a="1"/>
  <c r="J259" i="8" s="1"/>
  <c r="J260" i="8" a="1"/>
  <c r="J260" i="8" s="1"/>
  <c r="J261" i="8" a="1"/>
  <c r="J261" i="8" s="1"/>
  <c r="J262" i="8" a="1"/>
  <c r="J262" i="8" s="1"/>
  <c r="J263" i="8" a="1"/>
  <c r="J263" i="8" s="1"/>
  <c r="J264" i="8" a="1"/>
  <c r="J264" i="8" s="1"/>
  <c r="J265" i="8" a="1"/>
  <c r="J265" i="8" s="1"/>
  <c r="J266" i="8" a="1"/>
  <c r="J266" i="8" s="1"/>
  <c r="J267" i="8" a="1"/>
  <c r="J267" i="8" s="1"/>
  <c r="J268" i="8" a="1"/>
  <c r="J268" i="8" s="1"/>
  <c r="J269" i="8" a="1"/>
  <c r="J269" i="8" s="1"/>
  <c r="J270" i="8" a="1"/>
  <c r="J270" i="8" s="1"/>
  <c r="J271" i="8" a="1"/>
  <c r="J271" i="8" s="1"/>
  <c r="J272" i="8" a="1"/>
  <c r="J272" i="8" s="1"/>
  <c r="J273" i="8" a="1"/>
  <c r="J273" i="8" s="1"/>
  <c r="J274" i="8" a="1"/>
  <c r="J274" i="8" s="1"/>
  <c r="J275" i="8" a="1"/>
  <c r="J275" i="8" s="1"/>
  <c r="J276" i="8" a="1"/>
  <c r="J276" i="8" s="1"/>
  <c r="J277" i="8" a="1"/>
  <c r="J277" i="8" s="1"/>
  <c r="J278" i="8" a="1"/>
  <c r="J278" i="8" s="1"/>
  <c r="J279" i="8" a="1"/>
  <c r="J279" i="8" s="1"/>
  <c r="J280" i="8" a="1"/>
  <c r="J280" i="8" s="1"/>
  <c r="J281" i="8" a="1"/>
  <c r="J281" i="8" s="1"/>
  <c r="J282" i="8" a="1"/>
  <c r="J282" i="8" s="1"/>
  <c r="J283" i="8" a="1"/>
  <c r="J283" i="8" s="1"/>
  <c r="J284" i="8" a="1"/>
  <c r="J284" i="8" s="1"/>
  <c r="J285" i="8" a="1"/>
  <c r="J285" i="8" s="1"/>
  <c r="J286" i="8" a="1"/>
  <c r="J286" i="8" s="1"/>
  <c r="J287" i="8" a="1"/>
  <c r="J287" i="8" s="1"/>
  <c r="J288" i="8" a="1"/>
  <c r="J288" i="8" s="1"/>
  <c r="J289" i="8" a="1"/>
  <c r="J289" i="8" s="1"/>
  <c r="J290" i="8" a="1"/>
  <c r="J290" i="8" s="1"/>
  <c r="J291" i="8" a="1"/>
  <c r="J291" i="8" s="1"/>
  <c r="J292" i="8" a="1"/>
  <c r="J292" i="8" s="1"/>
  <c r="J293" i="8" a="1"/>
  <c r="J293" i="8" s="1"/>
  <c r="J294" i="8" a="1"/>
  <c r="J294" i="8" s="1"/>
  <c r="J295" i="8" a="1"/>
  <c r="J295" i="8" s="1"/>
  <c r="J296" i="8" a="1"/>
  <c r="J296" i="8" s="1"/>
  <c r="J297" i="8" a="1"/>
  <c r="J297" i="8" s="1"/>
  <c r="J298" i="8" a="1"/>
  <c r="J298" i="8" s="1"/>
  <c r="J299" i="8" a="1"/>
  <c r="J299" i="8" s="1"/>
  <c r="J300" i="8" a="1"/>
  <c r="J300" i="8" s="1"/>
  <c r="J301" i="8" a="1"/>
  <c r="J301" i="8" s="1"/>
  <c r="J302" i="8" a="1"/>
  <c r="J302" i="8" s="1"/>
  <c r="J303" i="8" a="1"/>
  <c r="J303" i="8" s="1"/>
  <c r="J304" i="8" a="1"/>
  <c r="J304" i="8" s="1"/>
  <c r="J305" i="8" a="1"/>
  <c r="J305" i="8" s="1"/>
  <c r="J306" i="8" a="1"/>
  <c r="J306" i="8" s="1"/>
  <c r="J307" i="8" a="1"/>
  <c r="J307" i="8" s="1"/>
  <c r="J308" i="8" a="1"/>
  <c r="J308" i="8" s="1"/>
  <c r="J309" i="8" a="1"/>
  <c r="J309" i="8" s="1"/>
  <c r="J310" i="8" a="1"/>
  <c r="J310" i="8" s="1"/>
  <c r="J311" i="8" a="1"/>
  <c r="J311" i="8" s="1"/>
  <c r="J312" i="8" a="1"/>
  <c r="J312" i="8" s="1"/>
  <c r="J313" i="8" a="1"/>
  <c r="J313" i="8" s="1"/>
  <c r="J314" i="8" a="1"/>
  <c r="J314" i="8" s="1"/>
  <c r="J315" i="8" a="1"/>
  <c r="J315" i="8" s="1"/>
  <c r="J316" i="8" a="1"/>
  <c r="J316" i="8" s="1"/>
  <c r="J317" i="8" a="1"/>
  <c r="J317" i="8" s="1"/>
  <c r="J318" i="8" a="1"/>
  <c r="J318" i="8" s="1"/>
  <c r="J319" i="8" a="1"/>
  <c r="J319" i="8" s="1"/>
  <c r="J320" i="8" a="1"/>
  <c r="J320" i="8" s="1"/>
  <c r="J321" i="8" a="1"/>
  <c r="J321" i="8" s="1"/>
  <c r="J322" i="8" a="1"/>
  <c r="J322" i="8" s="1"/>
  <c r="J323" i="8" a="1"/>
  <c r="J323" i="8" s="1"/>
  <c r="J324" i="8" a="1"/>
  <c r="J324" i="8" s="1"/>
  <c r="J325" i="8" a="1"/>
  <c r="J325" i="8" s="1"/>
  <c r="J326" i="8" a="1"/>
  <c r="J326" i="8" s="1"/>
  <c r="J327" i="8" a="1"/>
  <c r="J327" i="8" s="1"/>
  <c r="J328" i="8" a="1"/>
  <c r="J328" i="8" s="1"/>
  <c r="J329" i="8" a="1"/>
  <c r="J329" i="8" s="1"/>
  <c r="J330" i="8" a="1"/>
  <c r="J330" i="8" s="1"/>
  <c r="J331" i="8" a="1"/>
  <c r="J331" i="8" s="1"/>
  <c r="J332" i="8" a="1"/>
  <c r="J332" i="8" s="1"/>
  <c r="J333" i="8" a="1"/>
  <c r="J333" i="8" s="1"/>
  <c r="J334" i="8" a="1"/>
  <c r="J334" i="8" s="1"/>
  <c r="J335" i="8" a="1"/>
  <c r="J335" i="8" s="1"/>
  <c r="J336" i="8" a="1"/>
  <c r="J336" i="8" s="1"/>
  <c r="J337" i="8" a="1"/>
  <c r="J337" i="8" s="1"/>
  <c r="J338" i="8" a="1"/>
  <c r="J338" i="8" s="1"/>
  <c r="J339" i="8" a="1"/>
  <c r="J339" i="8" s="1"/>
  <c r="J340" i="8" a="1"/>
  <c r="J340" i="8" s="1"/>
  <c r="J341" i="8" a="1"/>
  <c r="J341" i="8" s="1"/>
  <c r="J342" i="8" a="1"/>
  <c r="J342" i="8" s="1"/>
  <c r="J343" i="8" a="1"/>
  <c r="J343" i="8" s="1"/>
  <c r="J344" i="8" a="1"/>
  <c r="J344" i="8" s="1"/>
  <c r="J345" i="8" a="1"/>
  <c r="J345" i="8" s="1"/>
  <c r="J346" i="8" a="1"/>
  <c r="J346" i="8" s="1"/>
  <c r="J347" i="8" a="1"/>
  <c r="J347" i="8" s="1"/>
  <c r="J348" i="8" a="1"/>
  <c r="J348" i="8" s="1"/>
  <c r="J349" i="8" a="1"/>
  <c r="J349" i="8" s="1"/>
  <c r="J350" i="8" a="1"/>
  <c r="J350" i="8" s="1"/>
  <c r="J351" i="8" a="1"/>
  <c r="J351" i="8" s="1"/>
  <c r="J352" i="8" a="1"/>
  <c r="J352" i="8" s="1"/>
  <c r="J353" i="8" a="1"/>
  <c r="J353" i="8" s="1"/>
  <c r="J354" i="8" a="1"/>
  <c r="J354" i="8" s="1"/>
  <c r="J355" i="8" a="1"/>
  <c r="J355" i="8" s="1"/>
  <c r="J356" i="8" a="1"/>
  <c r="J356" i="8" s="1"/>
  <c r="J357" i="8" a="1"/>
  <c r="J357" i="8" s="1"/>
  <c r="J358" i="8" a="1"/>
  <c r="J358" i="8" s="1"/>
  <c r="J359" i="8" a="1"/>
  <c r="J359" i="8" s="1"/>
  <c r="J360" i="8" a="1"/>
  <c r="J360" i="8" s="1"/>
  <c r="J361" i="8" a="1"/>
  <c r="J361" i="8" s="1"/>
  <c r="J362" i="8" a="1"/>
  <c r="J362" i="8" s="1"/>
  <c r="J363" i="8" a="1"/>
  <c r="J363" i="8" s="1"/>
  <c r="J364" i="8" a="1"/>
  <c r="J364" i="8" s="1"/>
  <c r="J365" i="8" a="1"/>
  <c r="J365" i="8" s="1"/>
  <c r="J366" i="8" a="1"/>
  <c r="J366" i="8" s="1"/>
  <c r="J367" i="8" a="1"/>
  <c r="J367" i="8" s="1"/>
  <c r="J368" i="8" a="1"/>
  <c r="J368" i="8" s="1"/>
  <c r="J369" i="8" a="1"/>
  <c r="J369" i="8" s="1"/>
  <c r="J370" i="8" a="1"/>
  <c r="J370" i="8" s="1"/>
  <c r="J371" i="8" a="1"/>
  <c r="J371" i="8" s="1"/>
  <c r="G6" i="8"/>
  <c r="H6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67" i="8"/>
  <c r="H368" i="8"/>
  <c r="H369" i="8"/>
  <c r="H370" i="8"/>
  <c r="G7" i="8"/>
  <c r="H7" i="8" s="1"/>
  <c r="G8" i="8"/>
  <c r="G9" i="8"/>
  <c r="G10" i="8"/>
  <c r="G11" i="8"/>
  <c r="H11" i="8" s="1"/>
  <c r="G12" i="8"/>
  <c r="H12" i="8" s="1"/>
  <c r="G13" i="8"/>
  <c r="H13" i="8" s="1"/>
  <c r="G14" i="8"/>
  <c r="H14" i="8" s="1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23" i="8"/>
  <c r="H23" i="8" s="1"/>
  <c r="G24" i="8"/>
  <c r="H24" i="8" s="1"/>
  <c r="G25" i="8"/>
  <c r="H25" i="8" s="1"/>
  <c r="G26" i="8"/>
  <c r="H26" i="8" s="1"/>
  <c r="G27" i="8"/>
  <c r="H27" i="8" s="1"/>
  <c r="G28" i="8"/>
  <c r="H28" i="8" s="1"/>
  <c r="G29" i="8"/>
  <c r="H29" i="8" s="1"/>
  <c r="G30" i="8"/>
  <c r="H30" i="8" s="1"/>
  <c r="G31" i="8"/>
  <c r="H31" i="8" s="1"/>
  <c r="G32" i="8"/>
  <c r="H32" i="8" s="1"/>
  <c r="G33" i="8"/>
  <c r="H33" i="8" s="1"/>
  <c r="G34" i="8"/>
  <c r="H34" i="8" s="1"/>
  <c r="G35" i="8"/>
  <c r="H35" i="8" s="1"/>
  <c r="G36" i="8"/>
  <c r="H36" i="8" s="1"/>
  <c r="G37" i="8"/>
  <c r="H37" i="8" s="1"/>
  <c r="G38" i="8"/>
  <c r="H38" i="8" s="1"/>
  <c r="G39" i="8"/>
  <c r="H39" i="8" s="1"/>
  <c r="G40" i="8"/>
  <c r="H40" i="8" s="1"/>
  <c r="G41" i="8"/>
  <c r="H41" i="8" s="1"/>
  <c r="G42" i="8"/>
  <c r="H42" i="8" s="1"/>
  <c r="G43" i="8"/>
  <c r="H43" i="8" s="1"/>
  <c r="G44" i="8"/>
  <c r="H44" i="8" s="1"/>
  <c r="G45" i="8"/>
  <c r="H45" i="8" s="1"/>
  <c r="G46" i="8"/>
  <c r="H46" i="8" s="1"/>
  <c r="G47" i="8"/>
  <c r="H47" i="8" s="1"/>
  <c r="G48" i="8"/>
  <c r="H48" i="8" s="1"/>
  <c r="G49" i="8"/>
  <c r="H49" i="8" s="1"/>
  <c r="G50" i="8"/>
  <c r="H50" i="8" s="1"/>
  <c r="G51" i="8"/>
  <c r="H51" i="8" s="1"/>
  <c r="G52" i="8"/>
  <c r="H52" i="8" s="1"/>
  <c r="G53" i="8"/>
  <c r="H53" i="8" s="1"/>
  <c r="G54" i="8"/>
  <c r="H54" i="8" s="1"/>
  <c r="G55" i="8"/>
  <c r="H55" i="8" s="1"/>
  <c r="G56" i="8"/>
  <c r="H56" i="8" s="1"/>
  <c r="G57" i="8"/>
  <c r="H57" i="8" s="1"/>
  <c r="G58" i="8"/>
  <c r="H58" i="8" s="1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301" i="8"/>
  <c r="G302" i="8"/>
  <c r="G303" i="8"/>
  <c r="G304" i="8"/>
  <c r="G305" i="8"/>
  <c r="G306" i="8"/>
  <c r="G307" i="8"/>
  <c r="G308" i="8"/>
  <c r="G309" i="8"/>
  <c r="G310" i="8"/>
  <c r="G311" i="8"/>
  <c r="G312" i="8"/>
  <c r="G313" i="8"/>
  <c r="G314" i="8"/>
  <c r="G315" i="8"/>
  <c r="G316" i="8"/>
  <c r="G317" i="8"/>
  <c r="G318" i="8"/>
  <c r="G319" i="8"/>
  <c r="G320" i="8"/>
  <c r="G321" i="8"/>
  <c r="G322" i="8"/>
  <c r="G323" i="8"/>
  <c r="G324" i="8"/>
  <c r="G325" i="8"/>
  <c r="G326" i="8"/>
  <c r="G327" i="8"/>
  <c r="G328" i="8"/>
  <c r="G329" i="8"/>
  <c r="G330" i="8"/>
  <c r="G331" i="8"/>
  <c r="G332" i="8"/>
  <c r="G333" i="8"/>
  <c r="G334" i="8"/>
  <c r="G335" i="8"/>
  <c r="G336" i="8"/>
  <c r="G337" i="8"/>
  <c r="G338" i="8"/>
  <c r="G339" i="8"/>
  <c r="G340" i="8"/>
  <c r="G341" i="8"/>
  <c r="G342" i="8"/>
  <c r="G343" i="8"/>
  <c r="G344" i="8"/>
  <c r="G345" i="8"/>
  <c r="G346" i="8"/>
  <c r="G347" i="8"/>
  <c r="G348" i="8"/>
  <c r="G349" i="8"/>
  <c r="G350" i="8"/>
  <c r="G351" i="8"/>
  <c r="G352" i="8"/>
  <c r="G353" i="8"/>
  <c r="G354" i="8"/>
  <c r="G355" i="8"/>
  <c r="G356" i="8"/>
  <c r="G357" i="8"/>
  <c r="G358" i="8"/>
  <c r="G359" i="8"/>
  <c r="G360" i="8"/>
  <c r="G361" i="8"/>
  <c r="G362" i="8"/>
  <c r="G363" i="8"/>
  <c r="G364" i="8"/>
  <c r="G365" i="8"/>
  <c r="G366" i="8"/>
  <c r="G367" i="8"/>
  <c r="G368" i="8"/>
  <c r="G369" i="8"/>
  <c r="G370" i="8"/>
  <c r="K26" i="2"/>
  <c r="G5" i="8"/>
  <c r="H5" i="8" s="1"/>
  <c r="B5" i="8"/>
  <c r="C5" i="8" s="1"/>
  <c r="E49" i="3"/>
  <c r="E48" i="3"/>
  <c r="F5" i="5"/>
  <c r="F6" i="5"/>
  <c r="E14" i="7"/>
  <c r="E13" i="7"/>
  <c r="K8" i="8"/>
  <c r="K36" i="8"/>
  <c r="K9" i="8"/>
  <c r="K37" i="8"/>
  <c r="K10" i="8"/>
  <c r="K38" i="8"/>
  <c r="K11" i="8"/>
  <c r="K39" i="8"/>
  <c r="K12" i="8"/>
  <c r="K40" i="8"/>
  <c r="K13" i="8"/>
  <c r="K41" i="8"/>
  <c r="K14" i="8"/>
  <c r="K42" i="8"/>
  <c r="K15" i="8"/>
  <c r="K43" i="8"/>
  <c r="K16" i="8"/>
  <c r="K44" i="8"/>
  <c r="K17" i="8"/>
  <c r="K45" i="8"/>
  <c r="K18" i="8"/>
  <c r="K46" i="8"/>
  <c r="K19" i="8"/>
  <c r="K47" i="8"/>
  <c r="K20" i="8"/>
  <c r="K48" i="8"/>
  <c r="K21" i="8"/>
  <c r="K49" i="8"/>
  <c r="K22" i="8"/>
  <c r="K50" i="8"/>
  <c r="K23" i="8"/>
  <c r="K51" i="8"/>
  <c r="K24" i="8"/>
  <c r="K52" i="8"/>
  <c r="K25" i="8"/>
  <c r="K53" i="8"/>
  <c r="K26" i="8"/>
  <c r="K54" i="8"/>
  <c r="K27" i="8"/>
  <c r="K55" i="8"/>
  <c r="K28" i="8"/>
  <c r="K56" i="8"/>
  <c r="K29" i="8"/>
  <c r="K57" i="8"/>
  <c r="K30" i="8"/>
  <c r="K58" i="8"/>
  <c r="K31" i="8"/>
  <c r="K32" i="8"/>
  <c r="K33" i="8"/>
  <c r="K34" i="8"/>
  <c r="K35" i="8"/>
  <c r="K7" i="8"/>
  <c r="H10" i="8" l="1"/>
  <c r="H9" i="8"/>
  <c r="H8" i="8"/>
  <c r="B6" i="8"/>
  <c r="E4" i="7"/>
  <c r="D4" i="7"/>
  <c r="D16" i="7"/>
  <c r="D13" i="7"/>
  <c r="D14" i="7"/>
  <c r="D12" i="7"/>
  <c r="D17" i="7"/>
  <c r="D15" i="7"/>
  <c r="D3" i="7"/>
  <c r="D5" i="7"/>
  <c r="D9" i="7"/>
  <c r="D8" i="7"/>
  <c r="D11" i="7"/>
  <c r="D10" i="7"/>
  <c r="D7" i="7"/>
  <c r="D6" i="7"/>
  <c r="E5" i="7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0" i="7"/>
  <c r="E11" i="7"/>
  <c r="E15" i="7"/>
  <c r="B7" i="8" l="1"/>
  <c r="C6" i="8"/>
  <c r="J23" i="2"/>
  <c r="K23" i="2" s="1"/>
  <c r="B8" i="8" l="1"/>
  <c r="C7" i="8"/>
  <c r="E3" i="7"/>
  <c r="E12" i="7"/>
  <c r="E17" i="7"/>
  <c r="E9" i="7"/>
  <c r="E8" i="7"/>
  <c r="E7" i="7"/>
  <c r="E6" i="7"/>
  <c r="E16" i="7"/>
  <c r="B9" i="8" l="1"/>
  <c r="C8" i="8"/>
  <c r="I24" i="2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B10" i="8" l="1"/>
  <c r="J6" i="8" s="1"/>
  <c r="C9" i="8"/>
  <c r="J28" i="2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B11" i="8" l="1"/>
  <c r="C10" i="8"/>
  <c r="J21" i="2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J22" i="2"/>
  <c r="K22" i="2" s="1"/>
  <c r="B12" i="8" l="1"/>
  <c r="C11" i="8"/>
  <c r="H5" i="3"/>
  <c r="I5" i="3"/>
  <c r="K27" i="2"/>
  <c r="H7" i="3"/>
  <c r="I7" i="3"/>
  <c r="B13" i="8" l="1"/>
  <c r="C12" i="8"/>
  <c r="B14" i="8" l="1"/>
  <c r="C13" i="8"/>
  <c r="B15" i="8" l="1"/>
  <c r="C14" i="8"/>
  <c r="B16" i="8" l="1"/>
  <c r="C15" i="8"/>
  <c r="B17" i="8" l="1"/>
  <c r="C16" i="8"/>
  <c r="J7" i="8" a="1"/>
  <c r="J7" i="8" l="1"/>
  <c r="B18" i="8"/>
  <c r="C17" i="8"/>
  <c r="B19" i="8" l="1"/>
  <c r="C18" i="8"/>
  <c r="B20" i="8" l="1"/>
  <c r="C19" i="8"/>
  <c r="B21" i="8" l="1"/>
  <c r="C20" i="8"/>
  <c r="B22" i="8" l="1"/>
  <c r="C21" i="8"/>
  <c r="B23" i="8" l="1"/>
  <c r="C22" i="8"/>
  <c r="B24" i="8" l="1"/>
  <c r="C23" i="8"/>
  <c r="J8" i="8" a="1"/>
  <c r="J8" i="8" l="1"/>
  <c r="B25" i="8"/>
  <c r="C24" i="8"/>
  <c r="B26" i="8" l="1"/>
  <c r="C25" i="8"/>
  <c r="B27" i="8" l="1"/>
  <c r="C26" i="8"/>
  <c r="B28" i="8" l="1"/>
  <c r="C27" i="8"/>
  <c r="B29" i="8" l="1"/>
  <c r="C28" i="8"/>
  <c r="B30" i="8" l="1"/>
  <c r="C29" i="8"/>
  <c r="B31" i="8" l="1"/>
  <c r="C30" i="8"/>
  <c r="J9" i="8" a="1"/>
  <c r="J9" i="8" l="1"/>
  <c r="B32" i="8"/>
  <c r="C31" i="8"/>
  <c r="B33" i="8" l="1"/>
  <c r="C32" i="8"/>
  <c r="B34" i="8" l="1"/>
  <c r="C33" i="8"/>
  <c r="B35" i="8" l="1"/>
  <c r="C34" i="8"/>
  <c r="B36" i="8" l="1"/>
  <c r="C35" i="8"/>
  <c r="B37" i="8" l="1"/>
  <c r="C36" i="8"/>
  <c r="B38" i="8" l="1"/>
  <c r="C37" i="8"/>
  <c r="J10" i="8" a="1"/>
  <c r="J10" i="8" l="1"/>
  <c r="B39" i="8"/>
  <c r="C38" i="8"/>
  <c r="B40" i="8" l="1"/>
  <c r="C39" i="8"/>
  <c r="B41" i="8" l="1"/>
  <c r="C40" i="8"/>
  <c r="B42" i="8" l="1"/>
  <c r="C41" i="8"/>
  <c r="B43" i="8" l="1"/>
  <c r="C42" i="8"/>
  <c r="B44" i="8" l="1"/>
  <c r="C43" i="8"/>
  <c r="B45" i="8" l="1"/>
  <c r="C44" i="8"/>
  <c r="J11" i="8" a="1"/>
  <c r="J11" i="8" l="1"/>
  <c r="B46" i="8"/>
  <c r="C45" i="8"/>
  <c r="B47" i="8" l="1"/>
  <c r="C46" i="8"/>
  <c r="B48" i="8" l="1"/>
  <c r="C47" i="8"/>
  <c r="B49" i="8" l="1"/>
  <c r="C48" i="8"/>
  <c r="B50" i="8" l="1"/>
  <c r="C49" i="8"/>
  <c r="B51" i="8" l="1"/>
  <c r="C50" i="8"/>
  <c r="B52" i="8" l="1"/>
  <c r="C51" i="8"/>
  <c r="J12" i="8" a="1"/>
  <c r="J12" i="8" l="1"/>
  <c r="B53" i="8"/>
  <c r="C52" i="8"/>
  <c r="B54" i="8" l="1"/>
  <c r="C53" i="8"/>
  <c r="B55" i="8" l="1"/>
  <c r="C54" i="8"/>
  <c r="B56" i="8" l="1"/>
  <c r="C55" i="8"/>
  <c r="B57" i="8" l="1"/>
  <c r="C56" i="8"/>
  <c r="B58" i="8" l="1"/>
  <c r="C57" i="8"/>
  <c r="B59" i="8" l="1"/>
  <c r="C58" i="8"/>
  <c r="J13" i="8" a="1"/>
  <c r="J13" i="8" l="1"/>
  <c r="B60" i="8"/>
  <c r="C59" i="8"/>
  <c r="B61" i="8" l="1"/>
  <c r="C60" i="8"/>
  <c r="B62" i="8" l="1"/>
  <c r="C61" i="8"/>
  <c r="B63" i="8" l="1"/>
  <c r="C62" i="8"/>
  <c r="B64" i="8" l="1"/>
  <c r="C63" i="8"/>
  <c r="B65" i="8" l="1"/>
  <c r="C64" i="8"/>
  <c r="B66" i="8" l="1"/>
  <c r="C65" i="8"/>
  <c r="J14" i="8" a="1"/>
  <c r="J14" i="8" l="1"/>
  <c r="B67" i="8"/>
  <c r="C66" i="8"/>
  <c r="B68" i="8" l="1"/>
  <c r="C67" i="8"/>
  <c r="B69" i="8" l="1"/>
  <c r="C68" i="8"/>
  <c r="B70" i="8" l="1"/>
  <c r="C69" i="8"/>
  <c r="B71" i="8" l="1"/>
  <c r="C70" i="8"/>
  <c r="B72" i="8" l="1"/>
  <c r="C71" i="8"/>
  <c r="B73" i="8" l="1"/>
  <c r="C72" i="8"/>
  <c r="J15" i="8" a="1"/>
  <c r="J15" i="8" l="1"/>
  <c r="B74" i="8"/>
  <c r="C73" i="8"/>
  <c r="B75" i="8" l="1"/>
  <c r="C74" i="8"/>
  <c r="B76" i="8" l="1"/>
  <c r="C75" i="8"/>
  <c r="B77" i="8" l="1"/>
  <c r="C76" i="8"/>
  <c r="B78" i="8" l="1"/>
  <c r="C77" i="8"/>
  <c r="B79" i="8" l="1"/>
  <c r="C78" i="8"/>
  <c r="B80" i="8" l="1"/>
  <c r="C79" i="8"/>
  <c r="J16" i="8" a="1"/>
  <c r="J16" i="8" l="1"/>
  <c r="B81" i="8"/>
  <c r="C80" i="8"/>
  <c r="B82" i="8" l="1"/>
  <c r="C81" i="8"/>
  <c r="B83" i="8" l="1"/>
  <c r="C82" i="8"/>
  <c r="B84" i="8" l="1"/>
  <c r="C83" i="8"/>
  <c r="B85" i="8" l="1"/>
  <c r="C84" i="8"/>
  <c r="B86" i="8" l="1"/>
  <c r="C85" i="8"/>
  <c r="B87" i="8" l="1"/>
  <c r="C86" i="8"/>
  <c r="J17" i="8" a="1"/>
  <c r="J17" i="8" l="1"/>
  <c r="B88" i="8"/>
  <c r="C87" i="8"/>
  <c r="B89" i="8" l="1"/>
  <c r="C88" i="8"/>
  <c r="B90" i="8" l="1"/>
  <c r="C89" i="8"/>
  <c r="B91" i="8" l="1"/>
  <c r="C90" i="8"/>
  <c r="B92" i="8" l="1"/>
  <c r="C91" i="8"/>
  <c r="B93" i="8" l="1"/>
  <c r="C92" i="8"/>
  <c r="B94" i="8" l="1"/>
  <c r="C93" i="8"/>
  <c r="J18" i="8" a="1"/>
  <c r="J18" i="8" l="1"/>
  <c r="B95" i="8"/>
  <c r="C94" i="8"/>
  <c r="B96" i="8" l="1"/>
  <c r="C95" i="8"/>
  <c r="B97" i="8" l="1"/>
  <c r="C96" i="8"/>
  <c r="B98" i="8" l="1"/>
  <c r="C97" i="8"/>
  <c r="B99" i="8" l="1"/>
  <c r="C98" i="8"/>
  <c r="B100" i="8" l="1"/>
  <c r="C99" i="8"/>
  <c r="B101" i="8" l="1"/>
  <c r="C100" i="8"/>
  <c r="J19" i="8" a="1"/>
  <c r="J19" i="8" l="1"/>
  <c r="B102" i="8"/>
  <c r="C101" i="8"/>
  <c r="B103" i="8" l="1"/>
  <c r="C102" i="8"/>
  <c r="B104" i="8" l="1"/>
  <c r="C103" i="8"/>
  <c r="B105" i="8" l="1"/>
  <c r="C104" i="8"/>
  <c r="B106" i="8" l="1"/>
  <c r="C105" i="8"/>
  <c r="B107" i="8" l="1"/>
  <c r="C106" i="8"/>
  <c r="B108" i="8" l="1"/>
  <c r="C107" i="8"/>
  <c r="J20" i="8" a="1"/>
  <c r="J20" i="8" l="1"/>
  <c r="B109" i="8"/>
  <c r="C108" i="8"/>
  <c r="B110" i="8" l="1"/>
  <c r="C109" i="8"/>
  <c r="B111" i="8" l="1"/>
  <c r="C110" i="8"/>
  <c r="B112" i="8" l="1"/>
  <c r="C111" i="8"/>
  <c r="B113" i="8" l="1"/>
  <c r="C112" i="8"/>
  <c r="B114" i="8" l="1"/>
  <c r="C113" i="8"/>
  <c r="B115" i="8" l="1"/>
  <c r="C114" i="8"/>
  <c r="J21" i="8" a="1"/>
  <c r="J21" i="8" l="1"/>
  <c r="B116" i="8"/>
  <c r="C115" i="8"/>
  <c r="B117" i="8" l="1"/>
  <c r="C116" i="8"/>
  <c r="B118" i="8" l="1"/>
  <c r="C117" i="8"/>
  <c r="B119" i="8" l="1"/>
  <c r="C118" i="8"/>
  <c r="B120" i="8" l="1"/>
  <c r="C119" i="8"/>
  <c r="B121" i="8" l="1"/>
  <c r="C120" i="8"/>
  <c r="B122" i="8" l="1"/>
  <c r="C121" i="8"/>
  <c r="J22" i="8" a="1"/>
  <c r="J22" i="8" l="1"/>
  <c r="B123" i="8"/>
  <c r="C122" i="8"/>
  <c r="B124" i="8" l="1"/>
  <c r="C123" i="8"/>
  <c r="B125" i="8" l="1"/>
  <c r="C124" i="8"/>
  <c r="B126" i="8" l="1"/>
  <c r="C125" i="8"/>
  <c r="B127" i="8" l="1"/>
  <c r="C126" i="8"/>
  <c r="B128" i="8" l="1"/>
  <c r="C127" i="8"/>
  <c r="B129" i="8" l="1"/>
  <c r="C128" i="8"/>
  <c r="J23" i="8" a="1"/>
  <c r="J23" i="8" l="1"/>
  <c r="B130" i="8"/>
  <c r="C129" i="8"/>
  <c r="B131" i="8" l="1"/>
  <c r="C130" i="8"/>
  <c r="B132" i="8" l="1"/>
  <c r="C131" i="8"/>
  <c r="B133" i="8" l="1"/>
  <c r="C132" i="8"/>
  <c r="B134" i="8" l="1"/>
  <c r="C133" i="8"/>
  <c r="B135" i="8" l="1"/>
  <c r="C134" i="8"/>
  <c r="B136" i="8" l="1"/>
  <c r="C135" i="8"/>
  <c r="J24" i="8" a="1"/>
  <c r="J24" i="8" l="1"/>
  <c r="B137" i="8"/>
  <c r="C136" i="8"/>
  <c r="B138" i="8" l="1"/>
  <c r="C137" i="8"/>
  <c r="B139" i="8" l="1"/>
  <c r="C138" i="8"/>
  <c r="B140" i="8" l="1"/>
  <c r="C139" i="8"/>
  <c r="B141" i="8" l="1"/>
  <c r="C140" i="8"/>
  <c r="B142" i="8" l="1"/>
  <c r="C141" i="8"/>
  <c r="B143" i="8" l="1"/>
  <c r="C142" i="8"/>
  <c r="J25" i="8" a="1"/>
  <c r="J25" i="8" l="1"/>
  <c r="B144" i="8"/>
  <c r="C143" i="8"/>
  <c r="B145" i="8" l="1"/>
  <c r="C144" i="8"/>
  <c r="B146" i="8" l="1"/>
  <c r="C145" i="8"/>
  <c r="B147" i="8" l="1"/>
  <c r="C146" i="8"/>
  <c r="B148" i="8" l="1"/>
  <c r="C147" i="8"/>
  <c r="B149" i="8" l="1"/>
  <c r="C148" i="8"/>
  <c r="B150" i="8" l="1"/>
  <c r="C149" i="8"/>
  <c r="J26" i="8" a="1"/>
  <c r="J26" i="8" l="1"/>
  <c r="B151" i="8"/>
  <c r="C150" i="8"/>
  <c r="B152" i="8" l="1"/>
  <c r="C151" i="8"/>
  <c r="B153" i="8" l="1"/>
  <c r="C152" i="8"/>
  <c r="B154" i="8" l="1"/>
  <c r="C153" i="8"/>
  <c r="B155" i="8" l="1"/>
  <c r="C154" i="8"/>
  <c r="B156" i="8" l="1"/>
  <c r="C155" i="8"/>
  <c r="B157" i="8" l="1"/>
  <c r="C156" i="8"/>
  <c r="J27" i="8" a="1"/>
  <c r="J27" i="8" l="1"/>
  <c r="B158" i="8"/>
  <c r="C157" i="8"/>
  <c r="B159" i="8" l="1"/>
  <c r="C158" i="8"/>
  <c r="B160" i="8" l="1"/>
  <c r="C159" i="8"/>
  <c r="B161" i="8" l="1"/>
  <c r="C160" i="8"/>
  <c r="B162" i="8" l="1"/>
  <c r="C161" i="8"/>
  <c r="B163" i="8" l="1"/>
  <c r="C162" i="8"/>
  <c r="B164" i="8" l="1"/>
  <c r="C163" i="8"/>
  <c r="J28" i="8" a="1"/>
  <c r="J28" i="8" l="1"/>
  <c r="B165" i="8"/>
  <c r="C164" i="8"/>
  <c r="B166" i="8" l="1"/>
  <c r="C165" i="8"/>
  <c r="B167" i="8" l="1"/>
  <c r="C166" i="8"/>
  <c r="B168" i="8" l="1"/>
  <c r="C167" i="8"/>
  <c r="B169" i="8" l="1"/>
  <c r="C168" i="8"/>
  <c r="B170" i="8" l="1"/>
  <c r="C169" i="8"/>
  <c r="B171" i="8" l="1"/>
  <c r="C170" i="8"/>
  <c r="J29" i="8" a="1"/>
  <c r="J29" i="8" l="1"/>
  <c r="B172" i="8"/>
  <c r="C171" i="8"/>
  <c r="B173" i="8" l="1"/>
  <c r="C172" i="8"/>
  <c r="B174" i="8" l="1"/>
  <c r="C173" i="8"/>
  <c r="B175" i="8" l="1"/>
  <c r="C174" i="8"/>
  <c r="B176" i="8" l="1"/>
  <c r="C175" i="8"/>
  <c r="B177" i="8" l="1"/>
  <c r="C176" i="8"/>
  <c r="B178" i="8" l="1"/>
  <c r="C177" i="8"/>
  <c r="J30" i="8" a="1"/>
  <c r="J30" i="8" l="1"/>
  <c r="B179" i="8"/>
  <c r="C178" i="8"/>
  <c r="B180" i="8" l="1"/>
  <c r="C179" i="8"/>
  <c r="B181" i="8" l="1"/>
  <c r="C180" i="8"/>
  <c r="B182" i="8" l="1"/>
  <c r="C181" i="8"/>
  <c r="B183" i="8" l="1"/>
  <c r="C182" i="8"/>
  <c r="B184" i="8" l="1"/>
  <c r="C183" i="8"/>
  <c r="B185" i="8" l="1"/>
  <c r="C184" i="8"/>
  <c r="J31" i="8" a="1"/>
  <c r="J31" i="8" l="1"/>
  <c r="B186" i="8"/>
  <c r="C185" i="8"/>
  <c r="B187" i="8" l="1"/>
  <c r="C186" i="8"/>
  <c r="B188" i="8" l="1"/>
  <c r="C187" i="8"/>
  <c r="B189" i="8" l="1"/>
  <c r="C188" i="8"/>
  <c r="B190" i="8" l="1"/>
  <c r="C189" i="8"/>
  <c r="B191" i="8" l="1"/>
  <c r="C190" i="8"/>
  <c r="B192" i="8" l="1"/>
  <c r="C191" i="8"/>
  <c r="J32" i="8" a="1"/>
  <c r="J32" i="8" l="1"/>
  <c r="B193" i="8"/>
  <c r="C192" i="8"/>
  <c r="B194" i="8" l="1"/>
  <c r="C193" i="8"/>
  <c r="B195" i="8" l="1"/>
  <c r="C194" i="8"/>
  <c r="B196" i="8" l="1"/>
  <c r="C195" i="8"/>
  <c r="B197" i="8" l="1"/>
  <c r="C196" i="8"/>
  <c r="B198" i="8" l="1"/>
  <c r="C197" i="8"/>
  <c r="B199" i="8" l="1"/>
  <c r="C198" i="8"/>
  <c r="J33" i="8" a="1"/>
  <c r="J33" i="8" l="1"/>
  <c r="B200" i="8"/>
  <c r="C199" i="8"/>
  <c r="B201" i="8" l="1"/>
  <c r="C200" i="8"/>
  <c r="B202" i="8" l="1"/>
  <c r="C201" i="8"/>
  <c r="B203" i="8" l="1"/>
  <c r="C202" i="8"/>
  <c r="B204" i="8" l="1"/>
  <c r="C203" i="8"/>
  <c r="B205" i="8" l="1"/>
  <c r="C204" i="8"/>
  <c r="B206" i="8" l="1"/>
  <c r="C205" i="8"/>
  <c r="J34" i="8" a="1"/>
  <c r="J34" i="8" l="1"/>
  <c r="B207" i="8"/>
  <c r="C206" i="8"/>
  <c r="B208" i="8" l="1"/>
  <c r="C207" i="8"/>
  <c r="B209" i="8" l="1"/>
  <c r="C208" i="8"/>
  <c r="B210" i="8" l="1"/>
  <c r="C209" i="8"/>
  <c r="B211" i="8" l="1"/>
  <c r="C210" i="8"/>
  <c r="B212" i="8" l="1"/>
  <c r="C211" i="8"/>
  <c r="B213" i="8" l="1"/>
  <c r="C212" i="8"/>
  <c r="J35" i="8" a="1"/>
  <c r="J35" i="8" l="1"/>
  <c r="B214" i="8"/>
  <c r="C213" i="8"/>
  <c r="B215" i="8" l="1"/>
  <c r="C214" i="8"/>
  <c r="B216" i="8" l="1"/>
  <c r="C215" i="8"/>
  <c r="B217" i="8" l="1"/>
  <c r="C216" i="8"/>
  <c r="B218" i="8" l="1"/>
  <c r="C217" i="8"/>
  <c r="B219" i="8" l="1"/>
  <c r="C218" i="8"/>
  <c r="B220" i="8" l="1"/>
  <c r="C219" i="8"/>
  <c r="J36" i="8" a="1"/>
  <c r="J36" i="8" l="1"/>
  <c r="B221" i="8"/>
  <c r="C220" i="8"/>
  <c r="B222" i="8" l="1"/>
  <c r="C221" i="8"/>
  <c r="B223" i="8" l="1"/>
  <c r="C222" i="8"/>
  <c r="B224" i="8" l="1"/>
  <c r="C223" i="8"/>
  <c r="B225" i="8" l="1"/>
  <c r="C224" i="8"/>
  <c r="B226" i="8" l="1"/>
  <c r="C225" i="8"/>
  <c r="B227" i="8" l="1"/>
  <c r="C226" i="8"/>
  <c r="J37" i="8" a="1"/>
  <c r="J37" i="8" l="1"/>
  <c r="B228" i="8"/>
  <c r="C227" i="8"/>
  <c r="B229" i="8" l="1"/>
  <c r="C228" i="8"/>
  <c r="B230" i="8" l="1"/>
  <c r="C229" i="8"/>
  <c r="B231" i="8" l="1"/>
  <c r="C230" i="8"/>
  <c r="B232" i="8" l="1"/>
  <c r="C231" i="8"/>
  <c r="B233" i="8" l="1"/>
  <c r="C232" i="8"/>
  <c r="B234" i="8" l="1"/>
  <c r="C233" i="8"/>
  <c r="J38" i="8" a="1"/>
  <c r="J38" i="8" l="1"/>
  <c r="B235" i="8"/>
  <c r="C234" i="8"/>
  <c r="B236" i="8" l="1"/>
  <c r="C235" i="8"/>
  <c r="B237" i="8" l="1"/>
  <c r="C236" i="8"/>
  <c r="B238" i="8" l="1"/>
  <c r="C237" i="8"/>
  <c r="B239" i="8" l="1"/>
  <c r="C238" i="8"/>
  <c r="B240" i="8" l="1"/>
  <c r="C239" i="8"/>
  <c r="B241" i="8" l="1"/>
  <c r="C240" i="8"/>
  <c r="J39" i="8" a="1"/>
  <c r="J39" i="8" l="1"/>
  <c r="B242" i="8"/>
  <c r="C241" i="8"/>
  <c r="B243" i="8" l="1"/>
  <c r="C242" i="8"/>
  <c r="B244" i="8" l="1"/>
  <c r="C243" i="8"/>
  <c r="B245" i="8" l="1"/>
  <c r="C244" i="8"/>
  <c r="B246" i="8" l="1"/>
  <c r="C245" i="8"/>
  <c r="B247" i="8" l="1"/>
  <c r="C246" i="8"/>
  <c r="B248" i="8" l="1"/>
  <c r="C247" i="8"/>
  <c r="J40" i="8" a="1"/>
  <c r="J40" i="8" l="1"/>
  <c r="B249" i="8"/>
  <c r="C248" i="8"/>
  <c r="B250" i="8" l="1"/>
  <c r="C249" i="8"/>
  <c r="B251" i="8" l="1"/>
  <c r="C250" i="8"/>
  <c r="B252" i="8" l="1"/>
  <c r="C251" i="8"/>
  <c r="B253" i="8" l="1"/>
  <c r="C252" i="8"/>
  <c r="B254" i="8" l="1"/>
  <c r="C253" i="8"/>
  <c r="B255" i="8" l="1"/>
  <c r="C254" i="8"/>
  <c r="J41" i="8" a="1"/>
  <c r="J41" i="8" l="1"/>
  <c r="B256" i="8"/>
  <c r="C255" i="8"/>
  <c r="B257" i="8" l="1"/>
  <c r="C256" i="8"/>
  <c r="B258" i="8" l="1"/>
  <c r="C257" i="8"/>
  <c r="B259" i="8" l="1"/>
  <c r="C258" i="8"/>
  <c r="B260" i="8" l="1"/>
  <c r="C259" i="8"/>
  <c r="B261" i="8" l="1"/>
  <c r="C260" i="8"/>
  <c r="B262" i="8" l="1"/>
  <c r="C261" i="8"/>
  <c r="J42" i="8" a="1"/>
  <c r="J42" i="8" l="1"/>
  <c r="B263" i="8"/>
  <c r="C262" i="8"/>
  <c r="B264" i="8" l="1"/>
  <c r="C263" i="8"/>
  <c r="B265" i="8" l="1"/>
  <c r="C264" i="8"/>
  <c r="B266" i="8" l="1"/>
  <c r="C265" i="8"/>
  <c r="B267" i="8" l="1"/>
  <c r="C266" i="8"/>
  <c r="B268" i="8" l="1"/>
  <c r="C267" i="8"/>
  <c r="B269" i="8" l="1"/>
  <c r="C268" i="8"/>
  <c r="J43" i="8" a="1"/>
  <c r="J43" i="8" l="1"/>
  <c r="B270" i="8"/>
  <c r="C269" i="8"/>
  <c r="B271" i="8" l="1"/>
  <c r="C270" i="8"/>
  <c r="B272" i="8" l="1"/>
  <c r="C271" i="8"/>
  <c r="B273" i="8" l="1"/>
  <c r="C272" i="8"/>
  <c r="B274" i="8" l="1"/>
  <c r="C273" i="8"/>
  <c r="B275" i="8" l="1"/>
  <c r="C274" i="8"/>
  <c r="B276" i="8" l="1"/>
  <c r="C275" i="8"/>
  <c r="J44" i="8" a="1"/>
  <c r="J44" i="8" l="1"/>
  <c r="B277" i="8"/>
  <c r="C276" i="8"/>
  <c r="B278" i="8" l="1"/>
  <c r="C277" i="8"/>
  <c r="B279" i="8" l="1"/>
  <c r="C278" i="8"/>
  <c r="B280" i="8" l="1"/>
  <c r="C279" i="8"/>
  <c r="B281" i="8" l="1"/>
  <c r="C280" i="8"/>
  <c r="B282" i="8" l="1"/>
  <c r="C281" i="8"/>
  <c r="B283" i="8" l="1"/>
  <c r="C282" i="8"/>
  <c r="J45" i="8" a="1"/>
  <c r="J45" i="8" l="1"/>
  <c r="B284" i="8"/>
  <c r="C283" i="8"/>
  <c r="B285" i="8" l="1"/>
  <c r="C284" i="8"/>
  <c r="B286" i="8" l="1"/>
  <c r="C285" i="8"/>
  <c r="B287" i="8" l="1"/>
  <c r="C286" i="8"/>
  <c r="B288" i="8" l="1"/>
  <c r="C287" i="8"/>
  <c r="B289" i="8" l="1"/>
  <c r="C288" i="8"/>
  <c r="B290" i="8" l="1"/>
  <c r="C289" i="8"/>
  <c r="J46" i="8" a="1"/>
  <c r="J46" i="8" l="1"/>
  <c r="B291" i="8"/>
  <c r="C290" i="8"/>
  <c r="B292" i="8" l="1"/>
  <c r="C291" i="8"/>
  <c r="B293" i="8" l="1"/>
  <c r="C292" i="8"/>
  <c r="B294" i="8" l="1"/>
  <c r="C293" i="8"/>
  <c r="B295" i="8" l="1"/>
  <c r="C294" i="8"/>
  <c r="B296" i="8" l="1"/>
  <c r="C295" i="8"/>
  <c r="B297" i="8" l="1"/>
  <c r="C296" i="8"/>
  <c r="J47" i="8" a="1"/>
  <c r="J47" i="8" l="1"/>
  <c r="B298" i="8"/>
  <c r="C297" i="8"/>
  <c r="B299" i="8" l="1"/>
  <c r="C298" i="8"/>
  <c r="B300" i="8" l="1"/>
  <c r="C299" i="8"/>
  <c r="B301" i="8" l="1"/>
  <c r="C300" i="8"/>
  <c r="B302" i="8" l="1"/>
  <c r="C301" i="8"/>
  <c r="B303" i="8" l="1"/>
  <c r="C302" i="8"/>
  <c r="B304" i="8" l="1"/>
  <c r="C303" i="8"/>
  <c r="J48" i="8" a="1"/>
  <c r="J48" i="8" l="1"/>
  <c r="B305" i="8"/>
  <c r="C304" i="8"/>
  <c r="B306" i="8" l="1"/>
  <c r="C305" i="8"/>
  <c r="B307" i="8" l="1"/>
  <c r="C306" i="8"/>
  <c r="B308" i="8" l="1"/>
  <c r="C307" i="8"/>
  <c r="B309" i="8" l="1"/>
  <c r="C308" i="8"/>
  <c r="B310" i="8" l="1"/>
  <c r="C309" i="8"/>
  <c r="B311" i="8" l="1"/>
  <c r="C310" i="8"/>
  <c r="J49" i="8" a="1"/>
  <c r="J49" i="8" l="1"/>
  <c r="B312" i="8"/>
  <c r="C311" i="8"/>
  <c r="B313" i="8" l="1"/>
  <c r="C312" i="8"/>
  <c r="B314" i="8" l="1"/>
  <c r="C313" i="8"/>
  <c r="B315" i="8" l="1"/>
  <c r="C314" i="8"/>
  <c r="B316" i="8" l="1"/>
  <c r="C315" i="8"/>
  <c r="B317" i="8" l="1"/>
  <c r="C316" i="8"/>
  <c r="B318" i="8" l="1"/>
  <c r="C317" i="8"/>
  <c r="J50" i="8" a="1"/>
  <c r="J50" i="8" l="1"/>
  <c r="B319" i="8"/>
  <c r="C318" i="8"/>
  <c r="B320" i="8" l="1"/>
  <c r="C319" i="8"/>
  <c r="B321" i="8" l="1"/>
  <c r="C320" i="8"/>
  <c r="B322" i="8" l="1"/>
  <c r="C321" i="8"/>
  <c r="B323" i="8" l="1"/>
  <c r="C322" i="8"/>
  <c r="B324" i="8" l="1"/>
  <c r="C323" i="8"/>
  <c r="B325" i="8" l="1"/>
  <c r="C324" i="8"/>
  <c r="J51" i="8" a="1"/>
  <c r="J51" i="8" l="1"/>
  <c r="B326" i="8"/>
  <c r="C325" i="8"/>
  <c r="B327" i="8" l="1"/>
  <c r="C326" i="8"/>
  <c r="B328" i="8" l="1"/>
  <c r="C327" i="8"/>
  <c r="B329" i="8" l="1"/>
  <c r="C328" i="8"/>
  <c r="B330" i="8" l="1"/>
  <c r="C329" i="8"/>
  <c r="B331" i="8" l="1"/>
  <c r="C330" i="8"/>
  <c r="B332" i="8" l="1"/>
  <c r="C331" i="8"/>
  <c r="J52" i="8" a="1"/>
  <c r="J52" i="8" l="1"/>
  <c r="B333" i="8"/>
  <c r="C332" i="8"/>
  <c r="B334" i="8" l="1"/>
  <c r="C333" i="8"/>
  <c r="B335" i="8" l="1"/>
  <c r="C334" i="8"/>
  <c r="B336" i="8" l="1"/>
  <c r="C335" i="8"/>
  <c r="B337" i="8" l="1"/>
  <c r="C336" i="8"/>
  <c r="B338" i="8" l="1"/>
  <c r="C337" i="8"/>
  <c r="B339" i="8" l="1"/>
  <c r="C338" i="8"/>
  <c r="J53" i="8" a="1"/>
  <c r="J53" i="8" l="1"/>
  <c r="B340" i="8"/>
  <c r="C339" i="8"/>
  <c r="B341" i="8" l="1"/>
  <c r="C340" i="8"/>
  <c r="B342" i="8" l="1"/>
  <c r="C341" i="8"/>
  <c r="B343" i="8" l="1"/>
  <c r="C342" i="8"/>
  <c r="B344" i="8" l="1"/>
  <c r="C343" i="8"/>
  <c r="B345" i="8" l="1"/>
  <c r="C344" i="8"/>
  <c r="B346" i="8" l="1"/>
  <c r="C345" i="8"/>
  <c r="J54" i="8" a="1"/>
  <c r="J54" i="8" l="1"/>
  <c r="B347" i="8"/>
  <c r="C346" i="8"/>
  <c r="B348" i="8" l="1"/>
  <c r="C347" i="8"/>
  <c r="B349" i="8" l="1"/>
  <c r="C348" i="8"/>
  <c r="B350" i="8" l="1"/>
  <c r="C349" i="8"/>
  <c r="B351" i="8" l="1"/>
  <c r="C350" i="8"/>
  <c r="B352" i="8" l="1"/>
  <c r="C351" i="8"/>
  <c r="B353" i="8" l="1"/>
  <c r="C352" i="8"/>
  <c r="J55" i="8" a="1"/>
  <c r="J55" i="8" l="1"/>
  <c r="B354" i="8"/>
  <c r="C353" i="8"/>
  <c r="B355" i="8" l="1"/>
  <c r="C354" i="8"/>
  <c r="B356" i="8" l="1"/>
  <c r="C355" i="8"/>
  <c r="B357" i="8" l="1"/>
  <c r="C356" i="8"/>
  <c r="B358" i="8" l="1"/>
  <c r="C357" i="8"/>
  <c r="B359" i="8" l="1"/>
  <c r="C358" i="8"/>
  <c r="B360" i="8" l="1"/>
  <c r="C359" i="8"/>
  <c r="J56" i="8" a="1"/>
  <c r="J56" i="8" l="1"/>
  <c r="B361" i="8"/>
  <c r="C360" i="8"/>
  <c r="B362" i="8" l="1"/>
  <c r="C361" i="8"/>
  <c r="B363" i="8" l="1"/>
  <c r="C362" i="8"/>
  <c r="B364" i="8" l="1"/>
  <c r="C363" i="8"/>
  <c r="B365" i="8" l="1"/>
  <c r="C364" i="8"/>
  <c r="B366" i="8" l="1"/>
  <c r="C365" i="8"/>
  <c r="B367" i="8" l="1"/>
  <c r="C366" i="8"/>
  <c r="J57" i="8" a="1"/>
  <c r="J57" i="8" l="1"/>
  <c r="B368" i="8"/>
  <c r="C367" i="8"/>
  <c r="B369" i="8" l="1"/>
  <c r="C368" i="8"/>
  <c r="B370" i="8" l="1"/>
  <c r="C369" i="8"/>
  <c r="J58" i="8" a="1"/>
  <c r="J58" i="8" l="1"/>
  <c r="C370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<sst xmlns="http://schemas.openxmlformats.org/spreadsheetml/2006/main" count="1018" uniqueCount="248">
  <si>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</si>
  <si>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</si>
  <si>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</si>
  <si>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</si>
  <si>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</si>
  <si>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</si>
  <si>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</si>
  <si>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</si>
  <si>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</si>
  <si>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</si>
  <si>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</si>
  <si>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</si>
  <si>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</si>
  <si>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</si>
  <si>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</si>
  <si>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</si>
  <si>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</si>
  <si>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</si>
  <si>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</si>
  <si>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</si>
  <si>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</si>
  <si>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</si>
  <si>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</si>
  <si>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</si>
  <si>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</si>
  <si>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</si>
  <si>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</si>
  <si>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</si>
  <si>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</si>
  <si>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</si>
  <si>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</si>
  <si>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</si>
  <si>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</si>
  <si>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</si>
  <si>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</si>
  <si>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</si>
  <si>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</si>
  <si>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</si>
  <si>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</si>
  <si>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</si>
  <si>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</si>
  <si>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</si>
  <si>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</si>
  <si>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</si>
  <si>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</si>
  <si>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</si>
  <si>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</si>
  <si>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</si>
  <si>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</si>
  <si>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</si>
  <si>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</si>
  <si>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</si>
  <si>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</si>
  <si>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</si>
  <si>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</si>
  <si>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</si>
  <si>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</si>
  <si>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</si>
  <si>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</si>
  <si>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</si>
  <si>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</si>
  <si>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</si>
  <si>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</si>
  <si>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</si>
  <si>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</si>
  <si>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</si>
  <si>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</si>
  <si>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</si>
  <si>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</si>
  <si>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</si>
  <si>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</si>
  <si>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</si>
  <si>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</si>
  <si>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</si>
  <si>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</si>
  <si>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</si>
  <si>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</si>
  <si>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</si>
  <si>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</si>
  <si>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</si>
  <si>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</si>
  <si>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</si>
  <si>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</si>
  <si>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</si>
  <si>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</si>
  <si>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</si>
  <si>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</si>
  <si>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</si>
  <si>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</si>
  <si>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</si>
  <si>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</si>
  <si>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</si>
  <si>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</si>
  <si>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</si>
  <si>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</si>
  <si>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</si>
  <si>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</si>
  <si>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</si>
  <si>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</si>
  <si>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</si>
  <si>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</si>
  <si>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</si>
  <si>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</si>
  <si>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</si>
  <si>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</si>
  <si>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</si>
  <si>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</si>
  <si>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</si>
  <si>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</si>
  <si>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</si>
  <si>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</si>
  <si>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</si>
  <si>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</si>
  <si>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</si>
  <si>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</si>
  <si>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</si>
  <si>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</si>
  <si>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</si>
  <si>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</si>
  <si>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</si>
  <si>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</si>
  <si>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</si>
  <si>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</si>
  <si>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</si>
  <si>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</si>
  <si>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</si>
  <si>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</si>
  <si>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</si>
  <si>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</si>
  <si>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</si>
  <si>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</si>
  <si>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</si>
  <si>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</si>
  <si>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</si>
  <si>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</si>
  <si>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</si>
  <si>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</si>
  <si>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</si>
  <si>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</si>
  <si>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</si>
  <si>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</si>
  <si>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</si>
  <si>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</si>
  <si>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</si>
  <si>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</si>
  <si>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</si>
  <si>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</si>
  <si>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</si>
  <si>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</si>
  <si>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</si>
  <si>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</si>
  <si>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</si>
  <si>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</si>
  <si>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</si>
  <si>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</si>
  <si>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</si>
  <si>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</si>
  <si>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</si>
  <si>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</si>
  <si>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</si>
  <si>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</si>
  <si>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</si>
  <si>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</si>
  <si>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</si>
  <si>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</si>
  <si>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</si>
  <si>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</si>
  <si>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</si>
  <si>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</si>
  <si>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</si>
  <si>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</si>
  <si>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</si>
  <si>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</si>
  <si>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</si>
  <si>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</si>
  <si>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</si>
  <si>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</si>
  <si>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</si>
  <si>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</si>
  <si>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</si>
  <si>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</si>
  <si>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</si>
  <si>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</si>
  <si>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</si>
  <si>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</si>
  <si>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</si>
  <si>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</si>
  <si>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</si>
  <si>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</si>
  <si>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</si>
  <si>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</si>
  <si>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</si>
  <si>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</si>
  <si>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</si>
  <si>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</si>
  <si>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</si>
  <si>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</si>
  <si>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</si>
  <si>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</si>
  <si>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</si>
  <si>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</si>
  <si>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</si>
  <si>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</si>
  <si>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</si>
  <si>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</si>
  <si>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</si>
  <si>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</si>
  <si>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</si>
  <si>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</si>
  <si>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</si>
  <si>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</si>
  <si>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</si>
  <si>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</si>
  <si>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</si>
  <si>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</si>
  <si>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</si>
  <si>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</si>
  <si>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</si>
  <si>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</si>
  <si>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</si>
  <si>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</si>
  <si>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</si>
  <si>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</si>
  <si>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</si>
  <si>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</si>
  <si>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</si>
  <si>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</si>
  <si>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</si>
  <si>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</si>
  <si>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</si>
  <si>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</si>
  <si>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</si>
  <si>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</si>
  <si>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</si>
  <si>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</si>
  <si>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</si>
  <si>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</si>
  <si>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</si>
  <si>
    <t>Date</t>
  </si>
  <si>
    <t>Day</t>
  </si>
  <si>
    <t>Subject</t>
  </si>
  <si>
    <t>Pomodoro Blocks</t>
  </si>
  <si>
    <t>Deutsch</t>
  </si>
  <si>
    <t>Excedent Time (min)</t>
  </si>
  <si>
    <t>Overall Time</t>
  </si>
  <si>
    <t>Overall Time (min)</t>
  </si>
  <si>
    <t>Week Range</t>
  </si>
  <si>
    <t>Week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</si>
</sst>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 style="thin">
        <color theme="9"/>
      </right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76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5" fillId="20" borderId="27" xfId="0" applyFont="1" applyFill="1" applyBorder="1" applyAlignment="1">
      <alignment horizontal="center" vertical="center"/>
    </xf>
    <xf numFmtId="0" fontId="5" fillId="20" borderId="29" xfId="0" applyFont="1" applyFill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0" fillId="19" borderId="53" xfId="0" applyNumberFormat="1" applyFont="1" applyFill="1" applyBorder="1" applyAlignment="1">
      <alignment horizontal="center" vertical="center"/>
    </xf>
    <xf numFmtId="0" fontId="0" fillId="19" borderId="54" xfId="0" applyFont="1" applyFill="1" applyBorder="1" applyAlignment="1">
      <alignment horizontal="center" vertical="center"/>
    </xf>
    <xf numFmtId="0" fontId="0" fillId="0" borderId="51" xfId="0" applyNumberFormat="1" applyFont="1" applyBorder="1" applyAlignment="1">
      <alignment horizontal="center" vertical="center"/>
    </xf>
    <xf numFmtId="0" fontId="0" fillId="0" borderId="52" xfId="0" applyFont="1" applyBorder="1" applyAlignment="1">
      <alignment horizontal="center" vertical="center"/>
    </xf>
    <xf numFmtId="0" fontId="0" fillId="19" borderId="51" xfId="0" applyFont="1" applyFill="1" applyBorder="1" applyAlignment="1">
      <alignment horizontal="center" vertical="center"/>
    </xf>
    <xf numFmtId="0" fontId="0" fillId="0" borderId="51" xfId="0" applyFont="1" applyBorder="1" applyAlignment="1">
      <alignment horizontal="center" vertical="center"/>
    </xf>
    <xf numFmtId="0" fontId="0" fillId="19" borderId="55" xfId="0" applyFont="1" applyFill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71"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61" headerRowBorderDxfId="60" tableBorderDxfId="59" totalsRowBorderDxfId="58">
  <autoFilter ref="B4:K7" xr:uid="{A0D32330-27B6-422A-9D1F-1FC5BAE5E4DB}"/>
  <tableColumns count="10">
    <tableColumn id="1" xr3:uid="{19F98066-679F-4EEC-9A8C-22860A587D58}" name="Language" dataDxfId="57"/>
    <tableColumn id="2" xr3:uid="{9BE73F99-3CBD-49DC-86AA-136DA5596E56}" name="Current Level" dataDxfId="56"/>
    <tableColumn id="3" xr3:uid="{D1CA6F26-E592-4F65-8835-ED17E93DB151}" name="Objective" dataDxfId="55"/>
    <tableColumn id="4" xr3:uid="{F859D955-4AE2-43E1-84D7-DDB739CAE75B}" name="Daily Intensity [h]" dataDxfId="54"/>
    <tableColumn id="5" xr3:uid="{D6D3DADB-90B1-49DA-9D0F-69E54089656D}" name="Estimated Time (Best) [months]" dataDxfId="53" dataCellStyle="Good"/>
    <tableColumn id="6" xr3:uid="{7BF26971-99B7-4341-9936-055654ADE3C7}" name="Estimated Time (Expected) [months]" dataDxfId="52" dataCellStyle="Good"/>
    <tableColumn id="7" xr3:uid="{2E85D0AD-3119-4874-89FE-74923BCA0E5B}" name="Actual Average Daily Intensity [h]" dataDxfId="51" dataCellStyle="Good"/>
    <tableColumn id="8" xr3:uid="{2E862DF0-5B48-469F-9CE4-BDBEF11C9796}" name="Actual Weekly Intensity [h]" dataDxfId="50" dataCellStyle="Good"/>
    <tableColumn id="9" xr3:uid="{E007EA51-E3B8-4B5E-B04D-776D525232C7}" name="Termination Date (Best)" dataDxfId="49" dataCellStyle="Good">
      <calculatedColumnFormula>EDATE(Logbook!$C$3,'Detailed Planning'!F5)</calculatedColumnFormula>
    </tableColumn>
    <tableColumn id="10" xr3:uid="{71F0CAF6-D6C3-43DE-A41C-85D4DA3C78E2}" name="Termination Date (Expected)" dataDxfId="48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47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4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45" dataDxfId="44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43"/>
    <tableColumn id="2" xr3:uid="{0BA13A88-2DB2-42F4-9C09-E56CF8590AED}" name="Importance (1-5)" dataDxfId="42"/>
    <tableColumn id="3" xr3:uid="{1A6917C2-468C-48ED-9177-AA8E25AD4AF8}" name="Deadline" dataDxfId="41"/>
    <tableColumn id="4" xr3:uid="{FEAE9DBB-3AC6-424C-9191-E939A3B53451}" name="Progress (1-5)" dataDxfId="40"/>
    <tableColumn id="5" xr3:uid="{999FE4F4-1750-4966-B8AA-6A4C8C62DCC5}" name="Priority" dataDxfId="39">
      <calculatedColumnFormula>C3 + MAX(0, (30-_xlfn.DAYS(D3, TODAY()))) + (10-E3)</calculatedColumnFormula>
    </tableColumn>
    <tableColumn id="6" xr3:uid="{75E8F6A4-CE29-4B38-8EFC-46F951A46AE3}" name="Status Description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37" dataDxfId="36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35"/>
    <tableColumn id="2" xr3:uid="{01AABBA1-86AF-4CDD-8059-B6B90931FA25}" name="Frequency" dataDxfId="34"/>
    <tableColumn id="4" xr3:uid="{7E9972C0-1274-4C43-9D4F-294C74FAC42E}" name="Previous Check" dataDxfId="33"/>
    <tableColumn id="3" xr3:uid="{FF1D2EE6-735A-4AB4-9038-F2B4580252C7}" name="Next Check" dataDxfId="32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1C24233-3A01-41BC-A78C-C789D9847465}" name="Table4" displayName="Table4" ref="B4:H370" totalsRowShown="0" headerRowDxfId="70" dataDxfId="69">
  <autoFilter ref="B4:H370" xr:uid="{91C24233-3A01-41BC-A78C-C789D9847465}"/>
  <tableColumns count="7">
    <tableColumn id="1" xr3:uid="{3E23BB62-68B4-4FBA-A373-11C1E38E313F}" name="Date" dataDxfId="68"/>
    <tableColumn id="2" xr3:uid="{65D050FD-6535-4F29-AAA4-B525868D6B21}" name="Day" dataDxfId="67">
      <calculatedColumnFormula>TEXT(B5, "dddd")</calculatedColumnFormula>
    </tableColumn>
    <tableColumn id="3" xr3:uid="{E7012887-737F-40D7-BF9A-6BD652A84D67}" name="Subject" dataDxfId="66"/>
    <tableColumn id="4" xr3:uid="{9415C0C0-EE9E-42FC-BE46-C2B8427DE145}" name="Pomodoro Blocks" dataDxfId="65"/>
    <tableColumn id="5" xr3:uid="{CB85953E-7AB1-4EDF-846E-F980390D815A}" name="Excedent Time (min)" dataDxfId="64"/>
    <tableColumn id="6" xr3:uid="{AF04C12E-A836-425D-B47C-2F9F9E621CC6}" name="Overall Time (min)" dataDxfId="63">
      <calculatedColumnFormula>E5*25+F5</calculatedColumnFormula>
    </tableColumn>
    <tableColumn id="7" xr3:uid="{B93B2EB6-757F-49FF-A92A-A4BE8BC9330E}" name="Overall Time" dataDxfId="62">
      <calculatedColumnFormula>ROUNDDOWN(G5/60, 0)&amp;"h"&amp;ROUNDUP((G5/60-ROUNDDOWN(G5/60, 0))*60,0)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31" headerRowBorderDxfId="30" tableBorderDxfId="29" totalsRowBorderDxfId="28">
  <autoFilter ref="B3:D7" xr:uid="{6A82D3A0-C9C6-4CC5-93AF-387804D1534E}"/>
  <tableColumns count="3">
    <tableColumn id="2" xr3:uid="{C82188A7-91BB-4892-990F-80EEDD116086}" name="Duration [min]" dataDxfId="27"/>
    <tableColumn id="3" xr3:uid="{257FEA3E-E906-47EB-888B-4DEEEF6D8878}" name="Block" dataDxfId="26"/>
    <tableColumn id="4" xr3:uid="{527EA0BB-9801-4FAC-8F42-CA26BDEE1F3B}" name="Description" dataDxfId="2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24" headerRowBorderDxfId="23" tableBorderDxfId="22" totalsRowBorderDxfId="21">
  <autoFilter ref="F3:H5" xr:uid="{8364237B-DD86-44AF-942F-8B66E19DA637}"/>
  <tableColumns count="3">
    <tableColumn id="1" xr3:uid="{62BF850A-C29F-410C-A5B4-15F22457F59F}" name="Duration [min]" dataDxfId="20"/>
    <tableColumn id="2" xr3:uid="{3C68A4B7-0799-4829-93E5-5A00844CC609}" name="Block" dataDxfId="19"/>
    <tableColumn id="3" xr3:uid="{B46AE227-4594-4C8D-9283-576CF7CBEDA5}" name="Descriptio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51" t="s">
        <v>79</v>
      </c>
      <c r="C2" s="152"/>
      <c r="D2" s="152"/>
      <c r="E2" s="152"/>
      <c r="F2" s="152"/>
      <c r="G2" s="152"/>
      <c r="H2" s="152"/>
      <c r="I2" s="152"/>
      <c r="J2" s="152"/>
      <c r="K2" s="152"/>
      <c r="L2" s="153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234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A18" zoomScale="106" workbookViewId="0">
      <selection activeCell="G46" sqref="G46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206</v>
      </c>
      <c r="F4" s="100" t="s">
        <v>44</v>
      </c>
      <c r="G4" s="100" t="s">
        <v>45</v>
      </c>
      <c r="H4" s="100" t="s">
        <v>207</v>
      </c>
      <c r="I4" s="100" t="s">
        <v>208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214</v>
      </c>
      <c r="C10" s="106" t="s">
        <v>215</v>
      </c>
      <c r="D10" s="106" t="s">
        <v>216</v>
      </c>
      <c r="E10" s="106" t="s">
        <v>217</v>
      </c>
      <c r="G10" s="156" t="s">
        <v>182</v>
      </c>
      <c r="H10" s="156"/>
      <c r="I10" s="156"/>
    </row>
    <row r="11" spans="2:11" ht="15.6" x14ac:dyDescent="0.3">
      <c r="B11" s="154" t="s">
        <v>85</v>
      </c>
      <c r="C11" s="155"/>
      <c r="D11" s="155"/>
      <c r="E11" s="155"/>
      <c r="G11" s="88" t="s">
        <v>105</v>
      </c>
      <c r="H11" s="88" t="s">
        <v>185</v>
      </c>
      <c r="I11" s="88" t="s">
        <v>186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184</v>
      </c>
      <c r="H12" t="s">
        <v>187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183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4" t="s">
        <v>95</v>
      </c>
      <c r="C16" s="155"/>
      <c r="D16" s="155"/>
      <c r="E16" s="155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4" t="s">
        <v>218</v>
      </c>
      <c r="C21" s="155"/>
      <c r="D21" s="155"/>
      <c r="E21" s="155"/>
      <c r="F21" s="45"/>
      <c r="G21" s="45"/>
      <c r="H21" s="45"/>
      <c r="I21" s="45"/>
      <c r="J21" s="45"/>
      <c r="K21" s="45"/>
    </row>
    <row r="22" spans="2:11" x14ac:dyDescent="0.3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4" t="s">
        <v>237</v>
      </c>
      <c r="C25" s="155"/>
      <c r="D25" s="155"/>
      <c r="E25" s="155"/>
      <c r="F25" s="45"/>
      <c r="G25" s="45"/>
      <c r="H25" s="45"/>
      <c r="I25" s="45"/>
      <c r="J25" s="45"/>
      <c r="K25" s="45"/>
    </row>
    <row r="26" spans="2:11" ht="15" thickBot="1" x14ac:dyDescent="0.35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30" t="s">
        <v>219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220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221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222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223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224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225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36" t="s">
        <v>226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" thickBot="1" x14ac:dyDescent="0.35">
      <c r="B35" s="141" t="s">
        <v>229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219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220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221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222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6" t="s">
        <v>223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227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228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3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3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" thickBot="1" x14ac:dyDescent="0.35">
      <c r="B48" s="124" t="s">
        <v>235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3">
      <c r="B49" s="100" t="s">
        <v>236</v>
      </c>
      <c r="C49" s="147">
        <v>46225</v>
      </c>
      <c r="D49" s="147">
        <v>46225</v>
      </c>
      <c r="E49" s="148">
        <f t="shared" si="4"/>
        <v>1</v>
      </c>
    </row>
    <row r="50" spans="2:5" x14ac:dyDescent="0.3">
      <c r="B50" s="154" t="s">
        <v>53</v>
      </c>
      <c r="C50" s="155"/>
      <c r="D50" s="155"/>
      <c r="E50" s="155"/>
    </row>
    <row r="51" spans="2:5" x14ac:dyDescent="0.3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3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3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3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3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3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3">
      <c r="B57" s="154" t="s">
        <v>101</v>
      </c>
      <c r="C57" s="155"/>
      <c r="D57" s="155"/>
      <c r="E57" s="155"/>
    </row>
    <row r="58" spans="2:5" x14ac:dyDescent="0.3">
      <c r="B58" s="76" t="s">
        <v>87</v>
      </c>
      <c r="C58" s="46"/>
      <c r="D58" s="46"/>
      <c r="E58" s="109">
        <f>_xlfn.DAYS(D58, C58)+1</f>
        <v>1</v>
      </c>
    </row>
    <row r="59" spans="2:5" x14ac:dyDescent="0.3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3">
      <c r="B60" s="76" t="s">
        <v>91</v>
      </c>
      <c r="C60" s="46"/>
      <c r="D60" s="46"/>
      <c r="E60" s="109">
        <f t="shared" si="6"/>
        <v>1</v>
      </c>
    </row>
    <row r="61" spans="2:5" x14ac:dyDescent="0.3">
      <c r="B61" s="76" t="s">
        <v>92</v>
      </c>
      <c r="C61" s="46"/>
      <c r="D61" s="46"/>
      <c r="E61" s="109">
        <f t="shared" si="6"/>
        <v>1</v>
      </c>
    </row>
    <row r="62" spans="2:5" x14ac:dyDescent="0.3">
      <c r="B62" s="76" t="s">
        <v>94</v>
      </c>
      <c r="C62" s="46"/>
      <c r="D62" s="46"/>
      <c r="E62" s="109">
        <f t="shared" si="6"/>
        <v>1</v>
      </c>
    </row>
    <row r="63" spans="2:5" x14ac:dyDescent="0.3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7" activePane="bottomRight" state="frozen"/>
      <selection pane="topRight" activeCell="C1" sqref="C1"/>
      <selection pane="bottomLeft" activeCell="A4" sqref="A4"/>
      <selection pane="bottomRight" activeCell="K26" sqref="K26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7" t="s">
        <v>34</v>
      </c>
      <c r="K3" s="158"/>
    </row>
    <row r="4" spans="3:11" ht="40.200000000000003" x14ac:dyDescent="0.3">
      <c r="C4" s="16" t="s">
        <v>205</v>
      </c>
      <c r="D4" s="22" t="s">
        <v>205</v>
      </c>
      <c r="E4" s="22" t="s">
        <v>205</v>
      </c>
      <c r="F4" s="22" t="s">
        <v>205</v>
      </c>
      <c r="G4" s="22" t="s">
        <v>205</v>
      </c>
      <c r="H4" s="22" t="s">
        <v>205</v>
      </c>
      <c r="I4" s="17" t="s">
        <v>205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162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164</v>
      </c>
      <c r="J7" s="59"/>
      <c r="K7" s="60"/>
    </row>
    <row r="8" spans="3:11" ht="41.4" x14ac:dyDescent="0.3">
      <c r="C8" s="5" t="s">
        <v>37</v>
      </c>
      <c r="D8" s="21" t="s">
        <v>195</v>
      </c>
      <c r="E8" s="3" t="s">
        <v>195</v>
      </c>
      <c r="F8" s="3" t="s">
        <v>37</v>
      </c>
      <c r="G8" s="3" t="s">
        <v>37</v>
      </c>
      <c r="H8" s="3" t="s">
        <v>39</v>
      </c>
      <c r="I8" s="41" t="s">
        <v>165</v>
      </c>
      <c r="J8" s="59"/>
      <c r="K8" s="60"/>
    </row>
    <row r="9" spans="3:11" ht="41.4" x14ac:dyDescent="0.3">
      <c r="C9" s="14" t="s">
        <v>38</v>
      </c>
      <c r="D9" s="20" t="s">
        <v>196</v>
      </c>
      <c r="E9" s="20" t="s">
        <v>196</v>
      </c>
      <c r="F9" s="15" t="s">
        <v>38</v>
      </c>
      <c r="G9" s="15" t="s">
        <v>38</v>
      </c>
      <c r="H9" s="15" t="s">
        <v>40</v>
      </c>
      <c r="I9" s="42" t="s">
        <v>166</v>
      </c>
      <c r="J9" s="59"/>
      <c r="K9" s="60"/>
    </row>
    <row r="10" spans="3:11" ht="41.4" x14ac:dyDescent="0.3">
      <c r="C10" s="5" t="s">
        <v>171</v>
      </c>
      <c r="D10" s="21" t="s">
        <v>197</v>
      </c>
      <c r="E10" s="21" t="s">
        <v>197</v>
      </c>
      <c r="F10" s="3" t="s">
        <v>171</v>
      </c>
      <c r="G10" s="3" t="s">
        <v>171</v>
      </c>
      <c r="H10" s="3" t="s">
        <v>161</v>
      </c>
      <c r="I10" s="41" t="s">
        <v>22</v>
      </c>
      <c r="J10" s="59"/>
      <c r="K10" s="60"/>
    </row>
    <row r="11" spans="3:11" ht="41.4" x14ac:dyDescent="0.3">
      <c r="C11" s="101" t="s">
        <v>190</v>
      </c>
      <c r="D11" s="15" t="s">
        <v>198</v>
      </c>
      <c r="E11" s="15" t="s">
        <v>198</v>
      </c>
      <c r="F11" s="15" t="s">
        <v>190</v>
      </c>
      <c r="G11" s="15" t="s">
        <v>190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188</v>
      </c>
      <c r="D12" s="3" t="s">
        <v>199</v>
      </c>
      <c r="E12" s="3" t="s">
        <v>199</v>
      </c>
      <c r="F12" s="23" t="s">
        <v>188</v>
      </c>
      <c r="G12" s="23" t="s">
        <v>188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209</v>
      </c>
      <c r="I13" s="42" t="s">
        <v>25</v>
      </c>
      <c r="J13" s="59"/>
      <c r="K13" s="60"/>
    </row>
    <row r="14" spans="3:11" ht="41.4" x14ac:dyDescent="0.3">
      <c r="C14" s="5" t="s">
        <v>189</v>
      </c>
      <c r="D14" s="3" t="s">
        <v>189</v>
      </c>
      <c r="E14" s="3" t="s">
        <v>189</v>
      </c>
      <c r="F14" s="3" t="s">
        <v>189</v>
      </c>
      <c r="G14" s="3" t="s">
        <v>189</v>
      </c>
      <c r="H14" s="3" t="s">
        <v>210</v>
      </c>
      <c r="I14" s="3" t="s">
        <v>209</v>
      </c>
      <c r="J14" s="59"/>
      <c r="K14" s="60"/>
    </row>
    <row r="15" spans="3:11" ht="41.4" x14ac:dyDescent="0.3">
      <c r="C15" s="14" t="s">
        <v>192</v>
      </c>
      <c r="D15" s="15" t="s">
        <v>200</v>
      </c>
      <c r="E15" s="15" t="s">
        <v>200</v>
      </c>
      <c r="F15" s="15" t="s">
        <v>191</v>
      </c>
      <c r="G15" s="15" t="s">
        <v>192</v>
      </c>
      <c r="H15" s="15" t="s">
        <v>193</v>
      </c>
      <c r="I15" s="15" t="s">
        <v>210</v>
      </c>
      <c r="J15" s="59"/>
      <c r="K15" s="60"/>
    </row>
    <row r="16" spans="3:11" ht="41.4" x14ac:dyDescent="0.3">
      <c r="C16" s="5" t="s">
        <v>193</v>
      </c>
      <c r="D16" s="3" t="s">
        <v>201</v>
      </c>
      <c r="E16" s="3" t="s">
        <v>203</v>
      </c>
      <c r="F16" s="3" t="s">
        <v>26</v>
      </c>
      <c r="G16" s="3" t="s">
        <v>193</v>
      </c>
      <c r="H16" s="3" t="s">
        <v>28</v>
      </c>
      <c r="I16" s="3" t="s">
        <v>193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204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163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202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211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ref="K27" si="5">ROUNDDOWN(J27,0)&amp;"h"&amp;ROUND((J27-ROUNDDOWN(J27,0))*60,0)</f>
        <v>10h35</v>
      </c>
    </row>
    <row r="28" spans="2:11" ht="21" x14ac:dyDescent="0.3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194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FD5" activePane="bottomRight" state="frozen"/>
      <selection pane="topRight" activeCell="C1" sqref="C1"/>
      <selection pane="bottomLeft" activeCell="A5" sqref="A5"/>
      <selection pane="bottomRight" activeCell="FF10" sqref="FF10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61" t="str">
        <f>"Week "&amp;ROUNDDOWN(C4/7,0)+1</f>
        <v>Week 1</v>
      </c>
      <c r="D2" s="162"/>
      <c r="E2" s="162"/>
      <c r="F2" s="162"/>
      <c r="G2" s="162"/>
      <c r="H2" s="162"/>
      <c r="I2" s="162"/>
      <c r="J2" s="161" t="str">
        <f>"Week "&amp;ROUNDDOWN(J4/7,0)+1</f>
        <v>Week 2</v>
      </c>
      <c r="K2" s="162"/>
      <c r="L2" s="162"/>
      <c r="M2" s="162"/>
      <c r="N2" s="162"/>
      <c r="O2" s="162"/>
      <c r="P2" s="162"/>
      <c r="Q2" s="161" t="str">
        <f>"Week "&amp;ROUNDDOWN(Q4/7,0)+1</f>
        <v>Week 3</v>
      </c>
      <c r="R2" s="162"/>
      <c r="S2" s="162"/>
      <c r="T2" s="162"/>
      <c r="U2" s="162"/>
      <c r="V2" s="162"/>
      <c r="W2" s="162"/>
      <c r="X2" s="161" t="str">
        <f>"Week "&amp;ROUNDDOWN(X4/7,0)+1</f>
        <v>Week 4</v>
      </c>
      <c r="Y2" s="162"/>
      <c r="Z2" s="162"/>
      <c r="AA2" s="162"/>
      <c r="AB2" s="162"/>
      <c r="AC2" s="162"/>
      <c r="AD2" s="162"/>
      <c r="AE2" s="161" t="str">
        <f>"Week "&amp;ROUNDDOWN(AE4/7,0)+1</f>
        <v>Week 5</v>
      </c>
      <c r="AF2" s="162"/>
      <c r="AG2" s="162"/>
      <c r="AH2" s="162"/>
      <c r="AI2" s="162"/>
      <c r="AJ2" s="162"/>
      <c r="AK2" s="162"/>
      <c r="AL2" s="161" t="str">
        <f>"Week "&amp;ROUNDDOWN(AL4/7,0)+1</f>
        <v>Week 6</v>
      </c>
      <c r="AM2" s="162"/>
      <c r="AN2" s="162"/>
      <c r="AO2" s="162"/>
      <c r="AP2" s="162"/>
      <c r="AQ2" s="162"/>
      <c r="AR2" s="162"/>
      <c r="AS2" s="161" t="str">
        <f>"Week "&amp;ROUNDDOWN(AS4/7,0)+1</f>
        <v>Week 7</v>
      </c>
      <c r="AT2" s="162"/>
      <c r="AU2" s="162"/>
      <c r="AV2" s="162"/>
      <c r="AW2" s="162"/>
      <c r="AX2" s="162"/>
      <c r="AY2" s="162"/>
      <c r="AZ2" s="161" t="str">
        <f>"Week "&amp;ROUNDDOWN(AZ4/7,0)+1</f>
        <v>Week 8</v>
      </c>
      <c r="BA2" s="162"/>
      <c r="BB2" s="162"/>
      <c r="BC2" s="162"/>
      <c r="BD2" s="162"/>
      <c r="BE2" s="162"/>
      <c r="BF2" s="162"/>
      <c r="BG2" s="161" t="str">
        <f>"Week "&amp;ROUNDDOWN(BG4/7,0)+1</f>
        <v>Week 9</v>
      </c>
      <c r="BH2" s="162"/>
      <c r="BI2" s="162"/>
      <c r="BJ2" s="162"/>
      <c r="BK2" s="162"/>
      <c r="BL2" s="162"/>
      <c r="BM2" s="162"/>
      <c r="BN2" s="161" t="str">
        <f>"Week "&amp;ROUNDDOWN(BN4/7,0)+1</f>
        <v>Week 10</v>
      </c>
      <c r="BO2" s="162"/>
      <c r="BP2" s="162"/>
      <c r="BQ2" s="162"/>
      <c r="BR2" s="162"/>
      <c r="BS2" s="162"/>
      <c r="BT2" s="162"/>
      <c r="BU2" s="161" t="str">
        <f>"Week "&amp;ROUNDDOWN(BU4/7,0)+1</f>
        <v>Week 11</v>
      </c>
      <c r="BV2" s="162"/>
      <c r="BW2" s="162"/>
      <c r="BX2" s="162"/>
      <c r="BY2" s="162"/>
      <c r="BZ2" s="162"/>
      <c r="CA2" s="162"/>
      <c r="CB2" s="161" t="str">
        <f>"Week "&amp;ROUNDDOWN(CB4/7,0)+1</f>
        <v>Week 12</v>
      </c>
      <c r="CC2" s="162"/>
      <c r="CD2" s="162"/>
      <c r="CE2" s="162"/>
      <c r="CF2" s="162"/>
      <c r="CG2" s="162"/>
      <c r="CH2" s="162"/>
      <c r="CI2" s="161" t="str">
        <f>"Week "&amp;ROUNDDOWN(CI4/7,0)+1</f>
        <v>Week 13</v>
      </c>
      <c r="CJ2" s="162"/>
      <c r="CK2" s="162"/>
      <c r="CL2" s="162"/>
      <c r="CM2" s="162"/>
      <c r="CN2" s="162"/>
      <c r="CO2" s="162"/>
      <c r="CP2" s="161" t="str">
        <f>"Week "&amp;ROUNDDOWN(CP4/7,0)+1</f>
        <v>Week 14</v>
      </c>
      <c r="CQ2" s="162"/>
      <c r="CR2" s="162"/>
      <c r="CS2" s="162"/>
      <c r="CT2" s="162"/>
      <c r="CU2" s="162"/>
      <c r="CV2" s="162"/>
      <c r="CW2" s="161" t="str">
        <f>"Week "&amp;ROUNDDOWN(CW4/7,0)+1</f>
        <v>Week 15</v>
      </c>
      <c r="CX2" s="162"/>
      <c r="CY2" s="162"/>
      <c r="CZ2" s="162"/>
      <c r="DA2" s="162"/>
      <c r="DB2" s="162"/>
      <c r="DC2" s="162"/>
      <c r="DD2" s="161" t="str">
        <f>"Week "&amp;ROUNDDOWN(DD4/7,0)+1</f>
        <v>Week 16</v>
      </c>
      <c r="DE2" s="162"/>
      <c r="DF2" s="162"/>
      <c r="DG2" s="162"/>
      <c r="DH2" s="162"/>
      <c r="DI2" s="162"/>
      <c r="DJ2" s="162"/>
      <c r="DK2" s="161" t="str">
        <f>"Week "&amp;ROUNDDOWN(DK4/7,0)+1</f>
        <v>Week 17</v>
      </c>
      <c r="DL2" s="162"/>
      <c r="DM2" s="162"/>
      <c r="DN2" s="162"/>
      <c r="DO2" s="162"/>
      <c r="DP2" s="162"/>
      <c r="DQ2" s="162"/>
      <c r="DR2" s="161" t="str">
        <f>"Week "&amp;ROUNDDOWN(DR4/7,0)+1</f>
        <v>Week 18</v>
      </c>
      <c r="DS2" s="162"/>
      <c r="DT2" s="162"/>
      <c r="DU2" s="162"/>
      <c r="DV2" s="162"/>
      <c r="DW2" s="162"/>
      <c r="DX2" s="162"/>
      <c r="DY2" s="161" t="str">
        <f>"Week "&amp;ROUNDDOWN(DY4/7,0)+1</f>
        <v>Week 19</v>
      </c>
      <c r="DZ2" s="162"/>
      <c r="EA2" s="162"/>
      <c r="EB2" s="162"/>
      <c r="EC2" s="162"/>
      <c r="ED2" s="162"/>
      <c r="EE2" s="162"/>
      <c r="EF2" s="161" t="str">
        <f>"Week "&amp;ROUNDDOWN(EF4/7,0)+1</f>
        <v>Week 20</v>
      </c>
      <c r="EG2" s="162"/>
      <c r="EH2" s="162"/>
      <c r="EI2" s="162"/>
      <c r="EJ2" s="162"/>
      <c r="EK2" s="162"/>
      <c r="EL2" s="162"/>
      <c r="EM2" s="161" t="str">
        <f>"Week "&amp;ROUNDDOWN(EM4/7,0)+1</f>
        <v>Week 21</v>
      </c>
      <c r="EN2" s="162"/>
      <c r="EO2" s="162"/>
      <c r="EP2" s="162"/>
      <c r="EQ2" s="162"/>
      <c r="ER2" s="162"/>
      <c r="ES2" s="162"/>
      <c r="ET2" s="161" t="str">
        <f>"Week "&amp;ROUNDDOWN(ET4/7,0)+1</f>
        <v>Week 22</v>
      </c>
      <c r="EU2" s="162"/>
      <c r="EV2" s="162"/>
      <c r="EW2" s="162"/>
      <c r="EX2" s="162"/>
      <c r="EY2" s="162"/>
      <c r="EZ2" s="162"/>
      <c r="FA2" s="161" t="str">
        <f>"Week "&amp;ROUNDDOWN(FA4/7,0)+1</f>
        <v>Week 23</v>
      </c>
      <c r="FB2" s="162"/>
      <c r="FC2" s="162"/>
      <c r="FD2" s="162"/>
      <c r="FE2" s="162"/>
      <c r="FF2" s="162"/>
      <c r="FG2" s="162"/>
      <c r="FH2" s="161" t="str">
        <f>"Week "&amp;ROUNDDOWN(FH4/7,0)+1</f>
        <v>Week 24</v>
      </c>
      <c r="FI2" s="162"/>
      <c r="FJ2" s="162"/>
      <c r="FK2" s="162"/>
      <c r="FL2" s="162"/>
      <c r="FM2" s="162"/>
      <c r="FN2" s="162"/>
      <c r="FO2" s="161" t="str">
        <f>"Week "&amp;ROUNDDOWN(FO4/7,0)+1</f>
        <v>Week 25</v>
      </c>
      <c r="FP2" s="162"/>
      <c r="FQ2" s="162"/>
      <c r="FR2" s="162"/>
      <c r="FS2" s="162"/>
      <c r="FT2" s="162"/>
      <c r="FU2" s="162"/>
      <c r="FV2" s="161" t="str">
        <f>"Week "&amp;ROUNDDOWN(FV4/7,0)+1</f>
        <v>Week 26</v>
      </c>
      <c r="FW2" s="162"/>
      <c r="FX2" s="162"/>
      <c r="FY2" s="162"/>
      <c r="FZ2" s="162"/>
      <c r="GA2" s="162"/>
      <c r="GB2" s="162"/>
      <c r="GC2" s="161" t="str">
        <f>"Week "&amp;ROUNDDOWN(GC4/7,0)+1</f>
        <v>Week 27</v>
      </c>
      <c r="GD2" s="162"/>
      <c r="GE2" s="162"/>
      <c r="GF2" s="162"/>
      <c r="GG2" s="162"/>
      <c r="GH2" s="162"/>
      <c r="GI2" s="162"/>
      <c r="GJ2" s="161" t="str">
        <f>"Week "&amp;ROUNDDOWN(GJ4/7,0)+1</f>
        <v>Week 28</v>
      </c>
      <c r="GK2" s="162"/>
      <c r="GL2" s="162"/>
      <c r="GM2" s="162"/>
      <c r="GN2" s="162"/>
      <c r="GO2" s="162"/>
      <c r="GP2" s="162"/>
      <c r="GQ2" s="161" t="str">
        <f>"Week "&amp;ROUNDDOWN(GQ4/7,0)+1</f>
        <v>Week 29</v>
      </c>
      <c r="GR2" s="162"/>
      <c r="GS2" s="162"/>
      <c r="GT2" s="162"/>
      <c r="GU2" s="162"/>
      <c r="GV2" s="162"/>
      <c r="GW2" s="162"/>
      <c r="GX2" s="161" t="str">
        <f>"Week "&amp;ROUNDDOWN(GX4/7,0)+1</f>
        <v>Week 30</v>
      </c>
      <c r="GY2" s="162"/>
      <c r="GZ2" s="162"/>
      <c r="HA2" s="162"/>
      <c r="HB2" s="162"/>
      <c r="HC2" s="162"/>
      <c r="HD2" s="162"/>
      <c r="HE2" s="161" t="str">
        <f>"Week "&amp;ROUNDDOWN(HE4/7,0)+1</f>
        <v>Week 31</v>
      </c>
      <c r="HF2" s="162"/>
      <c r="HG2" s="162"/>
      <c r="HH2" s="162"/>
      <c r="HI2" s="162"/>
      <c r="HJ2" s="162"/>
      <c r="HK2" s="162"/>
      <c r="HL2" s="161" t="str">
        <f>"Week "&amp;ROUNDDOWN(HL4/7,0)+1</f>
        <v>Week 32</v>
      </c>
      <c r="HM2" s="162"/>
      <c r="HN2" s="162"/>
      <c r="HO2" s="162"/>
      <c r="HP2" s="162"/>
      <c r="HQ2" s="162"/>
      <c r="HR2" s="162"/>
      <c r="HS2" s="161" t="str">
        <f>"Week "&amp;ROUNDDOWN(HS4/7,0)+1</f>
        <v>Week 33</v>
      </c>
      <c r="HT2" s="162"/>
      <c r="HU2" s="162"/>
      <c r="HV2" s="162"/>
      <c r="HW2" s="162"/>
      <c r="HX2" s="162"/>
      <c r="HY2" s="162"/>
      <c r="HZ2" s="161" t="str">
        <f>"Week "&amp;ROUNDDOWN(HZ4/7,0)+1</f>
        <v>Week 34</v>
      </c>
      <c r="IA2" s="162"/>
      <c r="IB2" s="162"/>
      <c r="IC2" s="162"/>
      <c r="ID2" s="162"/>
      <c r="IE2" s="162"/>
      <c r="IF2" s="162"/>
      <c r="IG2" s="161" t="str">
        <f>"Week "&amp;ROUNDDOWN(IG4/7,0)+1</f>
        <v>Week 35</v>
      </c>
      <c r="IH2" s="162"/>
      <c r="II2" s="162"/>
      <c r="IJ2" s="162"/>
      <c r="IK2" s="162"/>
      <c r="IL2" s="162"/>
      <c r="IM2" s="162"/>
      <c r="IN2" s="161" t="str">
        <f>"Week "&amp;ROUNDDOWN(IN4/7,0)+1</f>
        <v>Week 36</v>
      </c>
      <c r="IO2" s="162"/>
      <c r="IP2" s="162"/>
      <c r="IQ2" s="162"/>
      <c r="IR2" s="162"/>
      <c r="IS2" s="162"/>
      <c r="IT2" s="162"/>
      <c r="IU2" s="161" t="str">
        <f>"Week "&amp;ROUNDDOWN(IU4/7,0)+1</f>
        <v>Week 37</v>
      </c>
      <c r="IV2" s="162"/>
      <c r="IW2" s="162"/>
      <c r="IX2" s="162"/>
      <c r="IY2" s="162"/>
      <c r="IZ2" s="162"/>
      <c r="JA2" s="162"/>
      <c r="JB2" s="161" t="str">
        <f>"Week "&amp;ROUNDDOWN(JB4/7,0)+1</f>
        <v>Week 38</v>
      </c>
      <c r="JC2" s="162"/>
      <c r="JD2" s="162"/>
      <c r="JE2" s="162"/>
      <c r="JF2" s="162"/>
      <c r="JG2" s="162"/>
      <c r="JH2" s="162"/>
      <c r="JI2" s="161" t="str">
        <f>"Week "&amp;ROUNDDOWN(JI4/7,0)+1</f>
        <v>Week 39</v>
      </c>
      <c r="JJ2" s="162"/>
      <c r="JK2" s="162"/>
      <c r="JL2" s="162"/>
      <c r="JM2" s="162"/>
      <c r="JN2" s="162"/>
      <c r="JO2" s="162"/>
      <c r="JP2" s="161" t="str">
        <f>"Week "&amp;ROUNDDOWN(JP4/7,0)+1</f>
        <v>Week 40</v>
      </c>
      <c r="JQ2" s="162"/>
      <c r="JR2" s="162"/>
      <c r="JS2" s="162"/>
      <c r="JT2" s="162"/>
      <c r="JU2" s="162"/>
      <c r="JV2" s="162"/>
      <c r="JW2" s="161" t="str">
        <f>"Week "&amp;ROUNDDOWN(JW4/7,0)+1</f>
        <v>Week 41</v>
      </c>
      <c r="JX2" s="162"/>
      <c r="JY2" s="162"/>
      <c r="JZ2" s="162"/>
      <c r="KA2" s="162"/>
      <c r="KB2" s="162"/>
      <c r="KC2" s="162"/>
      <c r="KD2" s="161" t="str">
        <f>"Week "&amp;ROUNDDOWN(KD4/7,0)+1</f>
        <v>Week 42</v>
      </c>
      <c r="KE2" s="162"/>
      <c r="KF2" s="162"/>
      <c r="KG2" s="162"/>
      <c r="KH2" s="162"/>
      <c r="KI2" s="162"/>
      <c r="KJ2" s="162"/>
      <c r="KK2" s="161" t="str">
        <f>"Week "&amp;ROUNDDOWN(KK4/7,0)+1</f>
        <v>Week 43</v>
      </c>
      <c r="KL2" s="162"/>
      <c r="KM2" s="162"/>
      <c r="KN2" s="162"/>
      <c r="KO2" s="162"/>
      <c r="KP2" s="162"/>
      <c r="KQ2" s="162"/>
      <c r="KR2" s="161" t="str">
        <f>"Week "&amp;ROUNDDOWN(KR4/7,0)+1</f>
        <v>Week 44</v>
      </c>
      <c r="KS2" s="162"/>
      <c r="KT2" s="162"/>
      <c r="KU2" s="162"/>
      <c r="KV2" s="162"/>
      <c r="KW2" s="162"/>
      <c r="KX2" s="162"/>
      <c r="KY2" s="161" t="str">
        <f>"Week "&amp;ROUNDDOWN(KY4/7,0)+1</f>
        <v>Week 45</v>
      </c>
      <c r="KZ2" s="162"/>
      <c r="LA2" s="162"/>
      <c r="LB2" s="162"/>
      <c r="LC2" s="162"/>
      <c r="LD2" s="162"/>
      <c r="LE2" s="162"/>
      <c r="LF2" s="161" t="str">
        <f>"Week "&amp;ROUNDDOWN(LF4/7,0)+1</f>
        <v>Week 46</v>
      </c>
      <c r="LG2" s="162"/>
      <c r="LH2" s="162"/>
      <c r="LI2" s="162"/>
      <c r="LJ2" s="162"/>
      <c r="LK2" s="162"/>
      <c r="LL2" s="162"/>
      <c r="LM2" s="161" t="str">
        <f>"Week "&amp;ROUNDDOWN(LM4/7,0)+1</f>
        <v>Week 47</v>
      </c>
      <c r="LN2" s="162"/>
      <c r="LO2" s="162"/>
      <c r="LP2" s="162"/>
      <c r="LQ2" s="162"/>
      <c r="LR2" s="162"/>
      <c r="LS2" s="162"/>
      <c r="LT2" s="161" t="str">
        <f>"Week "&amp;ROUNDDOWN(LT4/7,0)+1</f>
        <v>Week 48</v>
      </c>
      <c r="LU2" s="162"/>
      <c r="LV2" s="162"/>
      <c r="LW2" s="162"/>
      <c r="LX2" s="162"/>
      <c r="LY2" s="162"/>
      <c r="LZ2" s="162"/>
      <c r="MA2" s="161" t="str">
        <f>"Week "&amp;ROUNDDOWN(MA4/7,0)+1</f>
        <v>Week 49</v>
      </c>
      <c r="MB2" s="162"/>
      <c r="MC2" s="162"/>
      <c r="MD2" s="162"/>
      <c r="ME2" s="162"/>
      <c r="MF2" s="162"/>
      <c r="MG2" s="162"/>
      <c r="MH2" s="161" t="str">
        <f>"Week "&amp;ROUNDDOWN(MH4/7,0)+1</f>
        <v>Week 50</v>
      </c>
      <c r="MI2" s="162"/>
      <c r="MJ2" s="162"/>
      <c r="MK2" s="162"/>
      <c r="ML2" s="162"/>
      <c r="MM2" s="162"/>
      <c r="MN2" s="162"/>
      <c r="MO2" s="161" t="str">
        <f>"Week "&amp;ROUNDDOWN(MO4/7,0)+1</f>
        <v>Week 51</v>
      </c>
      <c r="MP2" s="162"/>
      <c r="MQ2" s="162"/>
      <c r="MR2" s="162"/>
      <c r="MS2" s="162"/>
      <c r="MT2" s="162"/>
      <c r="MU2" s="162"/>
      <c r="MV2" s="161" t="str">
        <f>"Week "&amp;ROUNDDOWN(MV4/7,0)+1</f>
        <v>Week 52</v>
      </c>
      <c r="MW2" s="162"/>
      <c r="MX2" s="162"/>
      <c r="MY2" s="162"/>
      <c r="MZ2" s="162"/>
      <c r="NA2" s="162"/>
      <c r="NB2" s="162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231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</row>
    <row r="6" spans="1:367" ht="57.75" customHeight="1" x14ac:dyDescent="0.3">
      <c r="A6" s="159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</row>
    <row r="7" spans="1:367" ht="46.5" customHeight="1" x14ac:dyDescent="0.3">
      <c r="A7" s="163"/>
      <c r="B7" s="24" t="s">
        <v>213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</row>
    <row r="8" spans="1:367" ht="33" customHeight="1" x14ac:dyDescent="0.3">
      <c r="A8" s="159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</row>
    <row r="9" spans="1:367" ht="31.5" customHeight="1" x14ac:dyDescent="0.3">
      <c r="A9" s="160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</row>
    <row r="10" spans="1:367" ht="99" customHeight="1" x14ac:dyDescent="0.3">
      <c r="A10" s="44" t="s">
        <v>212</v>
      </c>
      <c r="B10" s="44" t="s">
        <v>212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11" priority="1" operator="equal">
      <formula>"---None---"</formula>
    </cfRule>
    <cfRule type="cellIs" dxfId="10" priority="2" operator="equal">
      <formula>"Not Scheduled"</formula>
    </cfRule>
    <cfRule type="cellIs" dxfId="9" priority="3" operator="equal">
      <formula>"Missed"</formula>
    </cfRule>
    <cfRule type="cellIs" dxfId="8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145</v>
      </c>
    </row>
    <row r="3" spans="2:7" x14ac:dyDescent="0.3">
      <c r="B3" s="73" t="s">
        <v>112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102</v>
      </c>
      <c r="G3" s="83"/>
    </row>
    <row r="4" spans="2:7" x14ac:dyDescent="0.3">
      <c r="B4" s="73" t="s">
        <v>144</v>
      </c>
      <c r="C4" s="73">
        <v>3</v>
      </c>
      <c r="D4" s="74">
        <v>46138</v>
      </c>
      <c r="E4" s="73">
        <v>3</v>
      </c>
      <c r="F4" s="73">
        <f t="shared" ca="1" si="0"/>
        <v>98</v>
      </c>
      <c r="G4" s="83"/>
    </row>
    <row r="5" spans="2:7" x14ac:dyDescent="0.3">
      <c r="B5" s="73" t="s">
        <v>118</v>
      </c>
      <c r="C5" s="73">
        <v>3</v>
      </c>
      <c r="D5" s="74">
        <v>46144</v>
      </c>
      <c r="E5" s="73">
        <v>0</v>
      </c>
      <c r="F5" s="73">
        <f t="shared" ca="1" si="0"/>
        <v>95</v>
      </c>
      <c r="G5" s="83"/>
    </row>
    <row r="6" spans="2:7" x14ac:dyDescent="0.3">
      <c r="B6" s="73" t="s">
        <v>120</v>
      </c>
      <c r="C6" s="73">
        <v>3</v>
      </c>
      <c r="D6" s="74">
        <v>46144</v>
      </c>
      <c r="E6" s="73">
        <v>0</v>
      </c>
      <c r="F6" s="73">
        <f t="shared" ca="1" si="0"/>
        <v>95</v>
      </c>
      <c r="G6" s="83"/>
    </row>
    <row r="7" spans="2:7" x14ac:dyDescent="0.3">
      <c r="B7" s="73" t="s">
        <v>110</v>
      </c>
      <c r="C7" s="73">
        <v>2</v>
      </c>
      <c r="D7" s="74">
        <v>46145</v>
      </c>
      <c r="E7" s="73">
        <v>0</v>
      </c>
      <c r="F7" s="73">
        <f t="shared" ca="1" si="0"/>
        <v>93</v>
      </c>
      <c r="G7" s="83"/>
    </row>
    <row r="8" spans="2:7" x14ac:dyDescent="0.3">
      <c r="B8" s="73" t="s">
        <v>158</v>
      </c>
      <c r="C8" s="73">
        <v>3</v>
      </c>
      <c r="D8" s="74">
        <v>46151</v>
      </c>
      <c r="E8" s="73">
        <v>0</v>
      </c>
      <c r="F8" s="73">
        <f t="shared" ca="1" si="0"/>
        <v>88</v>
      </c>
      <c r="G8" s="83"/>
    </row>
    <row r="9" spans="2:7" x14ac:dyDescent="0.3">
      <c r="B9" s="73" t="s">
        <v>116</v>
      </c>
      <c r="C9" s="73">
        <v>3</v>
      </c>
      <c r="D9" s="74">
        <v>46151</v>
      </c>
      <c r="E9" s="73">
        <v>0</v>
      </c>
      <c r="F9" s="73">
        <f t="shared" ca="1" si="0"/>
        <v>88</v>
      </c>
      <c r="G9" s="83"/>
    </row>
    <row r="10" spans="2:7" x14ac:dyDescent="0.3">
      <c r="B10" s="73" t="s">
        <v>114</v>
      </c>
      <c r="C10" s="73">
        <v>3</v>
      </c>
      <c r="D10" s="74">
        <v>46151</v>
      </c>
      <c r="E10" s="73">
        <v>0</v>
      </c>
      <c r="F10" s="73">
        <f t="shared" ca="1" si="0"/>
        <v>88</v>
      </c>
      <c r="G10" s="83"/>
    </row>
    <row r="11" spans="2:7" x14ac:dyDescent="0.3">
      <c r="B11" s="73" t="s">
        <v>119</v>
      </c>
      <c r="C11" s="73">
        <v>2</v>
      </c>
      <c r="D11" s="74">
        <v>46152</v>
      </c>
      <c r="E11" s="73">
        <v>0</v>
      </c>
      <c r="F11" s="73">
        <f t="shared" ca="1" si="0"/>
        <v>86</v>
      </c>
      <c r="G11" s="83"/>
    </row>
    <row r="12" spans="2:7" x14ac:dyDescent="0.3">
      <c r="B12" s="73" t="s">
        <v>113</v>
      </c>
      <c r="C12" s="73">
        <v>2</v>
      </c>
      <c r="D12" s="74">
        <v>46152</v>
      </c>
      <c r="E12" s="73">
        <v>0</v>
      </c>
      <c r="F12" s="73">
        <f t="shared" ca="1" si="0"/>
        <v>86</v>
      </c>
      <c r="G12" s="83"/>
    </row>
    <row r="13" spans="2:7" x14ac:dyDescent="0.3">
      <c r="B13" s="73" t="s">
        <v>121</v>
      </c>
      <c r="C13" s="73">
        <v>1</v>
      </c>
      <c r="D13" s="74">
        <v>46152</v>
      </c>
      <c r="E13" s="73">
        <v>0</v>
      </c>
      <c r="F13" s="73">
        <f t="shared" ca="1" si="0"/>
        <v>85</v>
      </c>
      <c r="G13" s="83"/>
    </row>
    <row r="14" spans="2:7" x14ac:dyDescent="0.3">
      <c r="B14" s="73" t="s">
        <v>122</v>
      </c>
      <c r="C14" s="73">
        <v>1</v>
      </c>
      <c r="D14" s="74">
        <v>46152</v>
      </c>
      <c r="E14" s="73">
        <v>0</v>
      </c>
      <c r="F14" s="73">
        <f t="shared" ca="1" si="0"/>
        <v>85</v>
      </c>
      <c r="G14" s="83"/>
    </row>
    <row r="15" spans="2:7" x14ac:dyDescent="0.3">
      <c r="B15" s="73" t="s">
        <v>123</v>
      </c>
      <c r="C15" s="73">
        <v>1</v>
      </c>
      <c r="D15" s="74">
        <v>46152</v>
      </c>
      <c r="E15" s="73">
        <v>0</v>
      </c>
      <c r="F15" s="73">
        <f t="shared" ca="1" si="0"/>
        <v>85</v>
      </c>
      <c r="G15" s="83"/>
    </row>
    <row r="16" spans="2:7" x14ac:dyDescent="0.3">
      <c r="B16" s="73" t="s">
        <v>159</v>
      </c>
      <c r="C16" s="73">
        <v>3</v>
      </c>
      <c r="D16" s="74">
        <v>46158</v>
      </c>
      <c r="E16" s="73">
        <v>0</v>
      </c>
      <c r="F16" s="73">
        <f t="shared" ca="1" si="0"/>
        <v>81</v>
      </c>
      <c r="G16" s="83"/>
    </row>
    <row r="17" spans="2:7" x14ac:dyDescent="0.3">
      <c r="B17" s="73" t="s">
        <v>124</v>
      </c>
      <c r="C17" s="73">
        <v>1</v>
      </c>
      <c r="D17" s="74">
        <v>46158</v>
      </c>
      <c r="E17" s="73">
        <v>0</v>
      </c>
      <c r="F17" s="73">
        <f t="shared" ca="1" si="0"/>
        <v>79</v>
      </c>
      <c r="G17" s="83"/>
    </row>
    <row r="18" spans="2:7" x14ac:dyDescent="0.3">
      <c r="B18" s="73" t="s">
        <v>125</v>
      </c>
      <c r="C18" s="73">
        <v>1</v>
      </c>
      <c r="D18" s="74">
        <v>46158</v>
      </c>
      <c r="E18" s="73">
        <v>0</v>
      </c>
      <c r="F18" s="73">
        <f t="shared" ca="1" si="0"/>
        <v>79</v>
      </c>
      <c r="G18" s="83"/>
    </row>
    <row r="19" spans="2:7" x14ac:dyDescent="0.3">
      <c r="B19" s="73" t="s">
        <v>126</v>
      </c>
      <c r="C19" s="73">
        <v>1</v>
      </c>
      <c r="D19" s="74">
        <v>46158</v>
      </c>
      <c r="E19" s="73">
        <v>0</v>
      </c>
      <c r="F19" s="73">
        <f t="shared" ca="1" si="0"/>
        <v>79</v>
      </c>
      <c r="G19" s="83"/>
    </row>
    <row r="20" spans="2:7" x14ac:dyDescent="0.3">
      <c r="B20" s="73" t="s">
        <v>127</v>
      </c>
      <c r="C20" s="73">
        <v>1</v>
      </c>
      <c r="D20" s="74">
        <v>46158</v>
      </c>
      <c r="E20" s="73">
        <v>0</v>
      </c>
      <c r="F20" s="73">
        <f t="shared" ca="1" si="0"/>
        <v>79</v>
      </c>
      <c r="G20" s="83"/>
    </row>
    <row r="21" spans="2:7" x14ac:dyDescent="0.3">
      <c r="B21" s="73" t="s">
        <v>111</v>
      </c>
      <c r="C21" s="73">
        <v>2</v>
      </c>
      <c r="D21" s="74">
        <v>46158</v>
      </c>
      <c r="E21" s="73">
        <v>4</v>
      </c>
      <c r="F21" s="73">
        <f t="shared" ca="1" si="0"/>
        <v>76</v>
      </c>
      <c r="G21" s="83"/>
    </row>
    <row r="22" spans="2:7" x14ac:dyDescent="0.3">
      <c r="B22" s="73" t="s">
        <v>128</v>
      </c>
      <c r="C22" s="73">
        <v>3</v>
      </c>
      <c r="D22" s="74">
        <v>46172</v>
      </c>
      <c r="E22" s="73">
        <v>0</v>
      </c>
      <c r="F22" s="73">
        <f t="shared" ca="1" si="0"/>
        <v>67</v>
      </c>
      <c r="G22" s="83"/>
    </row>
    <row r="23" spans="2:7" x14ac:dyDescent="0.3">
      <c r="B23" s="73" t="s">
        <v>115</v>
      </c>
      <c r="C23" s="73">
        <v>2</v>
      </c>
      <c r="D23" s="74">
        <v>46172</v>
      </c>
      <c r="E23" s="73">
        <v>0</v>
      </c>
      <c r="F23" s="73">
        <f t="shared" ca="1" si="0"/>
        <v>66</v>
      </c>
      <c r="G23" s="83"/>
    </row>
    <row r="24" spans="2:7" x14ac:dyDescent="0.3">
      <c r="B24" s="73" t="s">
        <v>117</v>
      </c>
      <c r="C24" s="73">
        <v>1</v>
      </c>
      <c r="D24" s="74">
        <v>46186</v>
      </c>
      <c r="E24" s="73">
        <v>0</v>
      </c>
      <c r="F24" s="73">
        <f t="shared" ca="1" si="0"/>
        <v>51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E3" sqref="E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154</v>
      </c>
      <c r="C2" s="72" t="s">
        <v>146</v>
      </c>
      <c r="D2" s="72" t="s">
        <v>232</v>
      </c>
      <c r="E2" s="72" t="s">
        <v>175</v>
      </c>
      <c r="G2" s="86"/>
    </row>
    <row r="3" spans="2:7" x14ac:dyDescent="0.3">
      <c r="B3" s="73" t="s">
        <v>177</v>
      </c>
      <c r="C3" s="73" t="s">
        <v>180</v>
      </c>
      <c r="D3" s="74">
        <f ca="1">$B$1048576+_xlfn.CEILING.MATH((TODAY()-$B$1048576)/21, 1)*21-21</f>
        <v>46195</v>
      </c>
      <c r="E3" s="74">
        <f ca="1">$B$1048576+_xlfn.CEILING.MATH((TODAY()-$B$1048576)/21, 1)*21</f>
        <v>46216</v>
      </c>
    </row>
    <row r="4" spans="2:7" x14ac:dyDescent="0.3">
      <c r="B4" s="73" t="s">
        <v>152</v>
      </c>
      <c r="C4" s="73" t="s">
        <v>233</v>
      </c>
      <c r="D4" s="74">
        <f ca="1">IF(DAY(TODAY())&gt;23,
   DATE(YEAR(TODAY()),MONTH(TODAY()),23),
   DATE(YEAR(TODAY()),MONTH(TODAY())-1,23))</f>
        <v>46165</v>
      </c>
      <c r="E4" s="74">
        <f ca="1">IF(DAY(TODAY())&lt;=23,
   DATE(YEAR(TODAY()),MONTH(TODAY()),23),
   DATE(YEAR(TODAY()),MONTH(TODAY())+1,23))</f>
        <v>46196</v>
      </c>
    </row>
    <row r="5" spans="2:7" x14ac:dyDescent="0.3">
      <c r="B5" s="73" t="s">
        <v>147</v>
      </c>
      <c r="C5" s="73" t="s">
        <v>167</v>
      </c>
      <c r="D5" s="74">
        <f ca="1">$B$1048562+_xlfn.CEILING.MATH((TODAY()-$B$1048562)/5, 1)*5-5</f>
        <v>46194</v>
      </c>
      <c r="E5" s="74">
        <f ca="1">$B$1048562+_xlfn.CEILING.MATH((TODAY()-$B$1048562)/5, 1)*5</f>
        <v>46199</v>
      </c>
    </row>
    <row r="6" spans="2:7" x14ac:dyDescent="0.3">
      <c r="B6" s="73" t="s">
        <v>149</v>
      </c>
      <c r="C6" s="73" t="s">
        <v>168</v>
      </c>
      <c r="D6" s="74">
        <f ca="1">TODAY()+MOD(6-WEEKDAY(TODAY(),2),7)-7</f>
        <v>46193</v>
      </c>
      <c r="E6" s="74">
        <f ca="1">TODAY()+MOD(6-WEEKDAY(TODAY(),2),7)</f>
        <v>46200</v>
      </c>
    </row>
    <row r="7" spans="2:7" x14ac:dyDescent="0.3">
      <c r="B7" s="73" t="s">
        <v>150</v>
      </c>
      <c r="C7" s="73" t="s">
        <v>168</v>
      </c>
      <c r="D7" s="74">
        <f ca="1">TODAY()+MOD(6-WEEKDAY(TODAY(),2),7)-7</f>
        <v>46193</v>
      </c>
      <c r="E7" s="74">
        <f ca="1">TODAY()+MOD(6-WEEKDAY(TODAY(),2),7)</f>
        <v>46200</v>
      </c>
    </row>
    <row r="8" spans="2:7" x14ac:dyDescent="0.3">
      <c r="B8" s="73" t="s">
        <v>172</v>
      </c>
      <c r="C8" s="73" t="s">
        <v>174</v>
      </c>
      <c r="D8" s="74">
        <f ca="1">TODAY()+MOD(7-WEEKDAY(TODAY(),2),7)-7</f>
        <v>46194</v>
      </c>
      <c r="E8" s="74">
        <f ca="1">TODAY()+MOD(7-WEEKDAY(TODAY(),2),7)</f>
        <v>46201</v>
      </c>
    </row>
    <row r="9" spans="2:7" x14ac:dyDescent="0.3">
      <c r="B9" s="73" t="s">
        <v>173</v>
      </c>
      <c r="C9" s="73" t="s">
        <v>174</v>
      </c>
      <c r="D9" s="74">
        <f ca="1">TODAY()+MOD(7-WEEKDAY(TODAY(),2),7)-7</f>
        <v>46194</v>
      </c>
      <c r="E9" s="74">
        <f ca="1">TODAY()+MOD(7-WEEKDAY(TODAY(),2),7)</f>
        <v>46201</v>
      </c>
    </row>
    <row r="10" spans="2:7" x14ac:dyDescent="0.3">
      <c r="B10" s="73" t="s">
        <v>151</v>
      </c>
      <c r="C10" s="73" t="s">
        <v>169</v>
      </c>
      <c r="D10" s="74">
        <f ca="1">$B$1048565+_xlfn.CEILING.MATH((TODAY()-$B$1048565)/14, 1)*14-14</f>
        <v>46193</v>
      </c>
      <c r="E10" s="74">
        <f ca="1">$B$1048565+_xlfn.CEILING.MATH((TODAY()-$B$1048565)/14, 1)*14</f>
        <v>46207</v>
      </c>
    </row>
    <row r="11" spans="2:7" x14ac:dyDescent="0.3">
      <c r="B11" s="73" t="s">
        <v>156</v>
      </c>
      <c r="C11" s="73" t="s">
        <v>169</v>
      </c>
      <c r="D11" s="74">
        <f ca="1">$B$1048569+_xlfn.CEILING.MATH((TODAY()-$B$1048569)/14, 1)*14-14</f>
        <v>46193</v>
      </c>
      <c r="E11" s="74">
        <f ca="1">$B$1048569+_xlfn.CEILING.MATH((TODAY()-$B$1048569)/14, 1)*14</f>
        <v>46207</v>
      </c>
    </row>
    <row r="12" spans="2:7" x14ac:dyDescent="0.3">
      <c r="B12" s="73" t="s">
        <v>157</v>
      </c>
      <c r="C12" s="73" t="s">
        <v>179</v>
      </c>
      <c r="D12" s="74">
        <f ca="1">$B$1048570+_xlfn.CEILING.MATH((TODAY()-$B$1048570)/40, 1)*40-40</f>
        <v>46167</v>
      </c>
      <c r="E12" s="74">
        <f ca="1">$B$1048570+_xlfn.CEILING.MATH((TODAY()-$B$1048570)/40, 1)*40</f>
        <v>46207</v>
      </c>
      <c r="G12" s="49"/>
    </row>
    <row r="13" spans="2:7" x14ac:dyDescent="0.3">
      <c r="B13" s="73" t="s">
        <v>155</v>
      </c>
      <c r="C13" s="73" t="s">
        <v>230</v>
      </c>
      <c r="D13" s="74">
        <f ca="1">IF(DAY(TODAY())&gt;5,
   DATE(YEAR(TODAY()),MONTH(TODAY()),5),
   DATE(YEAR(TODAY()),MONTH(TODAY())-1,5))</f>
        <v>46178</v>
      </c>
      <c r="E13" s="74">
        <f ca="1">IF(DAY(TODAY())&lt;=5,
   DATE(YEAR(TODAY()),MONTH(TODAY()),5),
   DATE(YEAR(TODAY()),MONTH(TODAY())+1,5))</f>
        <v>46208</v>
      </c>
    </row>
    <row r="14" spans="2:7" x14ac:dyDescent="0.3">
      <c r="B14" s="73" t="s">
        <v>176</v>
      </c>
      <c r="C14" s="73" t="s">
        <v>230</v>
      </c>
      <c r="D14" s="74">
        <f ca="1">IF(DAY(TODAY())&gt;5,
   DATE(YEAR(TODAY()),MONTH(TODAY()),5),
   DATE(YEAR(TODAY()),MONTH(TODAY())-1,5))</f>
        <v>46178</v>
      </c>
      <c r="E14" s="74">
        <f ca="1">IF(DAY(TODAY())&lt;=5,
   DATE(YEAR(TODAY()),MONTH(TODAY()),5),
   DATE(YEAR(TODAY()),MONTH(TODAY())+1,5))</f>
        <v>46208</v>
      </c>
    </row>
    <row r="15" spans="2:7" x14ac:dyDescent="0.3">
      <c r="B15" s="73" t="s">
        <v>160</v>
      </c>
      <c r="C15" s="73" t="s">
        <v>181</v>
      </c>
      <c r="D15" s="74">
        <f ca="1">$B$1048571+_xlfn.CEILING.MATH((TODAY()-$B$1048571)/28, 1)*28-28</f>
        <v>46181</v>
      </c>
      <c r="E15" s="74">
        <f ca="1">$B$1048571+_xlfn.CEILING.MATH((TODAY()-$B$1048571)/28, 1)*28</f>
        <v>46209</v>
      </c>
    </row>
    <row r="16" spans="2:7" x14ac:dyDescent="0.3">
      <c r="B16" s="73" t="s">
        <v>148</v>
      </c>
      <c r="C16" s="73" t="s">
        <v>170</v>
      </c>
      <c r="D16" s="74">
        <f ca="1">IF(DAY(TODAY())&gt;15,
   DATE(YEAR(TODAY()),MONTH(TODAY()),15),
   DATE(YEAR(TODAY()),MONTH(TODAY())-1,15))</f>
        <v>46188</v>
      </c>
      <c r="E16" s="74">
        <f ca="1">IF(DAY(TODAY())&lt;=15,
   DATE(YEAR(TODAY()),MONTH(TODAY()),15),
   DATE(YEAR(TODAY()),MONTH(TODAY())+1,15))</f>
        <v>46218</v>
      </c>
    </row>
    <row r="17" spans="2:5" x14ac:dyDescent="0.3">
      <c r="B17" s="73" t="s">
        <v>153</v>
      </c>
      <c r="C17" s="73" t="s">
        <v>178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147</v>
      </c>
      <c r="B1048562" s="74">
        <v>46064</v>
      </c>
    </row>
    <row r="1048563" spans="1:2" x14ac:dyDescent="0.3">
      <c r="A1048563" s="85" t="s">
        <v>148</v>
      </c>
      <c r="B1048563" s="74">
        <v>46042</v>
      </c>
    </row>
    <row r="1048564" spans="1:2" x14ac:dyDescent="0.3">
      <c r="A1048564" s="84" t="s">
        <v>149</v>
      </c>
      <c r="B1048564" s="74" t="s">
        <v>102</v>
      </c>
    </row>
    <row r="1048565" spans="1:2" x14ac:dyDescent="0.3">
      <c r="A1048565" s="85" t="s">
        <v>151</v>
      </c>
      <c r="B1048565" s="74">
        <v>46067</v>
      </c>
    </row>
    <row r="1048566" spans="1:2" x14ac:dyDescent="0.3">
      <c r="A1048566" s="84" t="s">
        <v>150</v>
      </c>
      <c r="B1048566" s="74" t="s">
        <v>102</v>
      </c>
    </row>
    <row r="1048567" spans="1:2" x14ac:dyDescent="0.3">
      <c r="A1048567" s="85" t="s">
        <v>152</v>
      </c>
      <c r="B1048567" s="74" t="s">
        <v>102</v>
      </c>
    </row>
    <row r="1048568" spans="1:2" x14ac:dyDescent="0.3">
      <c r="A1048568" s="84" t="s">
        <v>153</v>
      </c>
      <c r="B1048568" s="74">
        <v>46067</v>
      </c>
    </row>
    <row r="1048569" spans="1:2" x14ac:dyDescent="0.3">
      <c r="A1048569" s="85" t="s">
        <v>156</v>
      </c>
      <c r="B1048569" s="74">
        <v>46067</v>
      </c>
    </row>
    <row r="1048570" spans="1:2" x14ac:dyDescent="0.3">
      <c r="A1048570" s="84" t="s">
        <v>157</v>
      </c>
      <c r="B1048570" s="74">
        <v>46047</v>
      </c>
    </row>
    <row r="1048571" spans="1:2" x14ac:dyDescent="0.3">
      <c r="A1048571" s="85" t="s">
        <v>160</v>
      </c>
      <c r="B1048571" s="74">
        <v>46069</v>
      </c>
    </row>
    <row r="1048572" spans="1:2" x14ac:dyDescent="0.3">
      <c r="A1048572" s="84" t="s">
        <v>172</v>
      </c>
      <c r="B1048572" s="74" t="s">
        <v>102</v>
      </c>
    </row>
    <row r="1048573" spans="1:2" x14ac:dyDescent="0.3">
      <c r="A1048573" s="85" t="s">
        <v>173</v>
      </c>
      <c r="B1048573" s="74" t="s">
        <v>102</v>
      </c>
    </row>
    <row r="1048574" spans="1:2" x14ac:dyDescent="0.3">
      <c r="A1048574" s="84" t="s">
        <v>155</v>
      </c>
      <c r="B1048574" s="74" t="s">
        <v>102</v>
      </c>
    </row>
    <row r="1048575" spans="1:2" x14ac:dyDescent="0.3">
      <c r="A1048575" s="85" t="s">
        <v>176</v>
      </c>
      <c r="B1048575" s="74" t="s">
        <v>102</v>
      </c>
    </row>
    <row r="1048576" spans="1:2" x14ac:dyDescent="0.3">
      <c r="A1048576" s="84" t="s">
        <v>177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1:FX371"/>
  <sheetViews>
    <sheetView tabSelected="1" workbookViewId="0">
      <selection activeCell="K6" sqref="K6"/>
    </sheetView>
  </sheetViews>
  <sheetFormatPr defaultRowHeight="14.4" x14ac:dyDescent="0.3"/>
  <cols>
    <col min="2" max="2" width="10.5546875" style="149" bestFit="1" customWidth="1"/>
    <col min="3" max="3" width="11.109375" style="73" bestFit="1" customWidth="1"/>
    <col min="4" max="4" width="11.77734375" style="73" bestFit="1" customWidth="1"/>
    <col min="5" max="5" width="20.44140625" style="73" bestFit="1" customWidth="1"/>
    <col min="6" max="6" width="23.44140625" style="73" bestFit="1" customWidth="1"/>
    <col min="7" max="7" width="21.77734375" style="73" bestFit="1" customWidth="1"/>
    <col min="8" max="8" width="18.77734375" style="73" bestFit="1" customWidth="1"/>
    <col min="10" max="10" width="16.88671875" customWidth="1"/>
    <col min="11" max="11" width="16.33203125" bestFit="1" customWidth="1"/>
    <col min="13" max="13" width="9.5546875" bestFit="1" customWidth="1"/>
  </cols>
  <sheetData>
    <row r="1" spans="2:180" x14ac:dyDescent="0.3">
      <c r="B1"/>
      <c r="C1"/>
      <c r="D1"/>
      <c r="E1"/>
      <c r="F1"/>
      <c r="G1"/>
      <c r="H1"/>
    </row>
    <row r="2" spans="2:180" ht="15" thickBot="1" x14ac:dyDescent="0.35">
      <c r="B2"/>
      <c r="C2"/>
      <c r="D2"/>
      <c r="E2"/>
      <c r="F2"/>
      <c r="G2"/>
      <c r="H2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0"/>
      <c r="AP2" s="150"/>
      <c r="AQ2" s="150"/>
      <c r="AR2" s="150"/>
      <c r="AS2" s="150"/>
      <c r="AT2" s="150"/>
      <c r="AU2" s="150"/>
      <c r="AV2" s="150"/>
      <c r="AW2" s="150"/>
      <c r="AX2" s="150"/>
      <c r="AY2" s="150"/>
      <c r="AZ2" s="150"/>
      <c r="BA2" s="150"/>
      <c r="BB2" s="150"/>
      <c r="BC2" s="150"/>
      <c r="BD2" s="150"/>
      <c r="BE2" s="150"/>
      <c r="BF2" s="150"/>
      <c r="BG2" s="150"/>
      <c r="BH2" s="150"/>
      <c r="BI2" s="150"/>
      <c r="BJ2" s="150"/>
      <c r="BK2" s="150"/>
      <c r="BL2" s="150"/>
      <c r="BM2" s="150"/>
      <c r="BN2" s="150"/>
      <c r="BO2" s="150"/>
      <c r="BP2" s="150"/>
      <c r="BQ2" s="150"/>
      <c r="BR2" s="150"/>
      <c r="BS2" s="150"/>
      <c r="BT2" s="150"/>
      <c r="BU2" s="150"/>
      <c r="BV2" s="150"/>
      <c r="BW2" s="150"/>
      <c r="BX2" s="150"/>
      <c r="BY2" s="150"/>
      <c r="BZ2" s="150"/>
      <c r="CA2" s="150"/>
      <c r="CB2" s="150"/>
      <c r="CC2" s="150"/>
      <c r="CD2" s="150"/>
      <c r="CE2" s="150"/>
      <c r="CF2" s="150"/>
      <c r="CG2" s="150"/>
      <c r="CH2" s="150"/>
      <c r="CI2" s="150"/>
      <c r="CJ2" s="150"/>
      <c r="CK2" s="150"/>
      <c r="CL2" s="150"/>
      <c r="CM2" s="150"/>
      <c r="CN2" s="150"/>
      <c r="CO2" s="150"/>
      <c r="CP2" s="150"/>
      <c r="CQ2" s="150"/>
      <c r="CR2" s="150"/>
      <c r="CS2" s="150"/>
      <c r="CT2" s="150"/>
      <c r="CU2" s="150"/>
      <c r="CV2" s="150"/>
      <c r="CW2" s="150"/>
      <c r="CX2" s="150"/>
      <c r="CY2" s="150"/>
      <c r="CZ2" s="150"/>
      <c r="DA2" s="150"/>
      <c r="DB2" s="150"/>
      <c r="DC2" s="150"/>
      <c r="DD2" s="150"/>
      <c r="DE2" s="150"/>
      <c r="DF2" s="150"/>
      <c r="DG2" s="133"/>
      <c r="DH2" s="133"/>
      <c r="DI2" s="133"/>
      <c r="DJ2" s="133"/>
      <c r="DK2" s="133"/>
      <c r="DL2" s="133"/>
      <c r="DM2" s="133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33"/>
      <c r="FS2" s="150"/>
      <c r="FT2" s="150"/>
      <c r="FU2" s="150"/>
      <c r="FV2" s="150"/>
      <c r="FW2" s="150"/>
      <c r="FX2" s="150"/>
    </row>
    <row r="3" spans="2:180" ht="23.25" hidden="1" customHeight="1" x14ac:dyDescent="0.3"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</row>
    <row r="4" spans="2:180" ht="15" thickBot="1" x14ac:dyDescent="0.35">
      <c r="B4" s="72" t="s">
        <v>238</v>
      </c>
      <c r="C4" s="72" t="s">
        <v>239</v>
      </c>
      <c r="D4" s="72" t="s">
        <v>240</v>
      </c>
      <c r="E4" s="72" t="s">
        <v>241</v>
      </c>
      <c r="F4" s="72" t="s">
        <v>243</v>
      </c>
      <c r="G4" s="72" t="s">
        <v>245</v>
      </c>
      <c r="H4" s="72" t="s">
        <v>244</v>
      </c>
      <c r="J4" s="165" t="s">
        <v>247</v>
      </c>
      <c r="K4" s="166"/>
    </row>
    <row r="5" spans="2:180" ht="15" thickBot="1" x14ac:dyDescent="0.35">
      <c r="B5" s="149">
        <f ca="1">TODAY()</f>
        <v>46196</v>
      </c>
      <c r="C5" s="73" t="str">
        <f ca="1">TEXT(B5, "dddd")</f>
        <v>Tuesday</v>
      </c>
      <c r="D5" s="73" t="s">
        <v>242</v>
      </c>
      <c r="E5" s="73">
        <v>6</v>
      </c>
      <c r="F5" s="73">
        <v>3</v>
      </c>
      <c r="G5" s="73">
        <f>E5*25+F5</f>
        <v>153</v>
      </c>
      <c r="H5" s="73" t="str">
        <f t="shared" ref="H5:H68" si="0">ROUNDDOWN(G5/60, 0)&amp;"h"&amp;ROUNDUP((G5/60-ROUNDDOWN(G5/60, 0))*60,0)</f>
        <v>2h33</v>
      </c>
      <c r="J5" s="167" t="s">
        <v>246</v>
      </c>
      <c r="K5" s="168" t="s">
        <v>244</v>
      </c>
    </row>
    <row r="6" spans="2:180" x14ac:dyDescent="0.3">
      <c r="B6" s="149">
        <f ca="1">B5+1</f>
        <v>46197</v>
      </c>
      <c r="C6" s="73" t="str">
        <f t="shared" ref="C6:C69" ca="1" si="1">TEXT(B6, "dddd")</f>
        <v>Wednesday</v>
      </c>
      <c r="E6" s="73">
        <v>10</v>
      </c>
      <c r="G6" s="73">
        <f t="shared" ref="G6:G69" si="2">E6*25+F6</f>
        <v>250</v>
      </c>
      <c r="H6" s="73" t="str">
        <f t="shared" si="0"/>
        <v>4h10</v>
      </c>
      <c r="J6" s="169" t="str">
        <f ca="1">TEXT(B5,"mm/dd/yy")&amp;"-"&amp;TEXT(B10,"mm/dd/yy")</f>
        <v>06/23/26-06/28/26</v>
      </c>
      <c r="K6" s="170" t="str">
        <f>ROUNDDOWN(SUM(G5:G10)/60, 0)&amp;"h"&amp;ROUND((SUM(G5:G10)/60-ROUNDDOWN(SUM(G5:G10)/60, 0))*60,0)</f>
        <v>22h58</v>
      </c>
      <c r="M6" s="86"/>
    </row>
    <row r="7" spans="2:180" x14ac:dyDescent="0.3">
      <c r="B7" s="149">
        <f t="shared" ref="B7:B70" ca="1" si="3">B6+1</f>
        <v>46198</v>
      </c>
      <c r="C7" s="73" t="str">
        <f t="shared" ca="1" si="1"/>
        <v>Thursday</v>
      </c>
      <c r="E7" s="73">
        <v>10</v>
      </c>
      <c r="G7" s="73">
        <f t="shared" ref="G7" si="4">E7*25+F7</f>
        <v>250</v>
      </c>
      <c r="H7" s="73" t="str">
        <f t="shared" si="0"/>
        <v>4h10</v>
      </c>
      <c r="J7" s="171" t="str" cm="1">
        <f t="array" aca="1" ref="J7" ca="1">IFERROR(IF(11+(ROW()-7)*7&gt;370,"",TEXT(INDIRECT("B"&amp;(11+(ROW()-7)*7)),"mm/dd/yy")&amp;"-"&amp;TEXT(INDIRECT("B"&amp;MIN(11+(ROW()-7)*7+6,370)),"mm/dd/yy")),"")</f>
        <v>06/29/26-07/05/26</v>
      </c>
      <c r="K7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2h5</v>
      </c>
    </row>
    <row r="8" spans="2:180" x14ac:dyDescent="0.3">
      <c r="B8" s="149">
        <f t="shared" ca="1" si="3"/>
        <v>46199</v>
      </c>
      <c r="C8" s="73" t="str">
        <f t="shared" ca="1" si="1"/>
        <v>Friday</v>
      </c>
      <c r="E8" s="73">
        <v>10</v>
      </c>
      <c r="G8" s="73">
        <f t="shared" si="2"/>
        <v>250</v>
      </c>
      <c r="H8" s="73" t="str">
        <f t="shared" si="0"/>
        <v>4h10</v>
      </c>
      <c r="J8" s="173" t="str" cm="1">
        <f t="array" aca="1" ref="J8" ca="1">IFERROR(IF(11+(ROW()-7)*7&gt;370,"",TEXT(INDIRECT("B"&amp;(11+(ROW()-7)*7)),"mm/dd/yy")&amp;"-"&amp;TEXT(INDIRECT("B"&amp;MIN(11+(ROW()-7)*7+6,370)),"mm/dd/yy")),"")</f>
        <v>07/06/26-07/12/26</v>
      </c>
      <c r="K8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9" spans="2:180" x14ac:dyDescent="0.3">
      <c r="B9" s="149">
        <f t="shared" ca="1" si="3"/>
        <v>46200</v>
      </c>
      <c r="C9" s="73" t="str">
        <f t="shared" ca="1" si="1"/>
        <v>Saturday</v>
      </c>
      <c r="E9" s="73">
        <v>10</v>
      </c>
      <c r="G9" s="73">
        <f t="shared" si="2"/>
        <v>250</v>
      </c>
      <c r="H9" s="73" t="str">
        <f t="shared" si="0"/>
        <v>4h10</v>
      </c>
      <c r="J9" s="174" t="str" cm="1">
        <f t="array" aca="1" ref="J9" ca="1">IFERROR(IF(11+(ROW()-7)*7&gt;370,"",TEXT(INDIRECT("B"&amp;(11+(ROW()-7)*7)),"mm/dd/yy")&amp;"-"&amp;TEXT(INDIRECT("B"&amp;MIN(11+(ROW()-7)*7+6,370)),"mm/dd/yy")),"")</f>
        <v>07/13/26-07/19/26</v>
      </c>
      <c r="K9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0" spans="2:180" x14ac:dyDescent="0.3">
      <c r="B10" s="149">
        <f t="shared" ca="1" si="3"/>
        <v>46201</v>
      </c>
      <c r="C10" s="73" t="str">
        <f t="shared" ca="1" si="1"/>
        <v>Sunday</v>
      </c>
      <c r="E10" s="73">
        <v>9</v>
      </c>
      <c r="G10" s="73">
        <f t="shared" si="2"/>
        <v>225</v>
      </c>
      <c r="H10" s="73" t="str">
        <f t="shared" si="0"/>
        <v>3h45</v>
      </c>
      <c r="J10" s="173" t="str" cm="1">
        <f t="array" aca="1" ref="J10" ca="1">IFERROR(IF(11+(ROW()-7)*7&gt;370,"",TEXT(INDIRECT("B"&amp;(11+(ROW()-7)*7)),"mm/dd/yy")&amp;"-"&amp;TEXT(INDIRECT("B"&amp;MIN(11+(ROW()-7)*7+6,370)),"mm/dd/yy")),"")</f>
        <v>07/20/26-07/26/26</v>
      </c>
      <c r="K10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1" spans="2:180" x14ac:dyDescent="0.3">
      <c r="B11" s="149">
        <f t="shared" ca="1" si="3"/>
        <v>46202</v>
      </c>
      <c r="C11" s="73" t="str">
        <f t="shared" ca="1" si="1"/>
        <v>Monday</v>
      </c>
      <c r="E11" s="73">
        <v>2</v>
      </c>
      <c r="G11" s="73">
        <f t="shared" si="2"/>
        <v>50</v>
      </c>
      <c r="H11" s="73" t="str">
        <f t="shared" si="0"/>
        <v>0h50</v>
      </c>
      <c r="J11" s="174" t="str" cm="1">
        <f t="array" aca="1" ref="J11" ca="1">IFERROR(IF(11+(ROW()-7)*7&gt;370,"",TEXT(INDIRECT("B"&amp;(11+(ROW()-7)*7)),"mm/dd/yy")&amp;"-"&amp;TEXT(INDIRECT("B"&amp;MIN(11+(ROW()-7)*7+6,370)),"mm/dd/yy")),"")</f>
        <v>07/27/26-08/02/26</v>
      </c>
      <c r="K11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2" spans="2:180" x14ac:dyDescent="0.3">
      <c r="B12" s="149">
        <f t="shared" ca="1" si="3"/>
        <v>46203</v>
      </c>
      <c r="C12" s="73" t="str">
        <f t="shared" ca="1" si="1"/>
        <v>Tuesday</v>
      </c>
      <c r="G12" s="73">
        <f t="shared" si="2"/>
        <v>0</v>
      </c>
      <c r="H12" s="73" t="str">
        <f t="shared" si="0"/>
        <v>0h0</v>
      </c>
      <c r="J12" s="173" t="str" cm="1">
        <f t="array" aca="1" ref="J12" ca="1">IFERROR(IF(11+(ROW()-7)*7&gt;370,"",TEXT(INDIRECT("B"&amp;(11+(ROW()-7)*7)),"mm/dd/yy")&amp;"-"&amp;TEXT(INDIRECT("B"&amp;MIN(11+(ROW()-7)*7+6,370)),"mm/dd/yy")),"")</f>
        <v>08/03/26-08/09/26</v>
      </c>
      <c r="K12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3" spans="2:180" x14ac:dyDescent="0.3">
      <c r="B13" s="149">
        <f t="shared" ca="1" si="3"/>
        <v>46204</v>
      </c>
      <c r="C13" s="73" t="str">
        <f t="shared" ca="1" si="1"/>
        <v>Wednesday</v>
      </c>
      <c r="G13" s="73">
        <f t="shared" si="2"/>
        <v>0</v>
      </c>
      <c r="H13" s="73" t="str">
        <f t="shared" si="0"/>
        <v>0h0</v>
      </c>
      <c r="J13" s="174" t="str" cm="1">
        <f t="array" aca="1" ref="J13" ca="1">IFERROR(IF(11+(ROW()-7)*7&gt;370,"",TEXT(INDIRECT("B"&amp;(11+(ROW()-7)*7)),"mm/dd/yy")&amp;"-"&amp;TEXT(INDIRECT("B"&amp;MIN(11+(ROW()-7)*7+6,370)),"mm/dd/yy")),"")</f>
        <v>08/10/26-08/16/26</v>
      </c>
      <c r="K13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4" spans="2:180" x14ac:dyDescent="0.3">
      <c r="B14" s="149">
        <f t="shared" ca="1" si="3"/>
        <v>46205</v>
      </c>
      <c r="C14" s="73" t="str">
        <f t="shared" ca="1" si="1"/>
        <v>Thursday</v>
      </c>
      <c r="G14" s="73">
        <f t="shared" si="2"/>
        <v>0</v>
      </c>
      <c r="H14" s="73" t="str">
        <f t="shared" si="0"/>
        <v>0h0</v>
      </c>
      <c r="J14" s="173" t="str" cm="1">
        <f t="array" aca="1" ref="J14" ca="1">IFERROR(IF(11+(ROW()-7)*7&gt;370,"",TEXT(INDIRECT("B"&amp;(11+(ROW()-7)*7)),"mm/dd/yy")&amp;"-"&amp;TEXT(INDIRECT("B"&amp;MIN(11+(ROW()-7)*7+6,370)),"mm/dd/yy")),"")</f>
        <v>08/17/26-08/23/26</v>
      </c>
      <c r="K14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5" spans="2:180" x14ac:dyDescent="0.3">
      <c r="B15" s="149">
        <f t="shared" ca="1" si="3"/>
        <v>46206</v>
      </c>
      <c r="C15" s="73" t="str">
        <f t="shared" ca="1" si="1"/>
        <v>Friday</v>
      </c>
      <c r="G15" s="73">
        <f t="shared" si="2"/>
        <v>0</v>
      </c>
      <c r="H15" s="73" t="str">
        <f t="shared" si="0"/>
        <v>0h0</v>
      </c>
      <c r="J15" s="174" t="str" cm="1">
        <f t="array" aca="1" ref="J15" ca="1">IFERROR(IF(11+(ROW()-7)*7&gt;370,"",TEXT(INDIRECT("B"&amp;(11+(ROW()-7)*7)),"mm/dd/yy")&amp;"-"&amp;TEXT(INDIRECT("B"&amp;MIN(11+(ROW()-7)*7+6,370)),"mm/dd/yy")),"")</f>
        <v>08/24/26-08/30/26</v>
      </c>
      <c r="K15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6" spans="2:180" x14ac:dyDescent="0.3">
      <c r="B16" s="149">
        <f t="shared" ca="1" si="3"/>
        <v>46207</v>
      </c>
      <c r="C16" s="73" t="str">
        <f t="shared" ca="1" si="1"/>
        <v>Saturday</v>
      </c>
      <c r="G16" s="73">
        <f t="shared" si="2"/>
        <v>0</v>
      </c>
      <c r="H16" s="73" t="str">
        <f t="shared" si="0"/>
        <v>0h0</v>
      </c>
      <c r="J16" s="173" t="str" cm="1">
        <f t="array" aca="1" ref="J16" ca="1">IFERROR(IF(11+(ROW()-7)*7&gt;370,"",TEXT(INDIRECT("B"&amp;(11+(ROW()-7)*7)),"mm/dd/yy")&amp;"-"&amp;TEXT(INDIRECT("B"&amp;MIN(11+(ROW()-7)*7+6,370)),"mm/dd/yy")),"")</f>
        <v>08/31/26-09/06/26</v>
      </c>
      <c r="K16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7" spans="2:11" x14ac:dyDescent="0.3">
      <c r="B17" s="149">
        <f t="shared" ca="1" si="3"/>
        <v>46208</v>
      </c>
      <c r="C17" s="73" t="str">
        <f t="shared" ca="1" si="1"/>
        <v>Sunday</v>
      </c>
      <c r="E17" s="73">
        <v>3</v>
      </c>
      <c r="G17" s="73">
        <f t="shared" si="2"/>
        <v>75</v>
      </c>
      <c r="H17" s="73" t="str">
        <f t="shared" si="0"/>
        <v>1h15</v>
      </c>
      <c r="J17" s="174" t="str" cm="1">
        <f t="array" aca="1" ref="J17" ca="1">IFERROR(IF(11+(ROW()-7)*7&gt;370,"",TEXT(INDIRECT("B"&amp;(11+(ROW()-7)*7)),"mm/dd/yy")&amp;"-"&amp;TEXT(INDIRECT("B"&amp;MIN(11+(ROW()-7)*7+6,370)),"mm/dd/yy")),"")</f>
        <v>09/07/26-09/13/26</v>
      </c>
      <c r="K17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8" spans="2:11" x14ac:dyDescent="0.3">
      <c r="B18" s="149">
        <f t="shared" ca="1" si="3"/>
        <v>46209</v>
      </c>
      <c r="C18" s="73" t="str">
        <f t="shared" ca="1" si="1"/>
        <v>Monday</v>
      </c>
      <c r="G18" s="73">
        <f t="shared" si="2"/>
        <v>0</v>
      </c>
      <c r="H18" s="73" t="str">
        <f t="shared" si="0"/>
        <v>0h0</v>
      </c>
      <c r="J18" s="173" t="str" cm="1">
        <f t="array" aca="1" ref="J18" ca="1">IFERROR(IF(11+(ROW()-7)*7&gt;370,"",TEXT(INDIRECT("B"&amp;(11+(ROW()-7)*7)),"mm/dd/yy")&amp;"-"&amp;TEXT(INDIRECT("B"&amp;MIN(11+(ROW()-7)*7+6,370)),"mm/dd/yy")),"")</f>
        <v>09/14/26-09/20/26</v>
      </c>
      <c r="K18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19" spans="2:11" x14ac:dyDescent="0.3">
      <c r="B19" s="149">
        <f t="shared" ca="1" si="3"/>
        <v>46210</v>
      </c>
      <c r="C19" s="73" t="str">
        <f t="shared" ca="1" si="1"/>
        <v>Tuesday</v>
      </c>
      <c r="G19" s="73">
        <f t="shared" si="2"/>
        <v>0</v>
      </c>
      <c r="H19" s="73" t="str">
        <f t="shared" si="0"/>
        <v>0h0</v>
      </c>
      <c r="J19" s="174" t="str" cm="1">
        <f t="array" aca="1" ref="J19" ca="1">IFERROR(IF(11+(ROW()-7)*7&gt;370,"",TEXT(INDIRECT("B"&amp;(11+(ROW()-7)*7)),"mm/dd/yy")&amp;"-"&amp;TEXT(INDIRECT("B"&amp;MIN(11+(ROW()-7)*7+6,370)),"mm/dd/yy")),"")</f>
        <v>09/21/26-09/27/26</v>
      </c>
      <c r="K19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0" spans="2:11" x14ac:dyDescent="0.3">
      <c r="B20" s="149">
        <f t="shared" ca="1" si="3"/>
        <v>46211</v>
      </c>
      <c r="C20" s="73" t="str">
        <f t="shared" ca="1" si="1"/>
        <v>Wednesday</v>
      </c>
      <c r="G20" s="73">
        <f t="shared" si="2"/>
        <v>0</v>
      </c>
      <c r="H20" s="73" t="str">
        <f t="shared" si="0"/>
        <v>0h0</v>
      </c>
      <c r="J20" s="173" t="str" cm="1">
        <f t="array" aca="1" ref="J20" ca="1">IFERROR(IF(11+(ROW()-7)*7&gt;370,"",TEXT(INDIRECT("B"&amp;(11+(ROW()-7)*7)),"mm/dd/yy")&amp;"-"&amp;TEXT(INDIRECT("B"&amp;MIN(11+(ROW()-7)*7+6,370)),"mm/dd/yy")),"")</f>
        <v>09/28/26-10/04/26</v>
      </c>
      <c r="K20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1" spans="2:11" x14ac:dyDescent="0.3">
      <c r="B21" s="149">
        <f t="shared" ca="1" si="3"/>
        <v>46212</v>
      </c>
      <c r="C21" s="73" t="str">
        <f t="shared" ca="1" si="1"/>
        <v>Thursday</v>
      </c>
      <c r="G21" s="73">
        <f t="shared" si="2"/>
        <v>0</v>
      </c>
      <c r="H21" s="73" t="str">
        <f t="shared" si="0"/>
        <v>0h0</v>
      </c>
      <c r="J21" s="174" t="str" cm="1">
        <f t="array" aca="1" ref="J21" ca="1">IFERROR(IF(11+(ROW()-7)*7&gt;370,"",TEXT(INDIRECT("B"&amp;(11+(ROW()-7)*7)),"mm/dd/yy")&amp;"-"&amp;TEXT(INDIRECT("B"&amp;MIN(11+(ROW()-7)*7+6,370)),"mm/dd/yy")),"")</f>
        <v>10/05/26-10/11/26</v>
      </c>
      <c r="K21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2" spans="2:11" x14ac:dyDescent="0.3">
      <c r="B22" s="149">
        <f t="shared" ca="1" si="3"/>
        <v>46213</v>
      </c>
      <c r="C22" s="73" t="str">
        <f t="shared" ca="1" si="1"/>
        <v>Friday</v>
      </c>
      <c r="G22" s="73">
        <f t="shared" si="2"/>
        <v>0</v>
      </c>
      <c r="H22" s="73" t="str">
        <f t="shared" si="0"/>
        <v>0h0</v>
      </c>
      <c r="J22" s="173" t="str" cm="1">
        <f t="array" aca="1" ref="J22" ca="1">IFERROR(IF(11+(ROW()-7)*7&gt;370,"",TEXT(INDIRECT("B"&amp;(11+(ROW()-7)*7)),"mm/dd/yy")&amp;"-"&amp;TEXT(INDIRECT("B"&amp;MIN(11+(ROW()-7)*7+6,370)),"mm/dd/yy")),"")</f>
        <v>10/12/26-10/18/26</v>
      </c>
      <c r="K22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3" spans="2:11" x14ac:dyDescent="0.3">
      <c r="B23" s="149">
        <f t="shared" ca="1" si="3"/>
        <v>46214</v>
      </c>
      <c r="C23" s="73" t="str">
        <f t="shared" ca="1" si="1"/>
        <v>Saturday</v>
      </c>
      <c r="G23" s="73">
        <f t="shared" si="2"/>
        <v>0</v>
      </c>
      <c r="H23" s="73" t="str">
        <f t="shared" si="0"/>
        <v>0h0</v>
      </c>
      <c r="J23" s="174" t="str" cm="1">
        <f t="array" aca="1" ref="J23" ca="1">IFERROR(IF(11+(ROW()-7)*7&gt;370,"",TEXT(INDIRECT("B"&amp;(11+(ROW()-7)*7)),"mm/dd/yy")&amp;"-"&amp;TEXT(INDIRECT("B"&amp;MIN(11+(ROW()-7)*7+6,370)),"mm/dd/yy")),"")</f>
        <v>10/19/26-10/25/26</v>
      </c>
      <c r="K23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4" spans="2:11" x14ac:dyDescent="0.3">
      <c r="B24" s="149">
        <f t="shared" ca="1" si="3"/>
        <v>46215</v>
      </c>
      <c r="C24" s="73" t="str">
        <f t="shared" ca="1" si="1"/>
        <v>Sunday</v>
      </c>
      <c r="G24" s="73">
        <f t="shared" si="2"/>
        <v>0</v>
      </c>
      <c r="H24" s="73" t="str">
        <f t="shared" si="0"/>
        <v>0h0</v>
      </c>
      <c r="J24" s="173" t="str" cm="1">
        <f t="array" aca="1" ref="J24" ca="1">IFERROR(IF(11+(ROW()-7)*7&gt;370,"",TEXT(INDIRECT("B"&amp;(11+(ROW()-7)*7)),"mm/dd/yy")&amp;"-"&amp;TEXT(INDIRECT("B"&amp;MIN(11+(ROW()-7)*7+6,370)),"mm/dd/yy")),"")</f>
        <v>10/26/26-11/01/26</v>
      </c>
      <c r="K24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5" spans="2:11" x14ac:dyDescent="0.3">
      <c r="B25" s="149">
        <f t="shared" ca="1" si="3"/>
        <v>46216</v>
      </c>
      <c r="C25" s="73" t="str">
        <f t="shared" ca="1" si="1"/>
        <v>Monday</v>
      </c>
      <c r="G25" s="73">
        <f t="shared" si="2"/>
        <v>0</v>
      </c>
      <c r="H25" s="73" t="str">
        <f t="shared" si="0"/>
        <v>0h0</v>
      </c>
      <c r="J25" s="174" t="str" cm="1">
        <f t="array" aca="1" ref="J25" ca="1">IFERROR(IF(11+(ROW()-7)*7&gt;370,"",TEXT(INDIRECT("B"&amp;(11+(ROW()-7)*7)),"mm/dd/yy")&amp;"-"&amp;TEXT(INDIRECT("B"&amp;MIN(11+(ROW()-7)*7+6,370)),"mm/dd/yy")),"")</f>
        <v>11/02/26-11/08/26</v>
      </c>
      <c r="K25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6" spans="2:11" x14ac:dyDescent="0.3">
      <c r="B26" s="149">
        <f t="shared" ca="1" si="3"/>
        <v>46217</v>
      </c>
      <c r="C26" s="73" t="str">
        <f t="shared" ca="1" si="1"/>
        <v>Tuesday</v>
      </c>
      <c r="G26" s="73">
        <f t="shared" si="2"/>
        <v>0</v>
      </c>
      <c r="H26" s="73" t="str">
        <f t="shared" si="0"/>
        <v>0h0</v>
      </c>
      <c r="J26" s="173" t="str" cm="1">
        <f t="array" aca="1" ref="J26" ca="1">IFERROR(IF(11+(ROW()-7)*7&gt;370,"",TEXT(INDIRECT("B"&amp;(11+(ROW()-7)*7)),"mm/dd/yy")&amp;"-"&amp;TEXT(INDIRECT("B"&amp;MIN(11+(ROW()-7)*7+6,370)),"mm/dd/yy")),"")</f>
        <v>11/09/26-11/15/26</v>
      </c>
      <c r="K26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7" spans="2:11" x14ac:dyDescent="0.3">
      <c r="B27" s="149">
        <f t="shared" ca="1" si="3"/>
        <v>46218</v>
      </c>
      <c r="C27" s="73" t="str">
        <f t="shared" ca="1" si="1"/>
        <v>Wednesday</v>
      </c>
      <c r="G27" s="73">
        <f t="shared" si="2"/>
        <v>0</v>
      </c>
      <c r="H27" s="73" t="str">
        <f t="shared" si="0"/>
        <v>0h0</v>
      </c>
      <c r="J27" s="174" t="str" cm="1">
        <f t="array" aca="1" ref="J27" ca="1">IFERROR(IF(11+(ROW()-7)*7&gt;370,"",TEXT(INDIRECT("B"&amp;(11+(ROW()-7)*7)),"mm/dd/yy")&amp;"-"&amp;TEXT(INDIRECT("B"&amp;MIN(11+(ROW()-7)*7+6,370)),"mm/dd/yy")),"")</f>
        <v>11/16/26-11/22/26</v>
      </c>
      <c r="K27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8" spans="2:11" x14ac:dyDescent="0.3">
      <c r="B28" s="149">
        <f t="shared" ca="1" si="3"/>
        <v>46219</v>
      </c>
      <c r="C28" s="73" t="str">
        <f t="shared" ca="1" si="1"/>
        <v>Thursday</v>
      </c>
      <c r="G28" s="73">
        <f t="shared" si="2"/>
        <v>0</v>
      </c>
      <c r="H28" s="73" t="str">
        <f t="shared" si="0"/>
        <v>0h0</v>
      </c>
      <c r="J28" s="173" t="str" cm="1">
        <f t="array" aca="1" ref="J28" ca="1">IFERROR(IF(11+(ROW()-7)*7&gt;370,"",TEXT(INDIRECT("B"&amp;(11+(ROW()-7)*7)),"mm/dd/yy")&amp;"-"&amp;TEXT(INDIRECT("B"&amp;MIN(11+(ROW()-7)*7+6,370)),"mm/dd/yy")),"")</f>
        <v>11/23/26-11/29/26</v>
      </c>
      <c r="K28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29" spans="2:11" x14ac:dyDescent="0.3">
      <c r="B29" s="149">
        <f t="shared" ca="1" si="3"/>
        <v>46220</v>
      </c>
      <c r="C29" s="73" t="str">
        <f t="shared" ca="1" si="1"/>
        <v>Friday</v>
      </c>
      <c r="G29" s="73">
        <f t="shared" si="2"/>
        <v>0</v>
      </c>
      <c r="H29" s="73" t="str">
        <f t="shared" si="0"/>
        <v>0h0</v>
      </c>
      <c r="J29" s="174" t="str" cm="1">
        <f t="array" aca="1" ref="J29" ca="1">IFERROR(IF(11+(ROW()-7)*7&gt;370,"",TEXT(INDIRECT("B"&amp;(11+(ROW()-7)*7)),"mm/dd/yy")&amp;"-"&amp;TEXT(INDIRECT("B"&amp;MIN(11+(ROW()-7)*7+6,370)),"mm/dd/yy")),"")</f>
        <v>11/30/26-12/06/26</v>
      </c>
      <c r="K29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0" spans="2:11" x14ac:dyDescent="0.3">
      <c r="B30" s="149">
        <f t="shared" ca="1" si="3"/>
        <v>46221</v>
      </c>
      <c r="C30" s="73" t="str">
        <f t="shared" ca="1" si="1"/>
        <v>Saturday</v>
      </c>
      <c r="G30" s="73">
        <f t="shared" si="2"/>
        <v>0</v>
      </c>
      <c r="H30" s="73" t="str">
        <f t="shared" si="0"/>
        <v>0h0</v>
      </c>
      <c r="J30" s="173" t="str" cm="1">
        <f t="array" aca="1" ref="J30" ca="1">IFERROR(IF(11+(ROW()-7)*7&gt;370,"",TEXT(INDIRECT("B"&amp;(11+(ROW()-7)*7)),"mm/dd/yy")&amp;"-"&amp;TEXT(INDIRECT("B"&amp;MIN(11+(ROW()-7)*7+6,370)),"mm/dd/yy")),"")</f>
        <v>12/07/26-12/13/26</v>
      </c>
      <c r="K30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1" spans="2:11" x14ac:dyDescent="0.3">
      <c r="B31" s="149">
        <f t="shared" ca="1" si="3"/>
        <v>46222</v>
      </c>
      <c r="C31" s="73" t="str">
        <f t="shared" ca="1" si="1"/>
        <v>Sunday</v>
      </c>
      <c r="G31" s="73">
        <f t="shared" si="2"/>
        <v>0</v>
      </c>
      <c r="H31" s="73" t="str">
        <f t="shared" si="0"/>
        <v>0h0</v>
      </c>
      <c r="J31" s="174" t="str" cm="1">
        <f t="array" aca="1" ref="J31" ca="1">IFERROR(IF(11+(ROW()-7)*7&gt;370,"",TEXT(INDIRECT("B"&amp;(11+(ROW()-7)*7)),"mm/dd/yy")&amp;"-"&amp;TEXT(INDIRECT("B"&amp;MIN(11+(ROW()-7)*7+6,370)),"mm/dd/yy")),"")</f>
        <v>12/14/26-12/20/26</v>
      </c>
      <c r="K31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2" spans="2:11" x14ac:dyDescent="0.3">
      <c r="B32" s="149">
        <f t="shared" ca="1" si="3"/>
        <v>46223</v>
      </c>
      <c r="C32" s="73" t="str">
        <f t="shared" ca="1" si="1"/>
        <v>Monday</v>
      </c>
      <c r="G32" s="73">
        <f t="shared" si="2"/>
        <v>0</v>
      </c>
      <c r="H32" s="73" t="str">
        <f t="shared" si="0"/>
        <v>0h0</v>
      </c>
      <c r="J32" s="173" t="str" cm="1">
        <f t="array" aca="1" ref="J32" ca="1">IFERROR(IF(11+(ROW()-7)*7&gt;370,"",TEXT(INDIRECT("B"&amp;(11+(ROW()-7)*7)),"mm/dd/yy")&amp;"-"&amp;TEXT(INDIRECT("B"&amp;MIN(11+(ROW()-7)*7+6,370)),"mm/dd/yy")),"")</f>
        <v>12/21/26-12/27/26</v>
      </c>
      <c r="K32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3" spans="2:11" x14ac:dyDescent="0.3">
      <c r="B33" s="149">
        <f t="shared" ca="1" si="3"/>
        <v>46224</v>
      </c>
      <c r="C33" s="73" t="str">
        <f t="shared" ca="1" si="1"/>
        <v>Tuesday</v>
      </c>
      <c r="G33" s="73">
        <f t="shared" si="2"/>
        <v>0</v>
      </c>
      <c r="H33" s="73" t="str">
        <f t="shared" si="0"/>
        <v>0h0</v>
      </c>
      <c r="J33" s="174" t="str" cm="1">
        <f t="array" aca="1" ref="J33" ca="1">IFERROR(IF(11+(ROW()-7)*7&gt;370,"",TEXT(INDIRECT("B"&amp;(11+(ROW()-7)*7)),"mm/dd/yy")&amp;"-"&amp;TEXT(INDIRECT("B"&amp;MIN(11+(ROW()-7)*7+6,370)),"mm/dd/yy")),"")</f>
        <v>12/28/26-01/03/27</v>
      </c>
      <c r="K33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4" spans="2:11" x14ac:dyDescent="0.3">
      <c r="B34" s="149">
        <f t="shared" ca="1" si="3"/>
        <v>46225</v>
      </c>
      <c r="C34" s="73" t="str">
        <f t="shared" ca="1" si="1"/>
        <v>Wednesday</v>
      </c>
      <c r="G34" s="73">
        <f t="shared" si="2"/>
        <v>0</v>
      </c>
      <c r="H34" s="73" t="str">
        <f t="shared" si="0"/>
        <v>0h0</v>
      </c>
      <c r="J34" s="173" t="str" cm="1">
        <f t="array" aca="1" ref="J34" ca="1">IFERROR(IF(11+(ROW()-7)*7&gt;370,"",TEXT(INDIRECT("B"&amp;(11+(ROW()-7)*7)),"mm/dd/yy")&amp;"-"&amp;TEXT(INDIRECT("B"&amp;MIN(11+(ROW()-7)*7+6,370)),"mm/dd/yy")),"")</f>
        <v>01/04/27-01/10/27</v>
      </c>
      <c r="K34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5" spans="2:11" x14ac:dyDescent="0.3">
      <c r="B35" s="149">
        <f t="shared" ca="1" si="3"/>
        <v>46226</v>
      </c>
      <c r="C35" s="73" t="str">
        <f t="shared" ca="1" si="1"/>
        <v>Thursday</v>
      </c>
      <c r="G35" s="73">
        <f t="shared" si="2"/>
        <v>0</v>
      </c>
      <c r="H35" s="73" t="str">
        <f t="shared" si="0"/>
        <v>0h0</v>
      </c>
      <c r="J35" s="174" t="str" cm="1">
        <f t="array" aca="1" ref="J35" ca="1">IFERROR(IF(11+(ROW()-7)*7&gt;370,"",TEXT(INDIRECT("B"&amp;(11+(ROW()-7)*7)),"mm/dd/yy")&amp;"-"&amp;TEXT(INDIRECT("B"&amp;MIN(11+(ROW()-7)*7+6,370)),"mm/dd/yy")),"")</f>
        <v>01/11/27-01/17/27</v>
      </c>
      <c r="K35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6" spans="2:11" x14ac:dyDescent="0.3">
      <c r="B36" s="149">
        <f t="shared" ca="1" si="3"/>
        <v>46227</v>
      </c>
      <c r="C36" s="73" t="str">
        <f t="shared" ca="1" si="1"/>
        <v>Friday</v>
      </c>
      <c r="G36" s="73">
        <f t="shared" si="2"/>
        <v>0</v>
      </c>
      <c r="H36" s="73" t="str">
        <f t="shared" si="0"/>
        <v>0h0</v>
      </c>
      <c r="J36" s="173" t="str" cm="1">
        <f t="array" aca="1" ref="J36" ca="1">IFERROR(IF(11+(ROW()-7)*7&gt;370,"",TEXT(INDIRECT("B"&amp;(11+(ROW()-7)*7)),"mm/dd/yy")&amp;"-"&amp;TEXT(INDIRECT("B"&amp;MIN(11+(ROW()-7)*7+6,370)),"mm/dd/yy")),"")</f>
        <v>01/18/27-01/24/27</v>
      </c>
      <c r="K36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7" spans="2:11" x14ac:dyDescent="0.3">
      <c r="B37" s="149">
        <f t="shared" ca="1" si="3"/>
        <v>46228</v>
      </c>
      <c r="C37" s="73" t="str">
        <f t="shared" ca="1" si="1"/>
        <v>Saturday</v>
      </c>
      <c r="G37" s="73">
        <f t="shared" si="2"/>
        <v>0</v>
      </c>
      <c r="H37" s="73" t="str">
        <f t="shared" si="0"/>
        <v>0h0</v>
      </c>
      <c r="J37" s="174" t="str" cm="1">
        <f t="array" aca="1" ref="J37" ca="1">IFERROR(IF(11+(ROW()-7)*7&gt;370,"",TEXT(INDIRECT("B"&amp;(11+(ROW()-7)*7)),"mm/dd/yy")&amp;"-"&amp;TEXT(INDIRECT("B"&amp;MIN(11+(ROW()-7)*7+6,370)),"mm/dd/yy")),"")</f>
        <v>01/25/27-01/31/27</v>
      </c>
      <c r="K37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8" spans="2:11" x14ac:dyDescent="0.3">
      <c r="B38" s="149">
        <f t="shared" ca="1" si="3"/>
        <v>46229</v>
      </c>
      <c r="C38" s="73" t="str">
        <f t="shared" ca="1" si="1"/>
        <v>Sunday</v>
      </c>
      <c r="G38" s="73">
        <f t="shared" si="2"/>
        <v>0</v>
      </c>
      <c r="H38" s="73" t="str">
        <f t="shared" si="0"/>
        <v>0h0</v>
      </c>
      <c r="J38" s="173" t="str" cm="1">
        <f t="array" aca="1" ref="J38" ca="1">IFERROR(IF(11+(ROW()-7)*7&gt;370,"",TEXT(INDIRECT("B"&amp;(11+(ROW()-7)*7)),"mm/dd/yy")&amp;"-"&amp;TEXT(INDIRECT("B"&amp;MIN(11+(ROW()-7)*7+6,370)),"mm/dd/yy")),"")</f>
        <v>02/01/27-02/07/27</v>
      </c>
      <c r="K38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39" spans="2:11" x14ac:dyDescent="0.3">
      <c r="B39" s="149">
        <f t="shared" ca="1" si="3"/>
        <v>46230</v>
      </c>
      <c r="C39" s="73" t="str">
        <f t="shared" ca="1" si="1"/>
        <v>Monday</v>
      </c>
      <c r="G39" s="73">
        <f t="shared" si="2"/>
        <v>0</v>
      </c>
      <c r="H39" s="73" t="str">
        <f t="shared" si="0"/>
        <v>0h0</v>
      </c>
      <c r="J39" s="174" t="str" cm="1">
        <f t="array" aca="1" ref="J39" ca="1">IFERROR(IF(11+(ROW()-7)*7&gt;370,"",TEXT(INDIRECT("B"&amp;(11+(ROW()-7)*7)),"mm/dd/yy")&amp;"-"&amp;TEXT(INDIRECT("B"&amp;MIN(11+(ROW()-7)*7+6,370)),"mm/dd/yy")),"")</f>
        <v>02/08/27-02/14/27</v>
      </c>
      <c r="K39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0" spans="2:11" x14ac:dyDescent="0.3">
      <c r="B40" s="149">
        <f t="shared" ca="1" si="3"/>
        <v>46231</v>
      </c>
      <c r="C40" s="73" t="str">
        <f t="shared" ca="1" si="1"/>
        <v>Tuesday</v>
      </c>
      <c r="G40" s="73">
        <f t="shared" si="2"/>
        <v>0</v>
      </c>
      <c r="H40" s="73" t="str">
        <f t="shared" si="0"/>
        <v>0h0</v>
      </c>
      <c r="J40" s="173" t="str" cm="1">
        <f t="array" aca="1" ref="J40" ca="1">IFERROR(IF(11+(ROW()-7)*7&gt;370,"",TEXT(INDIRECT("B"&amp;(11+(ROW()-7)*7)),"mm/dd/yy")&amp;"-"&amp;TEXT(INDIRECT("B"&amp;MIN(11+(ROW()-7)*7+6,370)),"mm/dd/yy")),"")</f>
        <v>02/15/27-02/21/27</v>
      </c>
      <c r="K40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1" spans="2:11" x14ac:dyDescent="0.3">
      <c r="B41" s="149">
        <f t="shared" ca="1" si="3"/>
        <v>46232</v>
      </c>
      <c r="C41" s="73" t="str">
        <f t="shared" ca="1" si="1"/>
        <v>Wednesday</v>
      </c>
      <c r="G41" s="73">
        <f t="shared" si="2"/>
        <v>0</v>
      </c>
      <c r="H41" s="73" t="str">
        <f t="shared" si="0"/>
        <v>0h0</v>
      </c>
      <c r="J41" s="174" t="str" cm="1">
        <f t="array" aca="1" ref="J41" ca="1">IFERROR(IF(11+(ROW()-7)*7&gt;370,"",TEXT(INDIRECT("B"&amp;(11+(ROW()-7)*7)),"mm/dd/yy")&amp;"-"&amp;TEXT(INDIRECT("B"&amp;MIN(11+(ROW()-7)*7+6,370)),"mm/dd/yy")),"")</f>
        <v>02/22/27-02/28/27</v>
      </c>
      <c r="K41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2" spans="2:11" x14ac:dyDescent="0.3">
      <c r="B42" s="149">
        <f t="shared" ca="1" si="3"/>
        <v>46233</v>
      </c>
      <c r="C42" s="73" t="str">
        <f t="shared" ca="1" si="1"/>
        <v>Thursday</v>
      </c>
      <c r="G42" s="73">
        <f t="shared" si="2"/>
        <v>0</v>
      </c>
      <c r="H42" s="73" t="str">
        <f t="shared" si="0"/>
        <v>0h0</v>
      </c>
      <c r="J42" s="173" t="str" cm="1">
        <f t="array" aca="1" ref="J42" ca="1">IFERROR(IF(11+(ROW()-7)*7&gt;370,"",TEXT(INDIRECT("B"&amp;(11+(ROW()-7)*7)),"mm/dd/yy")&amp;"-"&amp;TEXT(INDIRECT("B"&amp;MIN(11+(ROW()-7)*7+6,370)),"mm/dd/yy")),"")</f>
        <v>03/01/27-03/07/27</v>
      </c>
      <c r="K42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3" spans="2:11" x14ac:dyDescent="0.3">
      <c r="B43" s="149">
        <f t="shared" ca="1" si="3"/>
        <v>46234</v>
      </c>
      <c r="C43" s="73" t="str">
        <f t="shared" ca="1" si="1"/>
        <v>Friday</v>
      </c>
      <c r="G43" s="73">
        <f t="shared" si="2"/>
        <v>0</v>
      </c>
      <c r="H43" s="73" t="str">
        <f t="shared" si="0"/>
        <v>0h0</v>
      </c>
      <c r="J43" s="174" t="str" cm="1">
        <f t="array" aca="1" ref="J43" ca="1">IFERROR(IF(11+(ROW()-7)*7&gt;370,"",TEXT(INDIRECT("B"&amp;(11+(ROW()-7)*7)),"mm/dd/yy")&amp;"-"&amp;TEXT(INDIRECT("B"&amp;MIN(11+(ROW()-7)*7+6,370)),"mm/dd/yy")),"")</f>
        <v>03/08/27-03/14/27</v>
      </c>
      <c r="K43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4" spans="2:11" x14ac:dyDescent="0.3">
      <c r="B44" s="149">
        <f t="shared" ca="1" si="3"/>
        <v>46235</v>
      </c>
      <c r="C44" s="73" t="str">
        <f t="shared" ca="1" si="1"/>
        <v>Saturday</v>
      </c>
      <c r="G44" s="73">
        <f t="shared" si="2"/>
        <v>0</v>
      </c>
      <c r="H44" s="73" t="str">
        <f t="shared" si="0"/>
        <v>0h0</v>
      </c>
      <c r="J44" s="173" t="str" cm="1">
        <f t="array" aca="1" ref="J44" ca="1">IFERROR(IF(11+(ROW()-7)*7&gt;370,"",TEXT(INDIRECT("B"&amp;(11+(ROW()-7)*7)),"mm/dd/yy")&amp;"-"&amp;TEXT(INDIRECT("B"&amp;MIN(11+(ROW()-7)*7+6,370)),"mm/dd/yy")),"")</f>
        <v>03/15/27-03/21/27</v>
      </c>
      <c r="K44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5" spans="2:11" x14ac:dyDescent="0.3">
      <c r="B45" s="149">
        <f t="shared" ca="1" si="3"/>
        <v>46236</v>
      </c>
      <c r="C45" s="73" t="str">
        <f t="shared" ca="1" si="1"/>
        <v>Sunday</v>
      </c>
      <c r="G45" s="73">
        <f t="shared" si="2"/>
        <v>0</v>
      </c>
      <c r="H45" s="73" t="str">
        <f t="shared" si="0"/>
        <v>0h0</v>
      </c>
      <c r="J45" s="174" t="str" cm="1">
        <f t="array" aca="1" ref="J45" ca="1">IFERROR(IF(11+(ROW()-7)*7&gt;370,"",TEXT(INDIRECT("B"&amp;(11+(ROW()-7)*7)),"mm/dd/yy")&amp;"-"&amp;TEXT(INDIRECT("B"&amp;MIN(11+(ROW()-7)*7+6,370)),"mm/dd/yy")),"")</f>
        <v>03/22/27-03/28/27</v>
      </c>
      <c r="K45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6" spans="2:11" x14ac:dyDescent="0.3">
      <c r="B46" s="149">
        <f t="shared" ca="1" si="3"/>
        <v>46237</v>
      </c>
      <c r="C46" s="73" t="str">
        <f t="shared" ca="1" si="1"/>
        <v>Monday</v>
      </c>
      <c r="G46" s="73">
        <f t="shared" si="2"/>
        <v>0</v>
      </c>
      <c r="H46" s="73" t="str">
        <f t="shared" si="0"/>
        <v>0h0</v>
      </c>
      <c r="J46" s="173" t="str" cm="1">
        <f t="array" aca="1" ref="J46" ca="1">IFERROR(IF(11+(ROW()-7)*7&gt;370,"",TEXT(INDIRECT("B"&amp;(11+(ROW()-7)*7)),"mm/dd/yy")&amp;"-"&amp;TEXT(INDIRECT("B"&amp;MIN(11+(ROW()-7)*7+6,370)),"mm/dd/yy")),"")</f>
        <v>03/29/27-04/04/27</v>
      </c>
      <c r="K46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7" spans="2:11" x14ac:dyDescent="0.3">
      <c r="B47" s="149">
        <f t="shared" ca="1" si="3"/>
        <v>46238</v>
      </c>
      <c r="C47" s="73" t="str">
        <f t="shared" ca="1" si="1"/>
        <v>Tuesday</v>
      </c>
      <c r="G47" s="73">
        <f t="shared" si="2"/>
        <v>0</v>
      </c>
      <c r="H47" s="73" t="str">
        <f t="shared" si="0"/>
        <v>0h0</v>
      </c>
      <c r="J47" s="174" t="str" cm="1">
        <f t="array" aca="1" ref="J47" ca="1">IFERROR(IF(11+(ROW()-7)*7&gt;370,"",TEXT(INDIRECT("B"&amp;(11+(ROW()-7)*7)),"mm/dd/yy")&amp;"-"&amp;TEXT(INDIRECT("B"&amp;MIN(11+(ROW()-7)*7+6,370)),"mm/dd/yy")),"")</f>
        <v>04/05/27-04/11/27</v>
      </c>
      <c r="K47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8" spans="2:11" x14ac:dyDescent="0.3">
      <c r="B48" s="149">
        <f t="shared" ca="1" si="3"/>
        <v>46239</v>
      </c>
      <c r="C48" s="73" t="str">
        <f t="shared" ca="1" si="1"/>
        <v>Wednesday</v>
      </c>
      <c r="G48" s="73">
        <f t="shared" si="2"/>
        <v>0</v>
      </c>
      <c r="H48" s="73" t="str">
        <f t="shared" si="0"/>
        <v>0h0</v>
      </c>
      <c r="J48" s="173" t="str" cm="1">
        <f t="array" aca="1" ref="J48" ca="1">IFERROR(IF(11+(ROW()-7)*7&gt;370,"",TEXT(INDIRECT("B"&amp;(11+(ROW()-7)*7)),"mm/dd/yy")&amp;"-"&amp;TEXT(INDIRECT("B"&amp;MIN(11+(ROW()-7)*7+6,370)),"mm/dd/yy")),"")</f>
        <v>04/12/27-04/18/27</v>
      </c>
      <c r="K48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49" spans="2:11" x14ac:dyDescent="0.3">
      <c r="B49" s="149">
        <f t="shared" ca="1" si="3"/>
        <v>46240</v>
      </c>
      <c r="C49" s="73" t="str">
        <f t="shared" ca="1" si="1"/>
        <v>Thursday</v>
      </c>
      <c r="G49" s="73">
        <f t="shared" si="2"/>
        <v>0</v>
      </c>
      <c r="H49" s="73" t="str">
        <f t="shared" si="0"/>
        <v>0h0</v>
      </c>
      <c r="J49" s="174" t="str" cm="1">
        <f t="array" aca="1" ref="J49" ca="1">IFERROR(IF(11+(ROW()-7)*7&gt;370,"",TEXT(INDIRECT("B"&amp;(11+(ROW()-7)*7)),"mm/dd/yy")&amp;"-"&amp;TEXT(INDIRECT("B"&amp;MIN(11+(ROW()-7)*7+6,370)),"mm/dd/yy")),"")</f>
        <v>04/19/27-04/25/27</v>
      </c>
      <c r="K49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0" spans="2:11" x14ac:dyDescent="0.3">
      <c r="B50" s="149">
        <f t="shared" ca="1" si="3"/>
        <v>46241</v>
      </c>
      <c r="C50" s="73" t="str">
        <f t="shared" ca="1" si="1"/>
        <v>Friday</v>
      </c>
      <c r="G50" s="73">
        <f t="shared" si="2"/>
        <v>0</v>
      </c>
      <c r="H50" s="73" t="str">
        <f t="shared" si="0"/>
        <v>0h0</v>
      </c>
      <c r="J50" s="173" t="str" cm="1">
        <f t="array" aca="1" ref="J50" ca="1">IFERROR(IF(11+(ROW()-7)*7&gt;370,"",TEXT(INDIRECT("B"&amp;(11+(ROW()-7)*7)),"mm/dd/yy")&amp;"-"&amp;TEXT(INDIRECT("B"&amp;MIN(11+(ROW()-7)*7+6,370)),"mm/dd/yy")),"")</f>
        <v>04/26/27-05/02/27</v>
      </c>
      <c r="K50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1" spans="2:11" x14ac:dyDescent="0.3">
      <c r="B51" s="149">
        <f t="shared" ca="1" si="3"/>
        <v>46242</v>
      </c>
      <c r="C51" s="73" t="str">
        <f t="shared" ca="1" si="1"/>
        <v>Saturday</v>
      </c>
      <c r="G51" s="73">
        <f t="shared" si="2"/>
        <v>0</v>
      </c>
      <c r="H51" s="73" t="str">
        <f t="shared" si="0"/>
        <v>0h0</v>
      </c>
      <c r="J51" s="174" t="str" cm="1">
        <f t="array" aca="1" ref="J51" ca="1">IFERROR(IF(11+(ROW()-7)*7&gt;370,"",TEXT(INDIRECT("B"&amp;(11+(ROW()-7)*7)),"mm/dd/yy")&amp;"-"&amp;TEXT(INDIRECT("B"&amp;MIN(11+(ROW()-7)*7+6,370)),"mm/dd/yy")),"")</f>
        <v>05/03/27-05/09/27</v>
      </c>
      <c r="K51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2" spans="2:11" x14ac:dyDescent="0.3">
      <c r="B52" s="149">
        <f t="shared" ca="1" si="3"/>
        <v>46243</v>
      </c>
      <c r="C52" s="73" t="str">
        <f t="shared" ca="1" si="1"/>
        <v>Sunday</v>
      </c>
      <c r="G52" s="73">
        <f t="shared" si="2"/>
        <v>0</v>
      </c>
      <c r="H52" s="73" t="str">
        <f t="shared" si="0"/>
        <v>0h0</v>
      </c>
      <c r="J52" s="173" t="str" cm="1">
        <f t="array" aca="1" ref="J52" ca="1">IFERROR(IF(11+(ROW()-7)*7&gt;370,"",TEXT(INDIRECT("B"&amp;(11+(ROW()-7)*7)),"mm/dd/yy")&amp;"-"&amp;TEXT(INDIRECT("B"&amp;MIN(11+(ROW()-7)*7+6,370)),"mm/dd/yy")),"")</f>
        <v>05/10/27-05/16/27</v>
      </c>
      <c r="K52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3" spans="2:11" x14ac:dyDescent="0.3">
      <c r="B53" s="149">
        <f t="shared" ca="1" si="3"/>
        <v>46244</v>
      </c>
      <c r="C53" s="73" t="str">
        <f t="shared" ca="1" si="1"/>
        <v>Monday</v>
      </c>
      <c r="G53" s="73">
        <f t="shared" si="2"/>
        <v>0</v>
      </c>
      <c r="H53" s="73" t="str">
        <f t="shared" si="0"/>
        <v>0h0</v>
      </c>
      <c r="J53" s="174" t="str" cm="1">
        <f t="array" aca="1" ref="J53" ca="1">IFERROR(IF(11+(ROW()-7)*7&gt;370,"",TEXT(INDIRECT("B"&amp;(11+(ROW()-7)*7)),"mm/dd/yy")&amp;"-"&amp;TEXT(INDIRECT("B"&amp;MIN(11+(ROW()-7)*7+6,370)),"mm/dd/yy")),"")</f>
        <v>05/17/27-05/23/27</v>
      </c>
      <c r="K53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4" spans="2:11" x14ac:dyDescent="0.3">
      <c r="B54" s="149">
        <f t="shared" ca="1" si="3"/>
        <v>46245</v>
      </c>
      <c r="C54" s="73" t="str">
        <f t="shared" ca="1" si="1"/>
        <v>Tuesday</v>
      </c>
      <c r="G54" s="73">
        <f t="shared" si="2"/>
        <v>0</v>
      </c>
      <c r="H54" s="73" t="str">
        <f t="shared" si="0"/>
        <v>0h0</v>
      </c>
      <c r="J54" s="173" t="str" cm="1">
        <f t="array" aca="1" ref="J54" ca="1">IFERROR(IF(11+(ROW()-7)*7&gt;370,"",TEXT(INDIRECT("B"&amp;(11+(ROW()-7)*7)),"mm/dd/yy")&amp;"-"&amp;TEXT(INDIRECT("B"&amp;MIN(11+(ROW()-7)*7+6,370)),"mm/dd/yy")),"")</f>
        <v>05/24/27-05/30/27</v>
      </c>
      <c r="K54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5" spans="2:11" x14ac:dyDescent="0.3">
      <c r="B55" s="149">
        <f t="shared" ca="1" si="3"/>
        <v>46246</v>
      </c>
      <c r="C55" s="73" t="str">
        <f t="shared" ca="1" si="1"/>
        <v>Wednesday</v>
      </c>
      <c r="G55" s="73">
        <f t="shared" si="2"/>
        <v>0</v>
      </c>
      <c r="H55" s="73" t="str">
        <f t="shared" si="0"/>
        <v>0h0</v>
      </c>
      <c r="J55" s="174" t="str" cm="1">
        <f t="array" aca="1" ref="J55" ca="1">IFERROR(IF(11+(ROW()-7)*7&gt;370,"",TEXT(INDIRECT("B"&amp;(11+(ROW()-7)*7)),"mm/dd/yy")&amp;"-"&amp;TEXT(INDIRECT("B"&amp;MIN(11+(ROW()-7)*7+6,370)),"mm/dd/yy")),"")</f>
        <v>05/31/27-06/06/27</v>
      </c>
      <c r="K55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6" spans="2:11" x14ac:dyDescent="0.3">
      <c r="B56" s="149">
        <f t="shared" ca="1" si="3"/>
        <v>46247</v>
      </c>
      <c r="C56" s="73" t="str">
        <f t="shared" ca="1" si="1"/>
        <v>Thursday</v>
      </c>
      <c r="G56" s="73">
        <f t="shared" si="2"/>
        <v>0</v>
      </c>
      <c r="H56" s="73" t="str">
        <f t="shared" si="0"/>
        <v>0h0</v>
      </c>
      <c r="J56" s="173" t="str" cm="1">
        <f t="array" aca="1" ref="J56" ca="1">IFERROR(IF(11+(ROW()-7)*7&gt;370,"",TEXT(INDIRECT("B"&amp;(11+(ROW()-7)*7)),"mm/dd/yy")&amp;"-"&amp;TEXT(INDIRECT("B"&amp;MIN(11+(ROW()-7)*7+6,370)),"mm/dd/yy")),"")</f>
        <v>06/07/27-06/13/27</v>
      </c>
      <c r="K56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7" spans="2:11" x14ac:dyDescent="0.3">
      <c r="B57" s="149">
        <f t="shared" ca="1" si="3"/>
        <v>46248</v>
      </c>
      <c r="C57" s="73" t="str">
        <f t="shared" ca="1" si="1"/>
        <v>Friday</v>
      </c>
      <c r="G57" s="73">
        <f t="shared" si="2"/>
        <v>0</v>
      </c>
      <c r="H57" s="73" t="str">
        <f t="shared" si="0"/>
        <v>0h0</v>
      </c>
      <c r="J57" s="174" t="str" cm="1">
        <f t="array" aca="1" ref="J57" ca="1">IFERROR(IF(11+(ROW()-7)*7&gt;370,"",TEXT(INDIRECT("B"&amp;(11+(ROW()-7)*7)),"mm/dd/yy")&amp;"-"&amp;TEXT(INDIRECT("B"&amp;MIN(11+(ROW()-7)*7+6,370)),"mm/dd/yy")),"")</f>
        <v>06/14/27-06/20/27</v>
      </c>
      <c r="K57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8" spans="2:11" x14ac:dyDescent="0.3">
      <c r="B58" s="149">
        <f t="shared" ca="1" si="3"/>
        <v>46249</v>
      </c>
      <c r="C58" s="73" t="str">
        <f t="shared" ca="1" si="1"/>
        <v>Saturday</v>
      </c>
      <c r="G58" s="73">
        <f t="shared" si="2"/>
        <v>0</v>
      </c>
      <c r="H58" s="73" t="str">
        <f t="shared" si="0"/>
        <v>0h0</v>
      </c>
      <c r="J58" s="175" t="str" cm="1">
        <f t="array" aca="1" ref="J58" ca="1">IFERROR(IF(11+(ROW()-7)*7&gt;370,"",TEXT(INDIRECT("B"&amp;(11+(ROW()-7)*7)),"mm/dd/yy")&amp;"-"&amp;TEXT(INDIRECT("B"&amp;MIN(11+(ROW()-7)*7+6,370)),"mm/dd/yy")),"")</f>
        <v>06/21/27-06/23/27</v>
      </c>
      <c r="K58" s="172" t="str">
        <f ca="1">ROUNDDOWN(SUM(INDIRECT("G"&amp;(11+(ROW()-7)*7)):INDIRECT("G"&amp;(11+(ROW()-7)*7+6)))/60, 0)&amp;"h"&amp;ROUND((SUM(INDIRECT("G"&amp;(11+(ROW()-7)*7)):INDIRECT("G"&amp;(11+(ROW()-7)*7+6)))/60-ROUNDDOWN(SUM(INDIRECT("G"&amp;(11+(ROW()-7)*7)):INDIRECT("G"&amp;(11+(ROW()-7)*7+6)))/60,0))*60,0)</f>
        <v>0h0</v>
      </c>
    </row>
    <row r="59" spans="2:11" x14ac:dyDescent="0.3">
      <c r="B59" s="149">
        <f t="shared" ca="1" si="3"/>
        <v>46250</v>
      </c>
      <c r="C59" s="73" t="str">
        <f t="shared" ca="1" si="1"/>
        <v>Sunday</v>
      </c>
      <c r="G59" s="73">
        <f t="shared" si="2"/>
        <v>0</v>
      </c>
      <c r="H59" s="73" t="str">
        <f t="shared" si="0"/>
        <v>0h0</v>
      </c>
      <c r="J59" s="73" t="str" cm="1">
        <f t="array" aca="1" ref="J59" ca="1">IFERROR(IF(11+(ROW()-7)*7&gt;370,"",TEXT(INDIRECT("B"&amp;(11+(ROW()-7)*7)),"mm/dd/yy")&amp;"-"&amp;TEXT(INDIRECT("B"&amp;MIN(11+(ROW()-7)*7+6,370)),"mm/dd/yy")),"")</f>
        <v/>
      </c>
      <c r="K59" s="73"/>
    </row>
    <row r="60" spans="2:11" x14ac:dyDescent="0.3">
      <c r="B60" s="149">
        <f t="shared" ca="1" si="3"/>
        <v>46251</v>
      </c>
      <c r="C60" s="73" t="str">
        <f t="shared" ca="1" si="1"/>
        <v>Monday</v>
      </c>
      <c r="G60" s="73">
        <f t="shared" si="2"/>
        <v>0</v>
      </c>
      <c r="H60" s="73" t="str">
        <f t="shared" si="0"/>
        <v>0h0</v>
      </c>
      <c r="J60" s="73" t="str" cm="1">
        <f t="array" aca="1" ref="J60" ca="1">IFERROR(IF(11+(ROW()-7)*7&gt;370,"",TEXT(INDIRECT("B"&amp;(11+(ROW()-7)*7)),"mm/dd/yy")&amp;"-"&amp;TEXT(INDIRECT("B"&amp;MIN(11+(ROW()-7)*7+6,370)),"mm/dd/yy")),"")</f>
        <v/>
      </c>
      <c r="K60" s="73"/>
    </row>
    <row r="61" spans="2:11" x14ac:dyDescent="0.3">
      <c r="B61" s="149">
        <f t="shared" ca="1" si="3"/>
        <v>46252</v>
      </c>
      <c r="C61" s="73" t="str">
        <f t="shared" ca="1" si="1"/>
        <v>Tuesday</v>
      </c>
      <c r="G61" s="73">
        <f t="shared" si="2"/>
        <v>0</v>
      </c>
      <c r="H61" s="73" t="str">
        <f t="shared" si="0"/>
        <v>0h0</v>
      </c>
      <c r="J61" s="73" t="str" cm="1">
        <f t="array" aca="1" ref="J61" ca="1">IFERROR(IF(11+(ROW()-7)*7&gt;370,"",TEXT(INDIRECT("B"&amp;(11+(ROW()-7)*7)),"mm/dd/yy")&amp;"-"&amp;TEXT(INDIRECT("B"&amp;MIN(11+(ROW()-7)*7+6,370)),"mm/dd/yy")),"")</f>
        <v/>
      </c>
      <c r="K61" s="73"/>
    </row>
    <row r="62" spans="2:11" x14ac:dyDescent="0.3">
      <c r="B62" s="149">
        <f t="shared" ca="1" si="3"/>
        <v>46253</v>
      </c>
      <c r="C62" s="73" t="str">
        <f t="shared" ca="1" si="1"/>
        <v>Wednesday</v>
      </c>
      <c r="G62" s="73">
        <f t="shared" si="2"/>
        <v>0</v>
      </c>
      <c r="H62" s="73" t="str">
        <f t="shared" si="0"/>
        <v>0h0</v>
      </c>
      <c r="J62" s="73" t="str" cm="1">
        <f t="array" aca="1" ref="J62" ca="1">IFERROR(IF(11+(ROW()-7)*7&gt;370,"",TEXT(INDIRECT("B"&amp;(11+(ROW()-7)*7)),"mm/dd/yy")&amp;"-"&amp;TEXT(INDIRECT("B"&amp;MIN(11+(ROW()-7)*7+6,370)),"mm/dd/yy")),"")</f>
        <v/>
      </c>
      <c r="K62" s="73"/>
    </row>
    <row r="63" spans="2:11" x14ac:dyDescent="0.3">
      <c r="B63" s="149">
        <f t="shared" ca="1" si="3"/>
        <v>46254</v>
      </c>
      <c r="C63" s="73" t="str">
        <f t="shared" ca="1" si="1"/>
        <v>Thursday</v>
      </c>
      <c r="G63" s="73">
        <f t="shared" si="2"/>
        <v>0</v>
      </c>
      <c r="H63" s="73" t="str">
        <f t="shared" si="0"/>
        <v>0h0</v>
      </c>
      <c r="J63" s="73" t="str" cm="1">
        <f t="array" aca="1" ref="J63" ca="1">IFERROR(IF(11+(ROW()-7)*7&gt;370,"",TEXT(INDIRECT("B"&amp;(11+(ROW()-7)*7)),"mm/dd/yy")&amp;"-"&amp;TEXT(INDIRECT("B"&amp;MIN(11+(ROW()-7)*7+6,370)),"mm/dd/yy")),"")</f>
        <v/>
      </c>
      <c r="K63" s="73"/>
    </row>
    <row r="64" spans="2:11" x14ac:dyDescent="0.3">
      <c r="B64" s="149">
        <f t="shared" ca="1" si="3"/>
        <v>46255</v>
      </c>
      <c r="C64" s="73" t="str">
        <f t="shared" ca="1" si="1"/>
        <v>Friday</v>
      </c>
      <c r="G64" s="73">
        <f t="shared" si="2"/>
        <v>0</v>
      </c>
      <c r="H64" s="73" t="str">
        <f t="shared" si="0"/>
        <v>0h0</v>
      </c>
      <c r="J64" s="73" t="str" cm="1">
        <f t="array" aca="1" ref="J64" ca="1">IFERROR(IF(11+(ROW()-7)*7&gt;370,"",TEXT(INDIRECT("B"&amp;(11+(ROW()-7)*7)),"mm/dd/yy")&amp;"-"&amp;TEXT(INDIRECT("B"&amp;MIN(11+(ROW()-7)*7+6,370)),"mm/dd/yy")),"")</f>
        <v/>
      </c>
      <c r="K64" s="73"/>
    </row>
    <row r="65" spans="2:11" x14ac:dyDescent="0.3">
      <c r="B65" s="149">
        <f t="shared" ca="1" si="3"/>
        <v>46256</v>
      </c>
      <c r="C65" s="73" t="str">
        <f t="shared" ca="1" si="1"/>
        <v>Saturday</v>
      </c>
      <c r="G65" s="73">
        <f t="shared" si="2"/>
        <v>0</v>
      </c>
      <c r="H65" s="73" t="str">
        <f t="shared" si="0"/>
        <v>0h0</v>
      </c>
      <c r="J65" s="73" t="str" cm="1">
        <f t="array" aca="1" ref="J65" ca="1">IFERROR(IF(11+(ROW()-7)*7&gt;370,"",TEXT(INDIRECT("B"&amp;(11+(ROW()-7)*7)),"mm/dd/yy")&amp;"-"&amp;TEXT(INDIRECT("B"&amp;MIN(11+(ROW()-7)*7+6,370)),"mm/dd/yy")),"")</f>
        <v/>
      </c>
      <c r="K65" s="73"/>
    </row>
    <row r="66" spans="2:11" x14ac:dyDescent="0.3">
      <c r="B66" s="149">
        <f t="shared" ca="1" si="3"/>
        <v>46257</v>
      </c>
      <c r="C66" s="73" t="str">
        <f t="shared" ca="1" si="1"/>
        <v>Sunday</v>
      </c>
      <c r="G66" s="73">
        <f t="shared" si="2"/>
        <v>0</v>
      </c>
      <c r="H66" s="73" t="str">
        <f t="shared" si="0"/>
        <v>0h0</v>
      </c>
      <c r="J66" s="73" t="str" cm="1">
        <f t="array" aca="1" ref="J66" ca="1">IFERROR(IF(11+(ROW()-7)*7&gt;370,"",TEXT(INDIRECT("B"&amp;(11+(ROW()-7)*7)),"mm/dd/yy")&amp;"-"&amp;TEXT(INDIRECT("B"&amp;MIN(11+(ROW()-7)*7+6,370)),"mm/dd/yy")),"")</f>
        <v/>
      </c>
      <c r="K66" s="73"/>
    </row>
    <row r="67" spans="2:11" x14ac:dyDescent="0.3">
      <c r="B67" s="149">
        <f t="shared" ca="1" si="3"/>
        <v>46258</v>
      </c>
      <c r="C67" s="73" t="str">
        <f t="shared" ca="1" si="1"/>
        <v>Monday</v>
      </c>
      <c r="G67" s="73">
        <f t="shared" si="2"/>
        <v>0</v>
      </c>
      <c r="H67" s="73" t="str">
        <f t="shared" si="0"/>
        <v>0h0</v>
      </c>
      <c r="J67" s="73" t="str" cm="1">
        <f t="array" aca="1" ref="J67" ca="1">IFERROR(IF(11+(ROW()-7)*7&gt;370,"",TEXT(INDIRECT("B"&amp;(11+(ROW()-7)*7)),"mm/dd/yy")&amp;"-"&amp;TEXT(INDIRECT("B"&amp;MIN(11+(ROW()-7)*7+6,370)),"mm/dd/yy")),"")</f>
        <v/>
      </c>
      <c r="K67" s="73"/>
    </row>
    <row r="68" spans="2:11" x14ac:dyDescent="0.3">
      <c r="B68" s="149">
        <f t="shared" ca="1" si="3"/>
        <v>46259</v>
      </c>
      <c r="C68" s="73" t="str">
        <f t="shared" ca="1" si="1"/>
        <v>Tuesday</v>
      </c>
      <c r="G68" s="73">
        <f t="shared" si="2"/>
        <v>0</v>
      </c>
      <c r="H68" s="73" t="str">
        <f t="shared" si="0"/>
        <v>0h0</v>
      </c>
      <c r="J68" s="73" t="str" cm="1">
        <f t="array" aca="1" ref="J68" ca="1">IFERROR(IF(11+(ROW()-7)*7&gt;370,"",TEXT(INDIRECT("B"&amp;(11+(ROW()-7)*7)),"mm/dd/yy")&amp;"-"&amp;TEXT(INDIRECT("B"&amp;MIN(11+(ROW()-7)*7+6,370)),"mm/dd/yy")),"")</f>
        <v/>
      </c>
      <c r="K68" s="73"/>
    </row>
    <row r="69" spans="2:11" x14ac:dyDescent="0.3">
      <c r="B69" s="149">
        <f t="shared" ca="1" si="3"/>
        <v>46260</v>
      </c>
      <c r="C69" s="73" t="str">
        <f t="shared" ca="1" si="1"/>
        <v>Wednesday</v>
      </c>
      <c r="G69" s="73">
        <f t="shared" si="2"/>
        <v>0</v>
      </c>
      <c r="H69" s="73" t="str">
        <f t="shared" ref="H69:H132" si="5">ROUNDDOWN(G69/60, 0)&amp;"h"&amp;ROUNDUP((G69/60-ROUNDDOWN(G69/60, 0))*60,0)</f>
        <v>0h0</v>
      </c>
      <c r="J69" s="73" t="str" cm="1">
        <f t="array" aca="1" ref="J69" ca="1">IFERROR(IF(11+(ROW()-7)*7&gt;370,"",TEXT(INDIRECT("B"&amp;(11+(ROW()-7)*7)),"mm/dd/yy")&amp;"-"&amp;TEXT(INDIRECT("B"&amp;MIN(11+(ROW()-7)*7+6,370)),"mm/dd/yy")),"")</f>
        <v/>
      </c>
      <c r="K69" s="73"/>
    </row>
    <row r="70" spans="2:11" x14ac:dyDescent="0.3">
      <c r="B70" s="149">
        <f t="shared" ca="1" si="3"/>
        <v>46261</v>
      </c>
      <c r="C70" s="73" t="str">
        <f t="shared" ref="C70:C133" ca="1" si="6">TEXT(B70, "dddd")</f>
        <v>Thursday</v>
      </c>
      <c r="G70" s="73">
        <f t="shared" ref="G70:G133" si="7">E70*25+F70</f>
        <v>0</v>
      </c>
      <c r="H70" s="73" t="str">
        <f t="shared" si="5"/>
        <v>0h0</v>
      </c>
      <c r="J70" s="73" t="str" cm="1">
        <f t="array" aca="1" ref="J70" ca="1">IFERROR(IF(11+(ROW()-7)*7&gt;370,"",TEXT(INDIRECT("B"&amp;(11+(ROW()-7)*7)),"mm/dd/yy")&amp;"-"&amp;TEXT(INDIRECT("B"&amp;MIN(11+(ROW()-7)*7+6,370)),"mm/dd/yy")),"")</f>
        <v/>
      </c>
      <c r="K70" s="73"/>
    </row>
    <row r="71" spans="2:11" x14ac:dyDescent="0.3">
      <c r="B71" s="149">
        <f t="shared" ref="B71:B134" ca="1" si="8">B70+1</f>
        <v>46262</v>
      </c>
      <c r="C71" s="73" t="str">
        <f t="shared" ca="1" si="6"/>
        <v>Friday</v>
      </c>
      <c r="G71" s="73">
        <f t="shared" si="7"/>
        <v>0</v>
      </c>
      <c r="H71" s="73" t="str">
        <f t="shared" si="5"/>
        <v>0h0</v>
      </c>
      <c r="J71" s="73" t="str" cm="1">
        <f t="array" aca="1" ref="J71" ca="1">IFERROR(IF(11+(ROW()-7)*7&gt;370,"",TEXT(INDIRECT("B"&amp;(11+(ROW()-7)*7)),"mm/dd/yy")&amp;"-"&amp;TEXT(INDIRECT("B"&amp;MIN(11+(ROW()-7)*7+6,370)),"mm/dd/yy")),"")</f>
        <v/>
      </c>
      <c r="K71" s="73"/>
    </row>
    <row r="72" spans="2:11" x14ac:dyDescent="0.3">
      <c r="B72" s="149">
        <f t="shared" ca="1" si="8"/>
        <v>46263</v>
      </c>
      <c r="C72" s="73" t="str">
        <f t="shared" ca="1" si="6"/>
        <v>Saturday</v>
      </c>
      <c r="G72" s="73">
        <f t="shared" si="7"/>
        <v>0</v>
      </c>
      <c r="H72" s="73" t="str">
        <f t="shared" si="5"/>
        <v>0h0</v>
      </c>
      <c r="J72" s="73" t="str" cm="1">
        <f t="array" aca="1" ref="J72" ca="1">IFERROR(IF(11+(ROW()-7)*7&gt;370,"",TEXT(INDIRECT("B"&amp;(11+(ROW()-7)*7)),"mm/dd/yy")&amp;"-"&amp;TEXT(INDIRECT("B"&amp;MIN(11+(ROW()-7)*7+6,370)),"mm/dd/yy")),"")</f>
        <v/>
      </c>
      <c r="K72" s="73"/>
    </row>
    <row r="73" spans="2:11" x14ac:dyDescent="0.3">
      <c r="B73" s="149">
        <f t="shared" ca="1" si="8"/>
        <v>46264</v>
      </c>
      <c r="C73" s="73" t="str">
        <f t="shared" ca="1" si="6"/>
        <v>Sunday</v>
      </c>
      <c r="G73" s="73">
        <f t="shared" si="7"/>
        <v>0</v>
      </c>
      <c r="H73" s="73" t="str">
        <f t="shared" si="5"/>
        <v>0h0</v>
      </c>
      <c r="J73" s="73" t="str" cm="1">
        <f t="array" aca="1" ref="J73" ca="1">IFERROR(IF(11+(ROW()-7)*7&gt;370,"",TEXT(INDIRECT("B"&amp;(11+(ROW()-7)*7)),"mm/dd/yy")&amp;"-"&amp;TEXT(INDIRECT("B"&amp;MIN(11+(ROW()-7)*7+6,370)),"mm/dd/yy")),"")</f>
        <v/>
      </c>
      <c r="K73" s="73"/>
    </row>
    <row r="74" spans="2:11" x14ac:dyDescent="0.3">
      <c r="B74" s="149">
        <f t="shared" ca="1" si="8"/>
        <v>46265</v>
      </c>
      <c r="C74" s="73" t="str">
        <f t="shared" ca="1" si="6"/>
        <v>Monday</v>
      </c>
      <c r="G74" s="73">
        <f t="shared" si="7"/>
        <v>0</v>
      </c>
      <c r="H74" s="73" t="str">
        <f t="shared" si="5"/>
        <v>0h0</v>
      </c>
      <c r="J74" s="73" t="str" cm="1">
        <f t="array" aca="1" ref="J74" ca="1">IFERROR(IF(11+(ROW()-7)*7&gt;370,"",TEXT(INDIRECT("B"&amp;(11+(ROW()-7)*7)),"mm/dd/yy")&amp;"-"&amp;TEXT(INDIRECT("B"&amp;MIN(11+(ROW()-7)*7+6,370)),"mm/dd/yy")),"")</f>
        <v/>
      </c>
      <c r="K74" s="73"/>
    </row>
    <row r="75" spans="2:11" x14ac:dyDescent="0.3">
      <c r="B75" s="149">
        <f t="shared" ca="1" si="8"/>
        <v>46266</v>
      </c>
      <c r="C75" s="73" t="str">
        <f t="shared" ca="1" si="6"/>
        <v>Tuesday</v>
      </c>
      <c r="G75" s="73">
        <f t="shared" si="7"/>
        <v>0</v>
      </c>
      <c r="H75" s="73" t="str">
        <f t="shared" si="5"/>
        <v>0h0</v>
      </c>
      <c r="J75" s="73" t="str" cm="1">
        <f t="array" aca="1" ref="J75" ca="1">IFERROR(IF(11+(ROW()-7)*7&gt;370,"",TEXT(INDIRECT("B"&amp;(11+(ROW()-7)*7)),"mm/dd/yy")&amp;"-"&amp;TEXT(INDIRECT("B"&amp;MIN(11+(ROW()-7)*7+6,370)),"mm/dd/yy")),"")</f>
        <v/>
      </c>
      <c r="K75" s="73"/>
    </row>
    <row r="76" spans="2:11" x14ac:dyDescent="0.3">
      <c r="B76" s="149">
        <f t="shared" ca="1" si="8"/>
        <v>46267</v>
      </c>
      <c r="C76" s="73" t="str">
        <f t="shared" ca="1" si="6"/>
        <v>Wednesday</v>
      </c>
      <c r="G76" s="73">
        <f t="shared" si="7"/>
        <v>0</v>
      </c>
      <c r="H76" s="73" t="str">
        <f t="shared" si="5"/>
        <v>0h0</v>
      </c>
      <c r="J76" s="73" t="str" cm="1">
        <f t="array" aca="1" ref="J76" ca="1">IFERROR(IF(11+(ROW()-7)*7&gt;370,"",TEXT(INDIRECT("B"&amp;(11+(ROW()-7)*7)),"mm/dd/yy")&amp;"-"&amp;TEXT(INDIRECT("B"&amp;MIN(11+(ROW()-7)*7+6,370)),"mm/dd/yy")),"")</f>
        <v/>
      </c>
      <c r="K76" s="73"/>
    </row>
    <row r="77" spans="2:11" x14ac:dyDescent="0.3">
      <c r="B77" s="149">
        <f t="shared" ca="1" si="8"/>
        <v>46268</v>
      </c>
      <c r="C77" s="73" t="str">
        <f t="shared" ca="1" si="6"/>
        <v>Thursday</v>
      </c>
      <c r="G77" s="73">
        <f t="shared" si="7"/>
        <v>0</v>
      </c>
      <c r="H77" s="73" t="str">
        <f t="shared" si="5"/>
        <v>0h0</v>
      </c>
      <c r="J77" s="73" t="str" cm="1">
        <f t="array" aca="1" ref="J77" ca="1">IFERROR(IF(11+(ROW()-7)*7&gt;370,"",TEXT(INDIRECT("B"&amp;(11+(ROW()-7)*7)),"mm/dd/yy")&amp;"-"&amp;TEXT(INDIRECT("B"&amp;MIN(11+(ROW()-7)*7+6,370)),"mm/dd/yy")),"")</f>
        <v/>
      </c>
      <c r="K77" s="73"/>
    </row>
    <row r="78" spans="2:11" x14ac:dyDescent="0.3">
      <c r="B78" s="149">
        <f t="shared" ca="1" si="8"/>
        <v>46269</v>
      </c>
      <c r="C78" s="73" t="str">
        <f t="shared" ca="1" si="6"/>
        <v>Friday</v>
      </c>
      <c r="G78" s="73">
        <f t="shared" si="7"/>
        <v>0</v>
      </c>
      <c r="H78" s="73" t="str">
        <f t="shared" si="5"/>
        <v>0h0</v>
      </c>
      <c r="J78" s="73" t="str" cm="1">
        <f t="array" aca="1" ref="J78" ca="1">IFERROR(IF(11+(ROW()-7)*7&gt;370,"",TEXT(INDIRECT("B"&amp;(11+(ROW()-7)*7)),"mm/dd/yy")&amp;"-"&amp;TEXT(INDIRECT("B"&amp;MIN(11+(ROW()-7)*7+6,370)),"mm/dd/yy")),"")</f>
        <v/>
      </c>
      <c r="K78" s="73"/>
    </row>
    <row r="79" spans="2:11" x14ac:dyDescent="0.3">
      <c r="B79" s="149">
        <f t="shared" ca="1" si="8"/>
        <v>46270</v>
      </c>
      <c r="C79" s="73" t="str">
        <f t="shared" ca="1" si="6"/>
        <v>Saturday</v>
      </c>
      <c r="G79" s="73">
        <f t="shared" si="7"/>
        <v>0</v>
      </c>
      <c r="H79" s="73" t="str">
        <f t="shared" si="5"/>
        <v>0h0</v>
      </c>
      <c r="J79" s="73" t="str" cm="1">
        <f t="array" aca="1" ref="J79" ca="1">IFERROR(IF(11+(ROW()-7)*7&gt;370,"",TEXT(INDIRECT("B"&amp;(11+(ROW()-7)*7)),"mm/dd/yy")&amp;"-"&amp;TEXT(INDIRECT("B"&amp;MIN(11+(ROW()-7)*7+6,370)),"mm/dd/yy")),"")</f>
        <v/>
      </c>
      <c r="K79" s="73"/>
    </row>
    <row r="80" spans="2:11" x14ac:dyDescent="0.3">
      <c r="B80" s="149">
        <f t="shared" ca="1" si="8"/>
        <v>46271</v>
      </c>
      <c r="C80" s="73" t="str">
        <f t="shared" ca="1" si="6"/>
        <v>Sunday</v>
      </c>
      <c r="G80" s="73">
        <f t="shared" si="7"/>
        <v>0</v>
      </c>
      <c r="H80" s="73" t="str">
        <f t="shared" si="5"/>
        <v>0h0</v>
      </c>
      <c r="J80" s="73" t="str" cm="1">
        <f t="array" aca="1" ref="J80" ca="1">IFERROR(IF(11+(ROW()-7)*7&gt;370,"",TEXT(INDIRECT("B"&amp;(11+(ROW()-7)*7)),"mm/dd/yy")&amp;"-"&amp;TEXT(INDIRECT("B"&amp;MIN(11+(ROW()-7)*7+6,370)),"mm/dd/yy")),"")</f>
        <v/>
      </c>
      <c r="K80" s="73"/>
    </row>
    <row r="81" spans="2:11" x14ac:dyDescent="0.3">
      <c r="B81" s="149">
        <f t="shared" ca="1" si="8"/>
        <v>46272</v>
      </c>
      <c r="C81" s="73" t="str">
        <f t="shared" ca="1" si="6"/>
        <v>Monday</v>
      </c>
      <c r="G81" s="73">
        <f t="shared" si="7"/>
        <v>0</v>
      </c>
      <c r="H81" s="73" t="str">
        <f t="shared" si="5"/>
        <v>0h0</v>
      </c>
      <c r="J81" s="73" t="str" cm="1">
        <f t="array" aca="1" ref="J81" ca="1">IFERROR(IF(11+(ROW()-7)*7&gt;370,"",TEXT(INDIRECT("B"&amp;(11+(ROW()-7)*7)),"mm/dd/yy")&amp;"-"&amp;TEXT(INDIRECT("B"&amp;MIN(11+(ROW()-7)*7+6,370)),"mm/dd/yy")),"")</f>
        <v/>
      </c>
      <c r="K81" s="73"/>
    </row>
    <row r="82" spans="2:11" x14ac:dyDescent="0.3">
      <c r="B82" s="149">
        <f t="shared" ca="1" si="8"/>
        <v>46273</v>
      </c>
      <c r="C82" s="73" t="str">
        <f t="shared" ca="1" si="6"/>
        <v>Tuesday</v>
      </c>
      <c r="G82" s="73">
        <f t="shared" si="7"/>
        <v>0</v>
      </c>
      <c r="H82" s="73" t="str">
        <f t="shared" si="5"/>
        <v>0h0</v>
      </c>
      <c r="J82" s="73" t="str" cm="1">
        <f t="array" aca="1" ref="J82" ca="1">IFERROR(IF(11+(ROW()-7)*7&gt;370,"",TEXT(INDIRECT("B"&amp;(11+(ROW()-7)*7)),"mm/dd/yy")&amp;"-"&amp;TEXT(INDIRECT("B"&amp;MIN(11+(ROW()-7)*7+6,370)),"mm/dd/yy")),"")</f>
        <v/>
      </c>
      <c r="K82" s="73"/>
    </row>
    <row r="83" spans="2:11" x14ac:dyDescent="0.3">
      <c r="B83" s="149">
        <f t="shared" ca="1" si="8"/>
        <v>46274</v>
      </c>
      <c r="C83" s="73" t="str">
        <f t="shared" ca="1" si="6"/>
        <v>Wednesday</v>
      </c>
      <c r="G83" s="73">
        <f t="shared" si="7"/>
        <v>0</v>
      </c>
      <c r="H83" s="73" t="str">
        <f t="shared" si="5"/>
        <v>0h0</v>
      </c>
      <c r="J83" s="73" t="str" cm="1">
        <f t="array" aca="1" ref="J83" ca="1">IFERROR(IF(11+(ROW()-7)*7&gt;370,"",TEXT(INDIRECT("B"&amp;(11+(ROW()-7)*7)),"mm/dd/yy")&amp;"-"&amp;TEXT(INDIRECT("B"&amp;MIN(11+(ROW()-7)*7+6,370)),"mm/dd/yy")),"")</f>
        <v/>
      </c>
      <c r="K83" s="73"/>
    </row>
    <row r="84" spans="2:11" x14ac:dyDescent="0.3">
      <c r="B84" s="149">
        <f t="shared" ca="1" si="8"/>
        <v>46275</v>
      </c>
      <c r="C84" s="73" t="str">
        <f t="shared" ca="1" si="6"/>
        <v>Thursday</v>
      </c>
      <c r="G84" s="73">
        <f t="shared" si="7"/>
        <v>0</v>
      </c>
      <c r="H84" s="73" t="str">
        <f t="shared" si="5"/>
        <v>0h0</v>
      </c>
      <c r="J84" s="73" t="str" cm="1">
        <f t="array" aca="1" ref="J84" ca="1">IFERROR(IF(11+(ROW()-7)*7&gt;370,"",TEXT(INDIRECT("B"&amp;(11+(ROW()-7)*7)),"mm/dd/yy")&amp;"-"&amp;TEXT(INDIRECT("B"&amp;MIN(11+(ROW()-7)*7+6,370)),"mm/dd/yy")),"")</f>
        <v/>
      </c>
      <c r="K84" s="73"/>
    </row>
    <row r="85" spans="2:11" x14ac:dyDescent="0.3">
      <c r="B85" s="149">
        <f t="shared" ca="1" si="8"/>
        <v>46276</v>
      </c>
      <c r="C85" s="73" t="str">
        <f t="shared" ca="1" si="6"/>
        <v>Friday</v>
      </c>
      <c r="G85" s="73">
        <f t="shared" si="7"/>
        <v>0</v>
      </c>
      <c r="H85" s="73" t="str">
        <f t="shared" si="5"/>
        <v>0h0</v>
      </c>
      <c r="J85" s="73" t="str" cm="1">
        <f t="array" aca="1" ref="J85" ca="1">IFERROR(IF(11+(ROW()-7)*7&gt;370,"",TEXT(INDIRECT("B"&amp;(11+(ROW()-7)*7)),"mm/dd/yy")&amp;"-"&amp;TEXT(INDIRECT("B"&amp;MIN(11+(ROW()-7)*7+6,370)),"mm/dd/yy")),"")</f>
        <v/>
      </c>
      <c r="K85" s="73"/>
    </row>
    <row r="86" spans="2:11" x14ac:dyDescent="0.3">
      <c r="B86" s="149">
        <f t="shared" ca="1" si="8"/>
        <v>46277</v>
      </c>
      <c r="C86" s="73" t="str">
        <f t="shared" ca="1" si="6"/>
        <v>Saturday</v>
      </c>
      <c r="G86" s="73">
        <f t="shared" si="7"/>
        <v>0</v>
      </c>
      <c r="H86" s="73" t="str">
        <f t="shared" si="5"/>
        <v>0h0</v>
      </c>
      <c r="J86" s="73" t="str" cm="1">
        <f t="array" aca="1" ref="J86" ca="1">IFERROR(IF(11+(ROW()-7)*7&gt;370,"",TEXT(INDIRECT("B"&amp;(11+(ROW()-7)*7)),"mm/dd/yy")&amp;"-"&amp;TEXT(INDIRECT("B"&amp;MIN(11+(ROW()-7)*7+6,370)),"mm/dd/yy")),"")</f>
        <v/>
      </c>
      <c r="K86" s="73"/>
    </row>
    <row r="87" spans="2:11" x14ac:dyDescent="0.3">
      <c r="B87" s="149">
        <f t="shared" ca="1" si="8"/>
        <v>46278</v>
      </c>
      <c r="C87" s="73" t="str">
        <f t="shared" ca="1" si="6"/>
        <v>Sunday</v>
      </c>
      <c r="G87" s="73">
        <f t="shared" si="7"/>
        <v>0</v>
      </c>
      <c r="H87" s="73" t="str">
        <f t="shared" si="5"/>
        <v>0h0</v>
      </c>
      <c r="J87" s="73" t="str" cm="1">
        <f t="array" aca="1" ref="J87" ca="1">IFERROR(IF(11+(ROW()-7)*7&gt;370,"",TEXT(INDIRECT("B"&amp;(11+(ROW()-7)*7)),"mm/dd/yy")&amp;"-"&amp;TEXT(INDIRECT("B"&amp;MIN(11+(ROW()-7)*7+6,370)),"mm/dd/yy")),"")</f>
        <v/>
      </c>
      <c r="K87" s="73"/>
    </row>
    <row r="88" spans="2:11" x14ac:dyDescent="0.3">
      <c r="B88" s="149">
        <f t="shared" ca="1" si="8"/>
        <v>46279</v>
      </c>
      <c r="C88" s="73" t="str">
        <f t="shared" ca="1" si="6"/>
        <v>Monday</v>
      </c>
      <c r="G88" s="73">
        <f t="shared" si="7"/>
        <v>0</v>
      </c>
      <c r="H88" s="73" t="str">
        <f t="shared" si="5"/>
        <v>0h0</v>
      </c>
      <c r="J88" s="73" t="str" cm="1">
        <f t="array" aca="1" ref="J88" ca="1">IFERROR(IF(11+(ROW()-7)*7&gt;370,"",TEXT(INDIRECT("B"&amp;(11+(ROW()-7)*7)),"mm/dd/yy")&amp;"-"&amp;TEXT(INDIRECT("B"&amp;MIN(11+(ROW()-7)*7+6,370)),"mm/dd/yy")),"")</f>
        <v/>
      </c>
      <c r="K88" s="73"/>
    </row>
    <row r="89" spans="2:11" x14ac:dyDescent="0.3">
      <c r="B89" s="149">
        <f t="shared" ca="1" si="8"/>
        <v>46280</v>
      </c>
      <c r="C89" s="73" t="str">
        <f t="shared" ca="1" si="6"/>
        <v>Tuesday</v>
      </c>
      <c r="G89" s="73">
        <f t="shared" si="7"/>
        <v>0</v>
      </c>
      <c r="H89" s="73" t="str">
        <f t="shared" si="5"/>
        <v>0h0</v>
      </c>
      <c r="J89" s="73" t="str" cm="1">
        <f t="array" aca="1" ref="J89" ca="1">IFERROR(IF(11+(ROW()-7)*7&gt;370,"",TEXT(INDIRECT("B"&amp;(11+(ROW()-7)*7)),"mm/dd/yy")&amp;"-"&amp;TEXT(INDIRECT("B"&amp;MIN(11+(ROW()-7)*7+6,370)),"mm/dd/yy")),"")</f>
        <v/>
      </c>
      <c r="K89" s="73"/>
    </row>
    <row r="90" spans="2:11" x14ac:dyDescent="0.3">
      <c r="B90" s="149">
        <f t="shared" ca="1" si="8"/>
        <v>46281</v>
      </c>
      <c r="C90" s="73" t="str">
        <f t="shared" ca="1" si="6"/>
        <v>Wednesday</v>
      </c>
      <c r="G90" s="73">
        <f t="shared" si="7"/>
        <v>0</v>
      </c>
      <c r="H90" s="73" t="str">
        <f t="shared" si="5"/>
        <v>0h0</v>
      </c>
      <c r="J90" s="73" t="str" cm="1">
        <f t="array" aca="1" ref="J90" ca="1">IFERROR(IF(11+(ROW()-7)*7&gt;370,"",TEXT(INDIRECT("B"&amp;(11+(ROW()-7)*7)),"mm/dd/yy")&amp;"-"&amp;TEXT(INDIRECT("B"&amp;MIN(11+(ROW()-7)*7+6,370)),"mm/dd/yy")),"")</f>
        <v/>
      </c>
      <c r="K90" s="73"/>
    </row>
    <row r="91" spans="2:11" x14ac:dyDescent="0.3">
      <c r="B91" s="149">
        <f t="shared" ca="1" si="8"/>
        <v>46282</v>
      </c>
      <c r="C91" s="73" t="str">
        <f t="shared" ca="1" si="6"/>
        <v>Thursday</v>
      </c>
      <c r="G91" s="73">
        <f t="shared" si="7"/>
        <v>0</v>
      </c>
      <c r="H91" s="73" t="str">
        <f t="shared" si="5"/>
        <v>0h0</v>
      </c>
      <c r="J91" s="73" t="str" cm="1">
        <f t="array" aca="1" ref="J91" ca="1">IFERROR(IF(11+(ROW()-7)*7&gt;370,"",TEXT(INDIRECT("B"&amp;(11+(ROW()-7)*7)),"mm/dd/yy")&amp;"-"&amp;TEXT(INDIRECT("B"&amp;MIN(11+(ROW()-7)*7+6,370)),"mm/dd/yy")),"")</f>
        <v/>
      </c>
      <c r="K91" s="73"/>
    </row>
    <row r="92" spans="2:11" x14ac:dyDescent="0.3">
      <c r="B92" s="149">
        <f t="shared" ca="1" si="8"/>
        <v>46283</v>
      </c>
      <c r="C92" s="73" t="str">
        <f t="shared" ca="1" si="6"/>
        <v>Friday</v>
      </c>
      <c r="G92" s="73">
        <f t="shared" si="7"/>
        <v>0</v>
      </c>
      <c r="H92" s="73" t="str">
        <f t="shared" si="5"/>
        <v>0h0</v>
      </c>
      <c r="J92" s="73" t="str" cm="1">
        <f t="array" aca="1" ref="J92" ca="1">IFERROR(IF(11+(ROW()-7)*7&gt;370,"",TEXT(INDIRECT("B"&amp;(11+(ROW()-7)*7)),"mm/dd/yy")&amp;"-"&amp;TEXT(INDIRECT("B"&amp;MIN(11+(ROW()-7)*7+6,370)),"mm/dd/yy")),"")</f>
        <v/>
      </c>
      <c r="K92" s="73"/>
    </row>
    <row r="93" spans="2:11" x14ac:dyDescent="0.3">
      <c r="B93" s="149">
        <f t="shared" ca="1" si="8"/>
        <v>46284</v>
      </c>
      <c r="C93" s="73" t="str">
        <f t="shared" ca="1" si="6"/>
        <v>Saturday</v>
      </c>
      <c r="G93" s="73">
        <f t="shared" si="7"/>
        <v>0</v>
      </c>
      <c r="H93" s="73" t="str">
        <f t="shared" si="5"/>
        <v>0h0</v>
      </c>
      <c r="J93" s="73" t="str" cm="1">
        <f t="array" aca="1" ref="J93" ca="1">IFERROR(IF(11+(ROW()-7)*7&gt;370,"",TEXT(INDIRECT("B"&amp;(11+(ROW()-7)*7)),"mm/dd/yy")&amp;"-"&amp;TEXT(INDIRECT("B"&amp;MIN(11+(ROW()-7)*7+6,370)),"mm/dd/yy")),"")</f>
        <v/>
      </c>
      <c r="K93" s="73"/>
    </row>
    <row r="94" spans="2:11" x14ac:dyDescent="0.3">
      <c r="B94" s="149">
        <f t="shared" ca="1" si="8"/>
        <v>46285</v>
      </c>
      <c r="C94" s="73" t="str">
        <f t="shared" ca="1" si="6"/>
        <v>Sunday</v>
      </c>
      <c r="G94" s="73">
        <f t="shared" si="7"/>
        <v>0</v>
      </c>
      <c r="H94" s="73" t="str">
        <f t="shared" si="5"/>
        <v>0h0</v>
      </c>
      <c r="J94" s="73" t="str" cm="1">
        <f t="array" aca="1" ref="J94" ca="1">IFERROR(IF(11+(ROW()-7)*7&gt;370,"",TEXT(INDIRECT("B"&amp;(11+(ROW()-7)*7)),"mm/dd/yy")&amp;"-"&amp;TEXT(INDIRECT("B"&amp;MIN(11+(ROW()-7)*7+6,370)),"mm/dd/yy")),"")</f>
        <v/>
      </c>
      <c r="K94" s="73"/>
    </row>
    <row r="95" spans="2:11" x14ac:dyDescent="0.3">
      <c r="B95" s="149">
        <f t="shared" ca="1" si="8"/>
        <v>46286</v>
      </c>
      <c r="C95" s="73" t="str">
        <f t="shared" ca="1" si="6"/>
        <v>Monday</v>
      </c>
      <c r="G95" s="73">
        <f t="shared" si="7"/>
        <v>0</v>
      </c>
      <c r="H95" s="73" t="str">
        <f t="shared" si="5"/>
        <v>0h0</v>
      </c>
      <c r="J95" s="73" t="str" cm="1">
        <f t="array" aca="1" ref="J95" ca="1">IFERROR(IF(11+(ROW()-7)*7&gt;370,"",TEXT(INDIRECT("B"&amp;(11+(ROW()-7)*7)),"mm/dd/yy")&amp;"-"&amp;TEXT(INDIRECT("B"&amp;MIN(11+(ROW()-7)*7+6,370)),"mm/dd/yy")),"")</f>
        <v/>
      </c>
      <c r="K95" s="73"/>
    </row>
    <row r="96" spans="2:11" x14ac:dyDescent="0.3">
      <c r="B96" s="149">
        <f t="shared" ca="1" si="8"/>
        <v>46287</v>
      </c>
      <c r="C96" s="73" t="str">
        <f t="shared" ca="1" si="6"/>
        <v>Tuesday</v>
      </c>
      <c r="G96" s="73">
        <f t="shared" si="7"/>
        <v>0</v>
      </c>
      <c r="H96" s="73" t="str">
        <f t="shared" si="5"/>
        <v>0h0</v>
      </c>
      <c r="J96" s="73" t="str" cm="1">
        <f t="array" aca="1" ref="J96" ca="1">IFERROR(IF(11+(ROW()-7)*7&gt;370,"",TEXT(INDIRECT("B"&amp;(11+(ROW()-7)*7)),"mm/dd/yy")&amp;"-"&amp;TEXT(INDIRECT("B"&amp;MIN(11+(ROW()-7)*7+6,370)),"mm/dd/yy")),"")</f>
        <v/>
      </c>
      <c r="K96" s="73"/>
    </row>
    <row r="97" spans="2:11" x14ac:dyDescent="0.3">
      <c r="B97" s="149">
        <f t="shared" ca="1" si="8"/>
        <v>46288</v>
      </c>
      <c r="C97" s="73" t="str">
        <f t="shared" ca="1" si="6"/>
        <v>Wednesday</v>
      </c>
      <c r="G97" s="73">
        <f t="shared" si="7"/>
        <v>0</v>
      </c>
      <c r="H97" s="73" t="str">
        <f t="shared" si="5"/>
        <v>0h0</v>
      </c>
      <c r="J97" s="73" t="str" cm="1">
        <f t="array" aca="1" ref="J97" ca="1">IFERROR(IF(11+(ROW()-7)*7&gt;370,"",TEXT(INDIRECT("B"&amp;(11+(ROW()-7)*7)),"mm/dd/yy")&amp;"-"&amp;TEXT(INDIRECT("B"&amp;MIN(11+(ROW()-7)*7+6,370)),"mm/dd/yy")),"")</f>
        <v/>
      </c>
      <c r="K97" s="73"/>
    </row>
    <row r="98" spans="2:11" x14ac:dyDescent="0.3">
      <c r="B98" s="149">
        <f t="shared" ca="1" si="8"/>
        <v>46289</v>
      </c>
      <c r="C98" s="73" t="str">
        <f t="shared" ca="1" si="6"/>
        <v>Thursday</v>
      </c>
      <c r="G98" s="73">
        <f t="shared" si="7"/>
        <v>0</v>
      </c>
      <c r="H98" s="73" t="str">
        <f t="shared" si="5"/>
        <v>0h0</v>
      </c>
      <c r="J98" s="73" t="str" cm="1">
        <f t="array" aca="1" ref="J98" ca="1">IFERROR(IF(11+(ROW()-7)*7&gt;370,"",TEXT(INDIRECT("B"&amp;(11+(ROW()-7)*7)),"mm/dd/yy")&amp;"-"&amp;TEXT(INDIRECT("B"&amp;MIN(11+(ROW()-7)*7+6,370)),"mm/dd/yy")),"")</f>
        <v/>
      </c>
      <c r="K98" s="73"/>
    </row>
    <row r="99" spans="2:11" x14ac:dyDescent="0.3">
      <c r="B99" s="149">
        <f t="shared" ca="1" si="8"/>
        <v>46290</v>
      </c>
      <c r="C99" s="73" t="str">
        <f t="shared" ca="1" si="6"/>
        <v>Friday</v>
      </c>
      <c r="G99" s="73">
        <f t="shared" si="7"/>
        <v>0</v>
      </c>
      <c r="H99" s="73" t="str">
        <f t="shared" si="5"/>
        <v>0h0</v>
      </c>
      <c r="J99" s="73" t="str" cm="1">
        <f t="array" aca="1" ref="J99" ca="1">IFERROR(IF(11+(ROW()-7)*7&gt;370,"",TEXT(INDIRECT("B"&amp;(11+(ROW()-7)*7)),"mm/dd/yy")&amp;"-"&amp;TEXT(INDIRECT("B"&amp;MIN(11+(ROW()-7)*7+6,370)),"mm/dd/yy")),"")</f>
        <v/>
      </c>
      <c r="K99" s="73"/>
    </row>
    <row r="100" spans="2:11" x14ac:dyDescent="0.3">
      <c r="B100" s="149">
        <f t="shared" ca="1" si="8"/>
        <v>46291</v>
      </c>
      <c r="C100" s="73" t="str">
        <f t="shared" ca="1" si="6"/>
        <v>Saturday</v>
      </c>
      <c r="G100" s="73">
        <f t="shared" si="7"/>
        <v>0</v>
      </c>
      <c r="H100" s="73" t="str">
        <f t="shared" si="5"/>
        <v>0h0</v>
      </c>
      <c r="J100" s="73" t="str" cm="1">
        <f t="array" aca="1" ref="J100" ca="1">IFERROR(IF(11+(ROW()-7)*7&gt;370,"",TEXT(INDIRECT("B"&amp;(11+(ROW()-7)*7)),"mm/dd/yy")&amp;"-"&amp;TEXT(INDIRECT("B"&amp;MIN(11+(ROW()-7)*7+6,370)),"mm/dd/yy")),"")</f>
        <v/>
      </c>
      <c r="K100" s="73"/>
    </row>
    <row r="101" spans="2:11" x14ac:dyDescent="0.3">
      <c r="B101" s="149">
        <f t="shared" ca="1" si="8"/>
        <v>46292</v>
      </c>
      <c r="C101" s="73" t="str">
        <f t="shared" ca="1" si="6"/>
        <v>Sunday</v>
      </c>
      <c r="G101" s="73">
        <f t="shared" si="7"/>
        <v>0</v>
      </c>
      <c r="H101" s="73" t="str">
        <f t="shared" si="5"/>
        <v>0h0</v>
      </c>
      <c r="J101" s="73" t="str" cm="1">
        <f t="array" aca="1" ref="J101" ca="1">IFERROR(IF(11+(ROW()-7)*7&gt;370,"",TEXT(INDIRECT("B"&amp;(11+(ROW()-7)*7)),"mm/dd/yy")&amp;"-"&amp;TEXT(INDIRECT("B"&amp;MIN(11+(ROW()-7)*7+6,370)),"mm/dd/yy")),"")</f>
        <v/>
      </c>
      <c r="K101" s="73"/>
    </row>
    <row r="102" spans="2:11" x14ac:dyDescent="0.3">
      <c r="B102" s="149">
        <f t="shared" ca="1" si="8"/>
        <v>46293</v>
      </c>
      <c r="C102" s="73" t="str">
        <f t="shared" ca="1" si="6"/>
        <v>Monday</v>
      </c>
      <c r="G102" s="73">
        <f t="shared" si="7"/>
        <v>0</v>
      </c>
      <c r="H102" s="73" t="str">
        <f t="shared" si="5"/>
        <v>0h0</v>
      </c>
      <c r="J102" s="73" t="str" cm="1">
        <f t="array" aca="1" ref="J102" ca="1">IFERROR(IF(11+(ROW()-7)*7&gt;370,"",TEXT(INDIRECT("B"&amp;(11+(ROW()-7)*7)),"mm/dd/yy")&amp;"-"&amp;TEXT(INDIRECT("B"&amp;MIN(11+(ROW()-7)*7+6,370)),"mm/dd/yy")),"")</f>
        <v/>
      </c>
      <c r="K102" s="73"/>
    </row>
    <row r="103" spans="2:11" x14ac:dyDescent="0.3">
      <c r="B103" s="149">
        <f t="shared" ca="1" si="8"/>
        <v>46294</v>
      </c>
      <c r="C103" s="73" t="str">
        <f t="shared" ca="1" si="6"/>
        <v>Tuesday</v>
      </c>
      <c r="G103" s="73">
        <f t="shared" si="7"/>
        <v>0</v>
      </c>
      <c r="H103" s="73" t="str">
        <f t="shared" si="5"/>
        <v>0h0</v>
      </c>
      <c r="J103" s="73" t="str" cm="1">
        <f t="array" aca="1" ref="J103" ca="1">IFERROR(IF(11+(ROW()-7)*7&gt;370,"",TEXT(INDIRECT("B"&amp;(11+(ROW()-7)*7)),"mm/dd/yy")&amp;"-"&amp;TEXT(INDIRECT("B"&amp;MIN(11+(ROW()-7)*7+6,370)),"mm/dd/yy")),"")</f>
        <v/>
      </c>
      <c r="K103" s="73"/>
    </row>
    <row r="104" spans="2:11" x14ac:dyDescent="0.3">
      <c r="B104" s="149">
        <f t="shared" ca="1" si="8"/>
        <v>46295</v>
      </c>
      <c r="C104" s="73" t="str">
        <f t="shared" ca="1" si="6"/>
        <v>Wednesday</v>
      </c>
      <c r="G104" s="73">
        <f t="shared" si="7"/>
        <v>0</v>
      </c>
      <c r="H104" s="73" t="str">
        <f t="shared" si="5"/>
        <v>0h0</v>
      </c>
      <c r="J104" s="73" t="str" cm="1">
        <f t="array" aca="1" ref="J104" ca="1">IFERROR(IF(11+(ROW()-7)*7&gt;370,"",TEXT(INDIRECT("B"&amp;(11+(ROW()-7)*7)),"mm/dd/yy")&amp;"-"&amp;TEXT(INDIRECT("B"&amp;MIN(11+(ROW()-7)*7+6,370)),"mm/dd/yy")),"")</f>
        <v/>
      </c>
      <c r="K104" s="73"/>
    </row>
    <row r="105" spans="2:11" x14ac:dyDescent="0.3">
      <c r="B105" s="149">
        <f t="shared" ca="1" si="8"/>
        <v>46296</v>
      </c>
      <c r="C105" s="73" t="str">
        <f t="shared" ca="1" si="6"/>
        <v>Thursday</v>
      </c>
      <c r="G105" s="73">
        <f t="shared" si="7"/>
        <v>0</v>
      </c>
      <c r="H105" s="73" t="str">
        <f t="shared" si="5"/>
        <v>0h0</v>
      </c>
      <c r="J105" s="73" t="str" cm="1">
        <f t="array" aca="1" ref="J105" ca="1">IFERROR(IF(11+(ROW()-7)*7&gt;370,"",TEXT(INDIRECT("B"&amp;(11+(ROW()-7)*7)),"mm/dd/yy")&amp;"-"&amp;TEXT(INDIRECT("B"&amp;MIN(11+(ROW()-7)*7+6,370)),"mm/dd/yy")),"")</f>
        <v/>
      </c>
      <c r="K105" s="73"/>
    </row>
    <row r="106" spans="2:11" x14ac:dyDescent="0.3">
      <c r="B106" s="149">
        <f t="shared" ca="1" si="8"/>
        <v>46297</v>
      </c>
      <c r="C106" s="73" t="str">
        <f t="shared" ca="1" si="6"/>
        <v>Friday</v>
      </c>
      <c r="G106" s="73">
        <f t="shared" si="7"/>
        <v>0</v>
      </c>
      <c r="H106" s="73" t="str">
        <f t="shared" si="5"/>
        <v>0h0</v>
      </c>
      <c r="J106" s="73" t="str" cm="1">
        <f t="array" aca="1" ref="J106" ca="1">IFERROR(IF(11+(ROW()-7)*7&gt;370,"",TEXT(INDIRECT("B"&amp;(11+(ROW()-7)*7)),"mm/dd/yy")&amp;"-"&amp;TEXT(INDIRECT("B"&amp;MIN(11+(ROW()-7)*7+6,370)),"mm/dd/yy")),"")</f>
        <v/>
      </c>
      <c r="K106" s="73"/>
    </row>
    <row r="107" spans="2:11" x14ac:dyDescent="0.3">
      <c r="B107" s="149">
        <f t="shared" ca="1" si="8"/>
        <v>46298</v>
      </c>
      <c r="C107" s="73" t="str">
        <f t="shared" ca="1" si="6"/>
        <v>Saturday</v>
      </c>
      <c r="G107" s="73">
        <f t="shared" si="7"/>
        <v>0</v>
      </c>
      <c r="H107" s="73" t="str">
        <f t="shared" si="5"/>
        <v>0h0</v>
      </c>
      <c r="J107" s="73" t="str" cm="1">
        <f t="array" aca="1" ref="J107" ca="1">IFERROR(IF(11+(ROW()-7)*7&gt;370,"",TEXT(INDIRECT("B"&amp;(11+(ROW()-7)*7)),"mm/dd/yy")&amp;"-"&amp;TEXT(INDIRECT("B"&amp;MIN(11+(ROW()-7)*7+6,370)),"mm/dd/yy")),"")</f>
        <v/>
      </c>
      <c r="K107" s="73"/>
    </row>
    <row r="108" spans="2:11" x14ac:dyDescent="0.3">
      <c r="B108" s="149">
        <f t="shared" ca="1" si="8"/>
        <v>46299</v>
      </c>
      <c r="C108" s="73" t="str">
        <f t="shared" ca="1" si="6"/>
        <v>Sunday</v>
      </c>
      <c r="G108" s="73">
        <f t="shared" si="7"/>
        <v>0</v>
      </c>
      <c r="H108" s="73" t="str">
        <f t="shared" si="5"/>
        <v>0h0</v>
      </c>
      <c r="J108" s="73" t="str" cm="1">
        <f t="array" aca="1" ref="J108" ca="1">IFERROR(IF(11+(ROW()-7)*7&gt;370,"",TEXT(INDIRECT("B"&amp;(11+(ROW()-7)*7)),"mm/dd/yy")&amp;"-"&amp;TEXT(INDIRECT("B"&amp;MIN(11+(ROW()-7)*7+6,370)),"mm/dd/yy")),"")</f>
        <v/>
      </c>
      <c r="K108" s="73"/>
    </row>
    <row r="109" spans="2:11" x14ac:dyDescent="0.3">
      <c r="B109" s="149">
        <f t="shared" ca="1" si="8"/>
        <v>46300</v>
      </c>
      <c r="C109" s="73" t="str">
        <f t="shared" ca="1" si="6"/>
        <v>Monday</v>
      </c>
      <c r="G109" s="73">
        <f t="shared" si="7"/>
        <v>0</v>
      </c>
      <c r="H109" s="73" t="str">
        <f t="shared" si="5"/>
        <v>0h0</v>
      </c>
      <c r="J109" s="73" t="str" cm="1">
        <f t="array" aca="1" ref="J109" ca="1">IFERROR(IF(11+(ROW()-7)*7&gt;370,"",TEXT(INDIRECT("B"&amp;(11+(ROW()-7)*7)),"mm/dd/yy")&amp;"-"&amp;TEXT(INDIRECT("B"&amp;MIN(11+(ROW()-7)*7+6,370)),"mm/dd/yy")),"")</f>
        <v/>
      </c>
      <c r="K109" s="73"/>
    </row>
    <row r="110" spans="2:11" x14ac:dyDescent="0.3">
      <c r="B110" s="149">
        <f t="shared" ca="1" si="8"/>
        <v>46301</v>
      </c>
      <c r="C110" s="73" t="str">
        <f t="shared" ca="1" si="6"/>
        <v>Tuesday</v>
      </c>
      <c r="G110" s="73">
        <f t="shared" si="7"/>
        <v>0</v>
      </c>
      <c r="H110" s="73" t="str">
        <f t="shared" si="5"/>
        <v>0h0</v>
      </c>
      <c r="J110" s="73" t="str" cm="1">
        <f t="array" aca="1" ref="J110" ca="1">IFERROR(IF(11+(ROW()-7)*7&gt;370,"",TEXT(INDIRECT("B"&amp;(11+(ROW()-7)*7)),"mm/dd/yy")&amp;"-"&amp;TEXT(INDIRECT("B"&amp;MIN(11+(ROW()-7)*7+6,370)),"mm/dd/yy")),"")</f>
        <v/>
      </c>
      <c r="K110" s="73"/>
    </row>
    <row r="111" spans="2:11" x14ac:dyDescent="0.3">
      <c r="B111" s="149">
        <f t="shared" ca="1" si="8"/>
        <v>46302</v>
      </c>
      <c r="C111" s="73" t="str">
        <f t="shared" ca="1" si="6"/>
        <v>Wednesday</v>
      </c>
      <c r="G111" s="73">
        <f t="shared" si="7"/>
        <v>0</v>
      </c>
      <c r="H111" s="73" t="str">
        <f t="shared" si="5"/>
        <v>0h0</v>
      </c>
      <c r="J111" s="73" t="str" cm="1">
        <f t="array" aca="1" ref="J111" ca="1">IFERROR(IF(11+(ROW()-7)*7&gt;370,"",TEXT(INDIRECT("B"&amp;(11+(ROW()-7)*7)),"mm/dd/yy")&amp;"-"&amp;TEXT(INDIRECT("B"&amp;MIN(11+(ROW()-7)*7+6,370)),"mm/dd/yy")),"")</f>
        <v/>
      </c>
      <c r="K111" s="73"/>
    </row>
    <row r="112" spans="2:11" x14ac:dyDescent="0.3">
      <c r="B112" s="149">
        <f t="shared" ca="1" si="8"/>
        <v>46303</v>
      </c>
      <c r="C112" s="73" t="str">
        <f t="shared" ca="1" si="6"/>
        <v>Thursday</v>
      </c>
      <c r="G112" s="73">
        <f t="shared" si="7"/>
        <v>0</v>
      </c>
      <c r="H112" s="73" t="str">
        <f t="shared" si="5"/>
        <v>0h0</v>
      </c>
      <c r="J112" s="73" t="str" cm="1">
        <f t="array" aca="1" ref="J112" ca="1">IFERROR(IF(11+(ROW()-7)*7&gt;370,"",TEXT(INDIRECT("B"&amp;(11+(ROW()-7)*7)),"mm/dd/yy")&amp;"-"&amp;TEXT(INDIRECT("B"&amp;MIN(11+(ROW()-7)*7+6,370)),"mm/dd/yy")),"")</f>
        <v/>
      </c>
      <c r="K112" s="73"/>
    </row>
    <row r="113" spans="2:11" x14ac:dyDescent="0.3">
      <c r="B113" s="149">
        <f t="shared" ca="1" si="8"/>
        <v>46304</v>
      </c>
      <c r="C113" s="73" t="str">
        <f t="shared" ca="1" si="6"/>
        <v>Friday</v>
      </c>
      <c r="G113" s="73">
        <f t="shared" si="7"/>
        <v>0</v>
      </c>
      <c r="H113" s="73" t="str">
        <f t="shared" si="5"/>
        <v>0h0</v>
      </c>
      <c r="J113" s="73" t="str" cm="1">
        <f t="array" aca="1" ref="J113" ca="1">IFERROR(IF(11+(ROW()-7)*7&gt;370,"",TEXT(INDIRECT("B"&amp;(11+(ROW()-7)*7)),"mm/dd/yy")&amp;"-"&amp;TEXT(INDIRECT("B"&amp;MIN(11+(ROW()-7)*7+6,370)),"mm/dd/yy")),"")</f>
        <v/>
      </c>
      <c r="K113" s="73"/>
    </row>
    <row r="114" spans="2:11" x14ac:dyDescent="0.3">
      <c r="B114" s="149">
        <f t="shared" ca="1" si="8"/>
        <v>46305</v>
      </c>
      <c r="C114" s="73" t="str">
        <f t="shared" ca="1" si="6"/>
        <v>Saturday</v>
      </c>
      <c r="G114" s="73">
        <f t="shared" si="7"/>
        <v>0</v>
      </c>
      <c r="H114" s="73" t="str">
        <f t="shared" si="5"/>
        <v>0h0</v>
      </c>
      <c r="J114" s="73" t="str" cm="1">
        <f t="array" aca="1" ref="J114" ca="1">IFERROR(IF(11+(ROW()-7)*7&gt;370,"",TEXT(INDIRECT("B"&amp;(11+(ROW()-7)*7)),"mm/dd/yy")&amp;"-"&amp;TEXT(INDIRECT("B"&amp;MIN(11+(ROW()-7)*7+6,370)),"mm/dd/yy")),"")</f>
        <v/>
      </c>
      <c r="K114" s="73"/>
    </row>
    <row r="115" spans="2:11" x14ac:dyDescent="0.3">
      <c r="B115" s="149">
        <f t="shared" ca="1" si="8"/>
        <v>46306</v>
      </c>
      <c r="C115" s="73" t="str">
        <f t="shared" ca="1" si="6"/>
        <v>Sunday</v>
      </c>
      <c r="G115" s="73">
        <f t="shared" si="7"/>
        <v>0</v>
      </c>
      <c r="H115" s="73" t="str">
        <f t="shared" si="5"/>
        <v>0h0</v>
      </c>
      <c r="J115" s="73" t="str" cm="1">
        <f t="array" aca="1" ref="J115" ca="1">IFERROR(IF(11+(ROW()-7)*7&gt;370,"",TEXT(INDIRECT("B"&amp;(11+(ROW()-7)*7)),"mm/dd/yy")&amp;"-"&amp;TEXT(INDIRECT("B"&amp;MIN(11+(ROW()-7)*7+6,370)),"mm/dd/yy")),"")</f>
        <v/>
      </c>
      <c r="K115" s="73"/>
    </row>
    <row r="116" spans="2:11" x14ac:dyDescent="0.3">
      <c r="B116" s="149">
        <f t="shared" ca="1" si="8"/>
        <v>46307</v>
      </c>
      <c r="C116" s="73" t="str">
        <f t="shared" ca="1" si="6"/>
        <v>Monday</v>
      </c>
      <c r="G116" s="73">
        <f t="shared" si="7"/>
        <v>0</v>
      </c>
      <c r="H116" s="73" t="str">
        <f t="shared" si="5"/>
        <v>0h0</v>
      </c>
      <c r="J116" s="73" t="str" cm="1">
        <f t="array" aca="1" ref="J116" ca="1">IFERROR(IF(11+(ROW()-7)*7&gt;370,"",TEXT(INDIRECT("B"&amp;(11+(ROW()-7)*7)),"mm/dd/yy")&amp;"-"&amp;TEXT(INDIRECT("B"&amp;MIN(11+(ROW()-7)*7+6,370)),"mm/dd/yy")),"")</f>
        <v/>
      </c>
      <c r="K116" s="73"/>
    </row>
    <row r="117" spans="2:11" x14ac:dyDescent="0.3">
      <c r="B117" s="149">
        <f t="shared" ca="1" si="8"/>
        <v>46308</v>
      </c>
      <c r="C117" s="73" t="str">
        <f t="shared" ca="1" si="6"/>
        <v>Tuesday</v>
      </c>
      <c r="G117" s="73">
        <f t="shared" si="7"/>
        <v>0</v>
      </c>
      <c r="H117" s="73" t="str">
        <f t="shared" si="5"/>
        <v>0h0</v>
      </c>
      <c r="J117" s="73" t="str" cm="1">
        <f t="array" aca="1" ref="J117" ca="1">IFERROR(IF(11+(ROW()-7)*7&gt;370,"",TEXT(INDIRECT("B"&amp;(11+(ROW()-7)*7)),"mm/dd/yy")&amp;"-"&amp;TEXT(INDIRECT("B"&amp;MIN(11+(ROW()-7)*7+6,370)),"mm/dd/yy")),"")</f>
        <v/>
      </c>
      <c r="K117" s="73"/>
    </row>
    <row r="118" spans="2:11" x14ac:dyDescent="0.3">
      <c r="B118" s="149">
        <f t="shared" ca="1" si="8"/>
        <v>46309</v>
      </c>
      <c r="C118" s="73" t="str">
        <f t="shared" ca="1" si="6"/>
        <v>Wednesday</v>
      </c>
      <c r="G118" s="73">
        <f t="shared" si="7"/>
        <v>0</v>
      </c>
      <c r="H118" s="73" t="str">
        <f t="shared" si="5"/>
        <v>0h0</v>
      </c>
      <c r="J118" s="73" t="str" cm="1">
        <f t="array" aca="1" ref="J118" ca="1">IFERROR(IF(11+(ROW()-7)*7&gt;370,"",TEXT(INDIRECT("B"&amp;(11+(ROW()-7)*7)),"mm/dd/yy")&amp;"-"&amp;TEXT(INDIRECT("B"&amp;MIN(11+(ROW()-7)*7+6,370)),"mm/dd/yy")),"")</f>
        <v/>
      </c>
      <c r="K118" s="73"/>
    </row>
    <row r="119" spans="2:11" x14ac:dyDescent="0.3">
      <c r="B119" s="149">
        <f t="shared" ca="1" si="8"/>
        <v>46310</v>
      </c>
      <c r="C119" s="73" t="str">
        <f t="shared" ca="1" si="6"/>
        <v>Thursday</v>
      </c>
      <c r="G119" s="73">
        <f t="shared" si="7"/>
        <v>0</v>
      </c>
      <c r="H119" s="73" t="str">
        <f t="shared" si="5"/>
        <v>0h0</v>
      </c>
      <c r="J119" s="73" t="str" cm="1">
        <f t="array" aca="1" ref="J119" ca="1">IFERROR(IF(11+(ROW()-7)*7&gt;370,"",TEXT(INDIRECT("B"&amp;(11+(ROW()-7)*7)),"mm/dd/yy")&amp;"-"&amp;TEXT(INDIRECT("B"&amp;MIN(11+(ROW()-7)*7+6,370)),"mm/dd/yy")),"")</f>
        <v/>
      </c>
      <c r="K119" s="73"/>
    </row>
    <row r="120" spans="2:11" x14ac:dyDescent="0.3">
      <c r="B120" s="149">
        <f t="shared" ca="1" si="8"/>
        <v>46311</v>
      </c>
      <c r="C120" s="73" t="str">
        <f t="shared" ca="1" si="6"/>
        <v>Friday</v>
      </c>
      <c r="G120" s="73">
        <f t="shared" si="7"/>
        <v>0</v>
      </c>
      <c r="H120" s="73" t="str">
        <f t="shared" si="5"/>
        <v>0h0</v>
      </c>
      <c r="J120" s="73" t="str" cm="1">
        <f t="array" aca="1" ref="J120" ca="1">IFERROR(IF(11+(ROW()-7)*7&gt;370,"",TEXT(INDIRECT("B"&amp;(11+(ROW()-7)*7)),"mm/dd/yy")&amp;"-"&amp;TEXT(INDIRECT("B"&amp;MIN(11+(ROW()-7)*7+6,370)),"mm/dd/yy")),"")</f>
        <v/>
      </c>
      <c r="K120" s="73"/>
    </row>
    <row r="121" spans="2:11" x14ac:dyDescent="0.3">
      <c r="B121" s="149">
        <f t="shared" ca="1" si="8"/>
        <v>46312</v>
      </c>
      <c r="C121" s="73" t="str">
        <f t="shared" ca="1" si="6"/>
        <v>Saturday</v>
      </c>
      <c r="G121" s="73">
        <f t="shared" si="7"/>
        <v>0</v>
      </c>
      <c r="H121" s="73" t="str">
        <f t="shared" si="5"/>
        <v>0h0</v>
      </c>
      <c r="J121" s="73" t="str" cm="1">
        <f t="array" aca="1" ref="J121" ca="1">IFERROR(IF(11+(ROW()-7)*7&gt;370,"",TEXT(INDIRECT("B"&amp;(11+(ROW()-7)*7)),"mm/dd/yy")&amp;"-"&amp;TEXT(INDIRECT("B"&amp;MIN(11+(ROW()-7)*7+6,370)),"mm/dd/yy")),"")</f>
        <v/>
      </c>
      <c r="K121" s="73"/>
    </row>
    <row r="122" spans="2:11" x14ac:dyDescent="0.3">
      <c r="B122" s="149">
        <f t="shared" ca="1" si="8"/>
        <v>46313</v>
      </c>
      <c r="C122" s="73" t="str">
        <f t="shared" ca="1" si="6"/>
        <v>Sunday</v>
      </c>
      <c r="G122" s="73">
        <f t="shared" si="7"/>
        <v>0</v>
      </c>
      <c r="H122" s="73" t="str">
        <f t="shared" si="5"/>
        <v>0h0</v>
      </c>
      <c r="J122" s="73" t="str" cm="1">
        <f t="array" aca="1" ref="J122" ca="1">IFERROR(IF(11+(ROW()-7)*7&gt;370,"",TEXT(INDIRECT("B"&amp;(11+(ROW()-7)*7)),"mm/dd/yy")&amp;"-"&amp;TEXT(INDIRECT("B"&amp;MIN(11+(ROW()-7)*7+6,370)),"mm/dd/yy")),"")</f>
        <v/>
      </c>
      <c r="K122" s="73"/>
    </row>
    <row r="123" spans="2:11" x14ac:dyDescent="0.3">
      <c r="B123" s="149">
        <f t="shared" ca="1" si="8"/>
        <v>46314</v>
      </c>
      <c r="C123" s="73" t="str">
        <f t="shared" ca="1" si="6"/>
        <v>Monday</v>
      </c>
      <c r="G123" s="73">
        <f t="shared" si="7"/>
        <v>0</v>
      </c>
      <c r="H123" s="73" t="str">
        <f t="shared" si="5"/>
        <v>0h0</v>
      </c>
      <c r="J123" s="73" t="str" cm="1">
        <f t="array" aca="1" ref="J123" ca="1">IFERROR(IF(11+(ROW()-7)*7&gt;370,"",TEXT(INDIRECT("B"&amp;(11+(ROW()-7)*7)),"mm/dd/yy")&amp;"-"&amp;TEXT(INDIRECT("B"&amp;MIN(11+(ROW()-7)*7+6,370)),"mm/dd/yy")),"")</f>
        <v/>
      </c>
      <c r="K123" s="73"/>
    </row>
    <row r="124" spans="2:11" x14ac:dyDescent="0.3">
      <c r="B124" s="149">
        <f t="shared" ca="1" si="8"/>
        <v>46315</v>
      </c>
      <c r="C124" s="73" t="str">
        <f t="shared" ca="1" si="6"/>
        <v>Tuesday</v>
      </c>
      <c r="G124" s="73">
        <f t="shared" si="7"/>
        <v>0</v>
      </c>
      <c r="H124" s="73" t="str">
        <f t="shared" si="5"/>
        <v>0h0</v>
      </c>
      <c r="J124" s="73" t="str" cm="1">
        <f t="array" aca="1" ref="J124" ca="1">IFERROR(IF(11+(ROW()-7)*7&gt;370,"",TEXT(INDIRECT("B"&amp;(11+(ROW()-7)*7)),"mm/dd/yy")&amp;"-"&amp;TEXT(INDIRECT("B"&amp;MIN(11+(ROW()-7)*7+6,370)),"mm/dd/yy")),"")</f>
        <v/>
      </c>
      <c r="K124" s="73"/>
    </row>
    <row r="125" spans="2:11" x14ac:dyDescent="0.3">
      <c r="B125" s="149">
        <f t="shared" ca="1" si="8"/>
        <v>46316</v>
      </c>
      <c r="C125" s="73" t="str">
        <f t="shared" ca="1" si="6"/>
        <v>Wednesday</v>
      </c>
      <c r="G125" s="73">
        <f t="shared" si="7"/>
        <v>0</v>
      </c>
      <c r="H125" s="73" t="str">
        <f t="shared" si="5"/>
        <v>0h0</v>
      </c>
      <c r="J125" s="73" t="str" cm="1">
        <f t="array" aca="1" ref="J125" ca="1">IFERROR(IF(11+(ROW()-7)*7&gt;370,"",TEXT(INDIRECT("B"&amp;(11+(ROW()-7)*7)),"mm/dd/yy")&amp;"-"&amp;TEXT(INDIRECT("B"&amp;MIN(11+(ROW()-7)*7+6,370)),"mm/dd/yy")),"")</f>
        <v/>
      </c>
      <c r="K125" s="73"/>
    </row>
    <row r="126" spans="2:11" x14ac:dyDescent="0.3">
      <c r="B126" s="149">
        <f t="shared" ca="1" si="8"/>
        <v>46317</v>
      </c>
      <c r="C126" s="73" t="str">
        <f t="shared" ca="1" si="6"/>
        <v>Thursday</v>
      </c>
      <c r="G126" s="73">
        <f t="shared" si="7"/>
        <v>0</v>
      </c>
      <c r="H126" s="73" t="str">
        <f t="shared" si="5"/>
        <v>0h0</v>
      </c>
      <c r="J126" s="73" t="str" cm="1">
        <f t="array" aca="1" ref="J126" ca="1">IFERROR(IF(11+(ROW()-7)*7&gt;370,"",TEXT(INDIRECT("B"&amp;(11+(ROW()-7)*7)),"mm/dd/yy")&amp;"-"&amp;TEXT(INDIRECT("B"&amp;MIN(11+(ROW()-7)*7+6,370)),"mm/dd/yy")),"")</f>
        <v/>
      </c>
      <c r="K126" s="73"/>
    </row>
    <row r="127" spans="2:11" x14ac:dyDescent="0.3">
      <c r="B127" s="149">
        <f t="shared" ca="1" si="8"/>
        <v>46318</v>
      </c>
      <c r="C127" s="73" t="str">
        <f t="shared" ca="1" si="6"/>
        <v>Friday</v>
      </c>
      <c r="G127" s="73">
        <f t="shared" si="7"/>
        <v>0</v>
      </c>
      <c r="H127" s="73" t="str">
        <f t="shared" si="5"/>
        <v>0h0</v>
      </c>
      <c r="J127" s="73" t="str" cm="1">
        <f t="array" aca="1" ref="J127" ca="1">IFERROR(IF(11+(ROW()-7)*7&gt;370,"",TEXT(INDIRECT("B"&amp;(11+(ROW()-7)*7)),"mm/dd/yy")&amp;"-"&amp;TEXT(INDIRECT("B"&amp;MIN(11+(ROW()-7)*7+6,370)),"mm/dd/yy")),"")</f>
        <v/>
      </c>
      <c r="K127" s="73"/>
    </row>
    <row r="128" spans="2:11" x14ac:dyDescent="0.3">
      <c r="B128" s="149">
        <f t="shared" ca="1" si="8"/>
        <v>46319</v>
      </c>
      <c r="C128" s="73" t="str">
        <f t="shared" ca="1" si="6"/>
        <v>Saturday</v>
      </c>
      <c r="G128" s="73">
        <f t="shared" si="7"/>
        <v>0</v>
      </c>
      <c r="H128" s="73" t="str">
        <f t="shared" si="5"/>
        <v>0h0</v>
      </c>
      <c r="J128" s="73" t="str" cm="1">
        <f t="array" aca="1" ref="J128" ca="1">IFERROR(IF(11+(ROW()-7)*7&gt;370,"",TEXT(INDIRECT("B"&amp;(11+(ROW()-7)*7)),"mm/dd/yy")&amp;"-"&amp;TEXT(INDIRECT("B"&amp;MIN(11+(ROW()-7)*7+6,370)),"mm/dd/yy")),"")</f>
        <v/>
      </c>
      <c r="K128" s="73"/>
    </row>
    <row r="129" spans="2:11" x14ac:dyDescent="0.3">
      <c r="B129" s="149">
        <f t="shared" ca="1" si="8"/>
        <v>46320</v>
      </c>
      <c r="C129" s="73" t="str">
        <f t="shared" ca="1" si="6"/>
        <v>Sunday</v>
      </c>
      <c r="G129" s="73">
        <f t="shared" si="7"/>
        <v>0</v>
      </c>
      <c r="H129" s="73" t="str">
        <f t="shared" si="5"/>
        <v>0h0</v>
      </c>
      <c r="J129" s="73" t="str" cm="1">
        <f t="array" aca="1" ref="J129" ca="1">IFERROR(IF(11+(ROW()-7)*7&gt;370,"",TEXT(INDIRECT("B"&amp;(11+(ROW()-7)*7)),"mm/dd/yy")&amp;"-"&amp;TEXT(INDIRECT("B"&amp;MIN(11+(ROW()-7)*7+6,370)),"mm/dd/yy")),"")</f>
        <v/>
      </c>
      <c r="K129" s="73"/>
    </row>
    <row r="130" spans="2:11" x14ac:dyDescent="0.3">
      <c r="B130" s="149">
        <f t="shared" ca="1" si="8"/>
        <v>46321</v>
      </c>
      <c r="C130" s="73" t="str">
        <f t="shared" ca="1" si="6"/>
        <v>Monday</v>
      </c>
      <c r="G130" s="73">
        <f t="shared" si="7"/>
        <v>0</v>
      </c>
      <c r="H130" s="73" t="str">
        <f t="shared" si="5"/>
        <v>0h0</v>
      </c>
      <c r="J130" s="73" t="str" cm="1">
        <f t="array" aca="1" ref="J130" ca="1">IFERROR(IF(11+(ROW()-7)*7&gt;370,"",TEXT(INDIRECT("B"&amp;(11+(ROW()-7)*7)),"mm/dd/yy")&amp;"-"&amp;TEXT(INDIRECT("B"&amp;MIN(11+(ROW()-7)*7+6,370)),"mm/dd/yy")),"")</f>
        <v/>
      </c>
      <c r="K130" s="73"/>
    </row>
    <row r="131" spans="2:11" x14ac:dyDescent="0.3">
      <c r="B131" s="149">
        <f t="shared" ca="1" si="8"/>
        <v>46322</v>
      </c>
      <c r="C131" s="73" t="str">
        <f t="shared" ca="1" si="6"/>
        <v>Tuesday</v>
      </c>
      <c r="G131" s="73">
        <f t="shared" si="7"/>
        <v>0</v>
      </c>
      <c r="H131" s="73" t="str">
        <f t="shared" si="5"/>
        <v>0h0</v>
      </c>
      <c r="J131" s="73" t="str" cm="1">
        <f t="array" aca="1" ref="J131" ca="1">IFERROR(IF(11+(ROW()-7)*7&gt;370,"",TEXT(INDIRECT("B"&amp;(11+(ROW()-7)*7)),"mm/dd/yy")&amp;"-"&amp;TEXT(INDIRECT("B"&amp;MIN(11+(ROW()-7)*7+6,370)),"mm/dd/yy")),"")</f>
        <v/>
      </c>
      <c r="K131" s="73"/>
    </row>
    <row r="132" spans="2:11" x14ac:dyDescent="0.3">
      <c r="B132" s="149">
        <f t="shared" ca="1" si="8"/>
        <v>46323</v>
      </c>
      <c r="C132" s="73" t="str">
        <f t="shared" ca="1" si="6"/>
        <v>Wednesday</v>
      </c>
      <c r="G132" s="73">
        <f t="shared" si="7"/>
        <v>0</v>
      </c>
      <c r="H132" s="73" t="str">
        <f t="shared" si="5"/>
        <v>0h0</v>
      </c>
      <c r="J132" s="73" t="str" cm="1">
        <f t="array" aca="1" ref="J132" ca="1">IFERROR(IF(11+(ROW()-7)*7&gt;370,"",TEXT(INDIRECT("B"&amp;(11+(ROW()-7)*7)),"mm/dd/yy")&amp;"-"&amp;TEXT(INDIRECT("B"&amp;MIN(11+(ROW()-7)*7+6,370)),"mm/dd/yy")),"")</f>
        <v/>
      </c>
      <c r="K132" s="73"/>
    </row>
    <row r="133" spans="2:11" x14ac:dyDescent="0.3">
      <c r="B133" s="149">
        <f t="shared" ca="1" si="8"/>
        <v>46324</v>
      </c>
      <c r="C133" s="73" t="str">
        <f t="shared" ca="1" si="6"/>
        <v>Thursday</v>
      </c>
      <c r="G133" s="73">
        <f t="shared" si="7"/>
        <v>0</v>
      </c>
      <c r="H133" s="73" t="str">
        <f t="shared" ref="H133:H196" si="9">ROUNDDOWN(G133/60, 0)&amp;"h"&amp;ROUNDUP((G133/60-ROUNDDOWN(G133/60, 0))*60,0)</f>
        <v>0h0</v>
      </c>
      <c r="J133" s="73" t="str" cm="1">
        <f t="array" aca="1" ref="J133" ca="1">IFERROR(IF(11+(ROW()-7)*7&gt;370,"",TEXT(INDIRECT("B"&amp;(11+(ROW()-7)*7)),"mm/dd/yy")&amp;"-"&amp;TEXT(INDIRECT("B"&amp;MIN(11+(ROW()-7)*7+6,370)),"mm/dd/yy")),"")</f>
        <v/>
      </c>
      <c r="K133" s="73"/>
    </row>
    <row r="134" spans="2:11" x14ac:dyDescent="0.3">
      <c r="B134" s="149">
        <f t="shared" ca="1" si="8"/>
        <v>46325</v>
      </c>
      <c r="C134" s="73" t="str">
        <f t="shared" ref="C134:C197" ca="1" si="10">TEXT(B134, "dddd")</f>
        <v>Friday</v>
      </c>
      <c r="G134" s="73">
        <f t="shared" ref="G134:G197" si="11">E134*25+F134</f>
        <v>0</v>
      </c>
      <c r="H134" s="73" t="str">
        <f t="shared" si="9"/>
        <v>0h0</v>
      </c>
      <c r="J134" s="73" t="str" cm="1">
        <f t="array" aca="1" ref="J134" ca="1">IFERROR(IF(11+(ROW()-7)*7&gt;370,"",TEXT(INDIRECT("B"&amp;(11+(ROW()-7)*7)),"mm/dd/yy")&amp;"-"&amp;TEXT(INDIRECT("B"&amp;MIN(11+(ROW()-7)*7+6,370)),"mm/dd/yy")),"")</f>
        <v/>
      </c>
      <c r="K134" s="73"/>
    </row>
    <row r="135" spans="2:11" x14ac:dyDescent="0.3">
      <c r="B135" s="149">
        <f t="shared" ref="B135:B198" ca="1" si="12">B134+1</f>
        <v>46326</v>
      </c>
      <c r="C135" s="73" t="str">
        <f t="shared" ca="1" si="10"/>
        <v>Saturday</v>
      </c>
      <c r="G135" s="73">
        <f t="shared" si="11"/>
        <v>0</v>
      </c>
      <c r="H135" s="73" t="str">
        <f t="shared" si="9"/>
        <v>0h0</v>
      </c>
      <c r="J135" s="73" t="str" cm="1">
        <f t="array" aca="1" ref="J135" ca="1">IFERROR(IF(11+(ROW()-7)*7&gt;370,"",TEXT(INDIRECT("B"&amp;(11+(ROW()-7)*7)),"mm/dd/yy")&amp;"-"&amp;TEXT(INDIRECT("B"&amp;MIN(11+(ROW()-7)*7+6,370)),"mm/dd/yy")),"")</f>
        <v/>
      </c>
      <c r="K135" s="73"/>
    </row>
    <row r="136" spans="2:11" x14ac:dyDescent="0.3">
      <c r="B136" s="149">
        <f t="shared" ca="1" si="12"/>
        <v>46327</v>
      </c>
      <c r="C136" s="73" t="str">
        <f t="shared" ca="1" si="10"/>
        <v>Sunday</v>
      </c>
      <c r="G136" s="73">
        <f t="shared" si="11"/>
        <v>0</v>
      </c>
      <c r="H136" s="73" t="str">
        <f t="shared" si="9"/>
        <v>0h0</v>
      </c>
      <c r="J136" s="73" t="str" cm="1">
        <f t="array" aca="1" ref="J136" ca="1">IFERROR(IF(11+(ROW()-7)*7&gt;370,"",TEXT(INDIRECT("B"&amp;(11+(ROW()-7)*7)),"mm/dd/yy")&amp;"-"&amp;TEXT(INDIRECT("B"&amp;MIN(11+(ROW()-7)*7+6,370)),"mm/dd/yy")),"")</f>
        <v/>
      </c>
      <c r="K136" s="73"/>
    </row>
    <row r="137" spans="2:11" x14ac:dyDescent="0.3">
      <c r="B137" s="149">
        <f t="shared" ca="1" si="12"/>
        <v>46328</v>
      </c>
      <c r="C137" s="73" t="str">
        <f t="shared" ca="1" si="10"/>
        <v>Monday</v>
      </c>
      <c r="G137" s="73">
        <f t="shared" si="11"/>
        <v>0</v>
      </c>
      <c r="H137" s="73" t="str">
        <f t="shared" si="9"/>
        <v>0h0</v>
      </c>
      <c r="J137" s="73" t="str" cm="1">
        <f t="array" aca="1" ref="J137" ca="1">IFERROR(IF(11+(ROW()-7)*7&gt;370,"",TEXT(INDIRECT("B"&amp;(11+(ROW()-7)*7)),"mm/dd/yy")&amp;"-"&amp;TEXT(INDIRECT("B"&amp;MIN(11+(ROW()-7)*7+6,370)),"mm/dd/yy")),"")</f>
        <v/>
      </c>
      <c r="K137" s="73"/>
    </row>
    <row r="138" spans="2:11" x14ac:dyDescent="0.3">
      <c r="B138" s="149">
        <f t="shared" ca="1" si="12"/>
        <v>46329</v>
      </c>
      <c r="C138" s="73" t="str">
        <f t="shared" ca="1" si="10"/>
        <v>Tuesday</v>
      </c>
      <c r="G138" s="73">
        <f t="shared" si="11"/>
        <v>0</v>
      </c>
      <c r="H138" s="73" t="str">
        <f t="shared" si="9"/>
        <v>0h0</v>
      </c>
      <c r="J138" s="73" t="str" cm="1">
        <f t="array" aca="1" ref="J138" ca="1">IFERROR(IF(11+(ROW()-7)*7&gt;370,"",TEXT(INDIRECT("B"&amp;(11+(ROW()-7)*7)),"mm/dd/yy")&amp;"-"&amp;TEXT(INDIRECT("B"&amp;MIN(11+(ROW()-7)*7+6,370)),"mm/dd/yy")),"")</f>
        <v/>
      </c>
      <c r="K138" s="73"/>
    </row>
    <row r="139" spans="2:11" x14ac:dyDescent="0.3">
      <c r="B139" s="149">
        <f t="shared" ca="1" si="12"/>
        <v>46330</v>
      </c>
      <c r="C139" s="73" t="str">
        <f t="shared" ca="1" si="10"/>
        <v>Wednesday</v>
      </c>
      <c r="G139" s="73">
        <f t="shared" si="11"/>
        <v>0</v>
      </c>
      <c r="H139" s="73" t="str">
        <f t="shared" si="9"/>
        <v>0h0</v>
      </c>
      <c r="J139" s="73" t="str" cm="1">
        <f t="array" aca="1" ref="J139" ca="1">IFERROR(IF(11+(ROW()-7)*7&gt;370,"",TEXT(INDIRECT("B"&amp;(11+(ROW()-7)*7)),"mm/dd/yy")&amp;"-"&amp;TEXT(INDIRECT("B"&amp;MIN(11+(ROW()-7)*7+6,370)),"mm/dd/yy")),"")</f>
        <v/>
      </c>
      <c r="K139" s="73"/>
    </row>
    <row r="140" spans="2:11" x14ac:dyDescent="0.3">
      <c r="B140" s="149">
        <f t="shared" ca="1" si="12"/>
        <v>46331</v>
      </c>
      <c r="C140" s="73" t="str">
        <f t="shared" ca="1" si="10"/>
        <v>Thursday</v>
      </c>
      <c r="G140" s="73">
        <f t="shared" si="11"/>
        <v>0</v>
      </c>
      <c r="H140" s="73" t="str">
        <f t="shared" si="9"/>
        <v>0h0</v>
      </c>
      <c r="J140" s="73" t="str" cm="1">
        <f t="array" aca="1" ref="J140" ca="1">IFERROR(IF(11+(ROW()-7)*7&gt;370,"",TEXT(INDIRECT("B"&amp;(11+(ROW()-7)*7)),"mm/dd/yy")&amp;"-"&amp;TEXT(INDIRECT("B"&amp;MIN(11+(ROW()-7)*7+6,370)),"mm/dd/yy")),"")</f>
        <v/>
      </c>
      <c r="K140" s="73"/>
    </row>
    <row r="141" spans="2:11" x14ac:dyDescent="0.3">
      <c r="B141" s="149">
        <f t="shared" ca="1" si="12"/>
        <v>46332</v>
      </c>
      <c r="C141" s="73" t="str">
        <f t="shared" ca="1" si="10"/>
        <v>Friday</v>
      </c>
      <c r="G141" s="73">
        <f t="shared" si="11"/>
        <v>0</v>
      </c>
      <c r="H141" s="73" t="str">
        <f t="shared" si="9"/>
        <v>0h0</v>
      </c>
      <c r="J141" s="73" t="str" cm="1">
        <f t="array" aca="1" ref="J141" ca="1">IFERROR(IF(11+(ROW()-7)*7&gt;370,"",TEXT(INDIRECT("B"&amp;(11+(ROW()-7)*7)),"mm/dd/yy")&amp;"-"&amp;TEXT(INDIRECT("B"&amp;MIN(11+(ROW()-7)*7+6,370)),"mm/dd/yy")),"")</f>
        <v/>
      </c>
      <c r="K141" s="73"/>
    </row>
    <row r="142" spans="2:11" x14ac:dyDescent="0.3">
      <c r="B142" s="149">
        <f t="shared" ca="1" si="12"/>
        <v>46333</v>
      </c>
      <c r="C142" s="73" t="str">
        <f t="shared" ca="1" si="10"/>
        <v>Saturday</v>
      </c>
      <c r="G142" s="73">
        <f t="shared" si="11"/>
        <v>0</v>
      </c>
      <c r="H142" s="73" t="str">
        <f t="shared" si="9"/>
        <v>0h0</v>
      </c>
      <c r="J142" s="73" t="str" cm="1">
        <f t="array" aca="1" ref="J142" ca="1">IFERROR(IF(11+(ROW()-7)*7&gt;370,"",TEXT(INDIRECT("B"&amp;(11+(ROW()-7)*7)),"mm/dd/yy")&amp;"-"&amp;TEXT(INDIRECT("B"&amp;MIN(11+(ROW()-7)*7+6,370)),"mm/dd/yy")),"")</f>
        <v/>
      </c>
      <c r="K142" s="73"/>
    </row>
    <row r="143" spans="2:11" x14ac:dyDescent="0.3">
      <c r="B143" s="149">
        <f t="shared" ca="1" si="12"/>
        <v>46334</v>
      </c>
      <c r="C143" s="73" t="str">
        <f t="shared" ca="1" si="10"/>
        <v>Sunday</v>
      </c>
      <c r="G143" s="73">
        <f t="shared" si="11"/>
        <v>0</v>
      </c>
      <c r="H143" s="73" t="str">
        <f t="shared" si="9"/>
        <v>0h0</v>
      </c>
      <c r="J143" s="73" t="str" cm="1">
        <f t="array" aca="1" ref="J143" ca="1">IFERROR(IF(11+(ROW()-7)*7&gt;370,"",TEXT(INDIRECT("B"&amp;(11+(ROW()-7)*7)),"mm/dd/yy")&amp;"-"&amp;TEXT(INDIRECT("B"&amp;MIN(11+(ROW()-7)*7+6,370)),"mm/dd/yy")),"")</f>
        <v/>
      </c>
      <c r="K143" s="73"/>
    </row>
    <row r="144" spans="2:11" x14ac:dyDescent="0.3">
      <c r="B144" s="149">
        <f t="shared" ca="1" si="12"/>
        <v>46335</v>
      </c>
      <c r="C144" s="73" t="str">
        <f t="shared" ca="1" si="10"/>
        <v>Monday</v>
      </c>
      <c r="G144" s="73">
        <f t="shared" si="11"/>
        <v>0</v>
      </c>
      <c r="H144" s="73" t="str">
        <f t="shared" si="9"/>
        <v>0h0</v>
      </c>
      <c r="J144" s="73" t="str" cm="1">
        <f t="array" aca="1" ref="J144" ca="1">IFERROR(IF(11+(ROW()-7)*7&gt;370,"",TEXT(INDIRECT("B"&amp;(11+(ROW()-7)*7)),"mm/dd/yy")&amp;"-"&amp;TEXT(INDIRECT("B"&amp;MIN(11+(ROW()-7)*7+6,370)),"mm/dd/yy")),"")</f>
        <v/>
      </c>
      <c r="K144" s="73"/>
    </row>
    <row r="145" spans="2:11" x14ac:dyDescent="0.3">
      <c r="B145" s="149">
        <f t="shared" ca="1" si="12"/>
        <v>46336</v>
      </c>
      <c r="C145" s="73" t="str">
        <f t="shared" ca="1" si="10"/>
        <v>Tuesday</v>
      </c>
      <c r="G145" s="73">
        <f t="shared" si="11"/>
        <v>0</v>
      </c>
      <c r="H145" s="73" t="str">
        <f t="shared" si="9"/>
        <v>0h0</v>
      </c>
      <c r="J145" s="73" t="str" cm="1">
        <f t="array" aca="1" ref="J145" ca="1">IFERROR(IF(11+(ROW()-7)*7&gt;370,"",TEXT(INDIRECT("B"&amp;(11+(ROW()-7)*7)),"mm/dd/yy")&amp;"-"&amp;TEXT(INDIRECT("B"&amp;MIN(11+(ROW()-7)*7+6,370)),"mm/dd/yy")),"")</f>
        <v/>
      </c>
      <c r="K145" s="73"/>
    </row>
    <row r="146" spans="2:11" x14ac:dyDescent="0.3">
      <c r="B146" s="149">
        <f t="shared" ca="1" si="12"/>
        <v>46337</v>
      </c>
      <c r="C146" s="73" t="str">
        <f t="shared" ca="1" si="10"/>
        <v>Wednesday</v>
      </c>
      <c r="G146" s="73">
        <f t="shared" si="11"/>
        <v>0</v>
      </c>
      <c r="H146" s="73" t="str">
        <f t="shared" si="9"/>
        <v>0h0</v>
      </c>
      <c r="J146" s="73" t="str" cm="1">
        <f t="array" aca="1" ref="J146" ca="1">IFERROR(IF(11+(ROW()-7)*7&gt;370,"",TEXT(INDIRECT("B"&amp;(11+(ROW()-7)*7)),"mm/dd/yy")&amp;"-"&amp;TEXT(INDIRECT("B"&amp;MIN(11+(ROW()-7)*7+6,370)),"mm/dd/yy")),"")</f>
        <v/>
      </c>
      <c r="K146" s="73"/>
    </row>
    <row r="147" spans="2:11" x14ac:dyDescent="0.3">
      <c r="B147" s="149">
        <f t="shared" ca="1" si="12"/>
        <v>46338</v>
      </c>
      <c r="C147" s="73" t="str">
        <f t="shared" ca="1" si="10"/>
        <v>Thursday</v>
      </c>
      <c r="G147" s="73">
        <f t="shared" si="11"/>
        <v>0</v>
      </c>
      <c r="H147" s="73" t="str">
        <f t="shared" si="9"/>
        <v>0h0</v>
      </c>
      <c r="J147" s="73" t="str" cm="1">
        <f t="array" aca="1" ref="J147" ca="1">IFERROR(IF(11+(ROW()-7)*7&gt;370,"",TEXT(INDIRECT("B"&amp;(11+(ROW()-7)*7)),"mm/dd/yy")&amp;"-"&amp;TEXT(INDIRECT("B"&amp;MIN(11+(ROW()-7)*7+6,370)),"mm/dd/yy")),"")</f>
        <v/>
      </c>
      <c r="K147" s="73"/>
    </row>
    <row r="148" spans="2:11" x14ac:dyDescent="0.3">
      <c r="B148" s="149">
        <f t="shared" ca="1" si="12"/>
        <v>46339</v>
      </c>
      <c r="C148" s="73" t="str">
        <f t="shared" ca="1" si="10"/>
        <v>Friday</v>
      </c>
      <c r="G148" s="73">
        <f t="shared" si="11"/>
        <v>0</v>
      </c>
      <c r="H148" s="73" t="str">
        <f t="shared" si="9"/>
        <v>0h0</v>
      </c>
      <c r="J148" s="73" t="str" cm="1">
        <f t="array" aca="1" ref="J148" ca="1">IFERROR(IF(11+(ROW()-7)*7&gt;370,"",TEXT(INDIRECT("B"&amp;(11+(ROW()-7)*7)),"mm/dd/yy")&amp;"-"&amp;TEXT(INDIRECT("B"&amp;MIN(11+(ROW()-7)*7+6,370)),"mm/dd/yy")),"")</f>
        <v/>
      </c>
      <c r="K148" s="73"/>
    </row>
    <row r="149" spans="2:11" x14ac:dyDescent="0.3">
      <c r="B149" s="149">
        <f t="shared" ca="1" si="12"/>
        <v>46340</v>
      </c>
      <c r="C149" s="73" t="str">
        <f t="shared" ca="1" si="10"/>
        <v>Saturday</v>
      </c>
      <c r="G149" s="73">
        <f t="shared" si="11"/>
        <v>0</v>
      </c>
      <c r="H149" s="73" t="str">
        <f t="shared" si="9"/>
        <v>0h0</v>
      </c>
      <c r="J149" s="73" t="str" cm="1">
        <f t="array" aca="1" ref="J149" ca="1">IFERROR(IF(11+(ROW()-7)*7&gt;370,"",TEXT(INDIRECT("B"&amp;(11+(ROW()-7)*7)),"mm/dd/yy")&amp;"-"&amp;TEXT(INDIRECT("B"&amp;MIN(11+(ROW()-7)*7+6,370)),"mm/dd/yy")),"")</f>
        <v/>
      </c>
      <c r="K149" s="73"/>
    </row>
    <row r="150" spans="2:11" x14ac:dyDescent="0.3">
      <c r="B150" s="149">
        <f t="shared" ca="1" si="12"/>
        <v>46341</v>
      </c>
      <c r="C150" s="73" t="str">
        <f t="shared" ca="1" si="10"/>
        <v>Sunday</v>
      </c>
      <c r="G150" s="73">
        <f t="shared" si="11"/>
        <v>0</v>
      </c>
      <c r="H150" s="73" t="str">
        <f t="shared" si="9"/>
        <v>0h0</v>
      </c>
      <c r="J150" s="73" t="str" cm="1">
        <f t="array" aca="1" ref="J150" ca="1">IFERROR(IF(11+(ROW()-7)*7&gt;370,"",TEXT(INDIRECT("B"&amp;(11+(ROW()-7)*7)),"mm/dd/yy")&amp;"-"&amp;TEXT(INDIRECT("B"&amp;MIN(11+(ROW()-7)*7+6,370)),"mm/dd/yy")),"")</f>
        <v/>
      </c>
      <c r="K150" s="73"/>
    </row>
    <row r="151" spans="2:11" x14ac:dyDescent="0.3">
      <c r="B151" s="149">
        <f t="shared" ca="1" si="12"/>
        <v>46342</v>
      </c>
      <c r="C151" s="73" t="str">
        <f t="shared" ca="1" si="10"/>
        <v>Monday</v>
      </c>
      <c r="G151" s="73">
        <f t="shared" si="11"/>
        <v>0</v>
      </c>
      <c r="H151" s="73" t="str">
        <f t="shared" si="9"/>
        <v>0h0</v>
      </c>
      <c r="J151" s="73" t="str" cm="1">
        <f t="array" aca="1" ref="J151" ca="1">IFERROR(IF(11+(ROW()-7)*7&gt;370,"",TEXT(INDIRECT("B"&amp;(11+(ROW()-7)*7)),"mm/dd/yy")&amp;"-"&amp;TEXT(INDIRECT("B"&amp;MIN(11+(ROW()-7)*7+6,370)),"mm/dd/yy")),"")</f>
        <v/>
      </c>
      <c r="K151" s="73"/>
    </row>
    <row r="152" spans="2:11" x14ac:dyDescent="0.3">
      <c r="B152" s="149">
        <f t="shared" ca="1" si="12"/>
        <v>46343</v>
      </c>
      <c r="C152" s="73" t="str">
        <f t="shared" ca="1" si="10"/>
        <v>Tuesday</v>
      </c>
      <c r="G152" s="73">
        <f t="shared" si="11"/>
        <v>0</v>
      </c>
      <c r="H152" s="73" t="str">
        <f t="shared" si="9"/>
        <v>0h0</v>
      </c>
      <c r="J152" s="73" t="str" cm="1">
        <f t="array" aca="1" ref="J152" ca="1">IFERROR(IF(11+(ROW()-7)*7&gt;370,"",TEXT(INDIRECT("B"&amp;(11+(ROW()-7)*7)),"mm/dd/yy")&amp;"-"&amp;TEXT(INDIRECT("B"&amp;MIN(11+(ROW()-7)*7+6,370)),"mm/dd/yy")),"")</f>
        <v/>
      </c>
      <c r="K152" s="73"/>
    </row>
    <row r="153" spans="2:11" x14ac:dyDescent="0.3">
      <c r="B153" s="149">
        <f t="shared" ca="1" si="12"/>
        <v>46344</v>
      </c>
      <c r="C153" s="73" t="str">
        <f t="shared" ca="1" si="10"/>
        <v>Wednesday</v>
      </c>
      <c r="G153" s="73">
        <f t="shared" si="11"/>
        <v>0</v>
      </c>
      <c r="H153" s="73" t="str">
        <f t="shared" si="9"/>
        <v>0h0</v>
      </c>
      <c r="J153" s="73" t="str" cm="1">
        <f t="array" aca="1" ref="J153" ca="1">IFERROR(IF(11+(ROW()-7)*7&gt;370,"",TEXT(INDIRECT("B"&amp;(11+(ROW()-7)*7)),"mm/dd/yy")&amp;"-"&amp;TEXT(INDIRECT("B"&amp;MIN(11+(ROW()-7)*7+6,370)),"mm/dd/yy")),"")</f>
        <v/>
      </c>
      <c r="K153" s="73"/>
    </row>
    <row r="154" spans="2:11" x14ac:dyDescent="0.3">
      <c r="B154" s="149">
        <f t="shared" ca="1" si="12"/>
        <v>46345</v>
      </c>
      <c r="C154" s="73" t="str">
        <f t="shared" ca="1" si="10"/>
        <v>Thursday</v>
      </c>
      <c r="G154" s="73">
        <f t="shared" si="11"/>
        <v>0</v>
      </c>
      <c r="H154" s="73" t="str">
        <f t="shared" si="9"/>
        <v>0h0</v>
      </c>
      <c r="J154" s="73" t="str" cm="1">
        <f t="array" aca="1" ref="J154" ca="1">IFERROR(IF(11+(ROW()-7)*7&gt;370,"",TEXT(INDIRECT("B"&amp;(11+(ROW()-7)*7)),"mm/dd/yy")&amp;"-"&amp;TEXT(INDIRECT("B"&amp;MIN(11+(ROW()-7)*7+6,370)),"mm/dd/yy")),"")</f>
        <v/>
      </c>
      <c r="K154" s="73"/>
    </row>
    <row r="155" spans="2:11" x14ac:dyDescent="0.3">
      <c r="B155" s="149">
        <f t="shared" ca="1" si="12"/>
        <v>46346</v>
      </c>
      <c r="C155" s="73" t="str">
        <f t="shared" ca="1" si="10"/>
        <v>Friday</v>
      </c>
      <c r="G155" s="73">
        <f t="shared" si="11"/>
        <v>0</v>
      </c>
      <c r="H155" s="73" t="str">
        <f t="shared" si="9"/>
        <v>0h0</v>
      </c>
      <c r="J155" s="73" t="str" cm="1">
        <f t="array" aca="1" ref="J155" ca="1">IFERROR(IF(11+(ROW()-7)*7&gt;370,"",TEXT(INDIRECT("B"&amp;(11+(ROW()-7)*7)),"mm/dd/yy")&amp;"-"&amp;TEXT(INDIRECT("B"&amp;MIN(11+(ROW()-7)*7+6,370)),"mm/dd/yy")),"")</f>
        <v/>
      </c>
      <c r="K155" s="73"/>
    </row>
    <row r="156" spans="2:11" x14ac:dyDescent="0.3">
      <c r="B156" s="149">
        <f t="shared" ca="1" si="12"/>
        <v>46347</v>
      </c>
      <c r="C156" s="73" t="str">
        <f t="shared" ca="1" si="10"/>
        <v>Saturday</v>
      </c>
      <c r="G156" s="73">
        <f t="shared" si="11"/>
        <v>0</v>
      </c>
      <c r="H156" s="73" t="str">
        <f t="shared" si="9"/>
        <v>0h0</v>
      </c>
      <c r="J156" s="73" t="str" cm="1">
        <f t="array" aca="1" ref="J156" ca="1">IFERROR(IF(11+(ROW()-7)*7&gt;370,"",TEXT(INDIRECT("B"&amp;(11+(ROW()-7)*7)),"mm/dd/yy")&amp;"-"&amp;TEXT(INDIRECT("B"&amp;MIN(11+(ROW()-7)*7+6,370)),"mm/dd/yy")),"")</f>
        <v/>
      </c>
      <c r="K156" s="73"/>
    </row>
    <row r="157" spans="2:11" x14ac:dyDescent="0.3">
      <c r="B157" s="149">
        <f t="shared" ca="1" si="12"/>
        <v>46348</v>
      </c>
      <c r="C157" s="73" t="str">
        <f t="shared" ca="1" si="10"/>
        <v>Sunday</v>
      </c>
      <c r="G157" s="73">
        <f t="shared" si="11"/>
        <v>0</v>
      </c>
      <c r="H157" s="73" t="str">
        <f t="shared" si="9"/>
        <v>0h0</v>
      </c>
      <c r="J157" s="73" t="str" cm="1">
        <f t="array" aca="1" ref="J157" ca="1">IFERROR(IF(11+(ROW()-7)*7&gt;370,"",TEXT(INDIRECT("B"&amp;(11+(ROW()-7)*7)),"mm/dd/yy")&amp;"-"&amp;TEXT(INDIRECT("B"&amp;MIN(11+(ROW()-7)*7+6,370)),"mm/dd/yy")),"")</f>
        <v/>
      </c>
      <c r="K157" s="73"/>
    </row>
    <row r="158" spans="2:11" x14ac:dyDescent="0.3">
      <c r="B158" s="149">
        <f t="shared" ca="1" si="12"/>
        <v>46349</v>
      </c>
      <c r="C158" s="73" t="str">
        <f t="shared" ca="1" si="10"/>
        <v>Monday</v>
      </c>
      <c r="G158" s="73">
        <f t="shared" si="11"/>
        <v>0</v>
      </c>
      <c r="H158" s="73" t="str">
        <f t="shared" si="9"/>
        <v>0h0</v>
      </c>
      <c r="J158" s="73" t="str" cm="1">
        <f t="array" aca="1" ref="J158" ca="1">IFERROR(IF(11+(ROW()-7)*7&gt;370,"",TEXT(INDIRECT("B"&amp;(11+(ROW()-7)*7)),"mm/dd/yy")&amp;"-"&amp;TEXT(INDIRECT("B"&amp;MIN(11+(ROW()-7)*7+6,370)),"mm/dd/yy")),"")</f>
        <v/>
      </c>
      <c r="K158" s="73"/>
    </row>
    <row r="159" spans="2:11" x14ac:dyDescent="0.3">
      <c r="B159" s="149">
        <f t="shared" ca="1" si="12"/>
        <v>46350</v>
      </c>
      <c r="C159" s="73" t="str">
        <f t="shared" ca="1" si="10"/>
        <v>Tuesday</v>
      </c>
      <c r="G159" s="73">
        <f t="shared" si="11"/>
        <v>0</v>
      </c>
      <c r="H159" s="73" t="str">
        <f t="shared" si="9"/>
        <v>0h0</v>
      </c>
      <c r="J159" s="73" t="str" cm="1">
        <f t="array" aca="1" ref="J159" ca="1">IFERROR(IF(11+(ROW()-7)*7&gt;370,"",TEXT(INDIRECT("B"&amp;(11+(ROW()-7)*7)),"mm/dd/yy")&amp;"-"&amp;TEXT(INDIRECT("B"&amp;MIN(11+(ROW()-7)*7+6,370)),"mm/dd/yy")),"")</f>
        <v/>
      </c>
      <c r="K159" s="73"/>
    </row>
    <row r="160" spans="2:11" x14ac:dyDescent="0.3">
      <c r="B160" s="149">
        <f t="shared" ca="1" si="12"/>
        <v>46351</v>
      </c>
      <c r="C160" s="73" t="str">
        <f t="shared" ca="1" si="10"/>
        <v>Wednesday</v>
      </c>
      <c r="G160" s="73">
        <f t="shared" si="11"/>
        <v>0</v>
      </c>
      <c r="H160" s="73" t="str">
        <f t="shared" si="9"/>
        <v>0h0</v>
      </c>
      <c r="J160" s="73" t="str" cm="1">
        <f t="array" aca="1" ref="J160" ca="1">IFERROR(IF(11+(ROW()-7)*7&gt;370,"",TEXT(INDIRECT("B"&amp;(11+(ROW()-7)*7)),"mm/dd/yy")&amp;"-"&amp;TEXT(INDIRECT("B"&amp;MIN(11+(ROW()-7)*7+6,370)),"mm/dd/yy")),"")</f>
        <v/>
      </c>
      <c r="K160" s="73"/>
    </row>
    <row r="161" spans="2:11" x14ac:dyDescent="0.3">
      <c r="B161" s="149">
        <f t="shared" ca="1" si="12"/>
        <v>46352</v>
      </c>
      <c r="C161" s="73" t="str">
        <f t="shared" ca="1" si="10"/>
        <v>Thursday</v>
      </c>
      <c r="G161" s="73">
        <f t="shared" si="11"/>
        <v>0</v>
      </c>
      <c r="H161" s="73" t="str">
        <f t="shared" si="9"/>
        <v>0h0</v>
      </c>
      <c r="J161" s="73" t="str" cm="1">
        <f t="array" aca="1" ref="J161" ca="1">IFERROR(IF(11+(ROW()-7)*7&gt;370,"",TEXT(INDIRECT("B"&amp;(11+(ROW()-7)*7)),"mm/dd/yy")&amp;"-"&amp;TEXT(INDIRECT("B"&amp;MIN(11+(ROW()-7)*7+6,370)),"mm/dd/yy")),"")</f>
        <v/>
      </c>
      <c r="K161" s="73"/>
    </row>
    <row r="162" spans="2:11" x14ac:dyDescent="0.3">
      <c r="B162" s="149">
        <f t="shared" ca="1" si="12"/>
        <v>46353</v>
      </c>
      <c r="C162" s="73" t="str">
        <f t="shared" ca="1" si="10"/>
        <v>Friday</v>
      </c>
      <c r="G162" s="73">
        <f t="shared" si="11"/>
        <v>0</v>
      </c>
      <c r="H162" s="73" t="str">
        <f t="shared" si="9"/>
        <v>0h0</v>
      </c>
      <c r="J162" s="73" t="str" cm="1">
        <f t="array" aca="1" ref="J162" ca="1">IFERROR(IF(11+(ROW()-7)*7&gt;370,"",TEXT(INDIRECT("B"&amp;(11+(ROW()-7)*7)),"mm/dd/yy")&amp;"-"&amp;TEXT(INDIRECT("B"&amp;MIN(11+(ROW()-7)*7+6,370)),"mm/dd/yy")),"")</f>
        <v/>
      </c>
      <c r="K162" s="73"/>
    </row>
    <row r="163" spans="2:11" x14ac:dyDescent="0.3">
      <c r="B163" s="149">
        <f t="shared" ca="1" si="12"/>
        <v>46354</v>
      </c>
      <c r="C163" s="73" t="str">
        <f t="shared" ca="1" si="10"/>
        <v>Saturday</v>
      </c>
      <c r="G163" s="73">
        <f t="shared" si="11"/>
        <v>0</v>
      </c>
      <c r="H163" s="73" t="str">
        <f t="shared" si="9"/>
        <v>0h0</v>
      </c>
      <c r="J163" s="73" t="str" cm="1">
        <f t="array" aca="1" ref="J163" ca="1">IFERROR(IF(11+(ROW()-7)*7&gt;370,"",TEXT(INDIRECT("B"&amp;(11+(ROW()-7)*7)),"mm/dd/yy")&amp;"-"&amp;TEXT(INDIRECT("B"&amp;MIN(11+(ROW()-7)*7+6,370)),"mm/dd/yy")),"")</f>
        <v/>
      </c>
      <c r="K163" s="73"/>
    </row>
    <row r="164" spans="2:11" x14ac:dyDescent="0.3">
      <c r="B164" s="149">
        <f t="shared" ca="1" si="12"/>
        <v>46355</v>
      </c>
      <c r="C164" s="73" t="str">
        <f t="shared" ca="1" si="10"/>
        <v>Sunday</v>
      </c>
      <c r="G164" s="73">
        <f t="shared" si="11"/>
        <v>0</v>
      </c>
      <c r="H164" s="73" t="str">
        <f t="shared" si="9"/>
        <v>0h0</v>
      </c>
      <c r="J164" s="73" t="str" cm="1">
        <f t="array" aca="1" ref="J164" ca="1">IFERROR(IF(11+(ROW()-7)*7&gt;370,"",TEXT(INDIRECT("B"&amp;(11+(ROW()-7)*7)),"mm/dd/yy")&amp;"-"&amp;TEXT(INDIRECT("B"&amp;MIN(11+(ROW()-7)*7+6,370)),"mm/dd/yy")),"")</f>
        <v/>
      </c>
      <c r="K164" s="73"/>
    </row>
    <row r="165" spans="2:11" x14ac:dyDescent="0.3">
      <c r="B165" s="149">
        <f t="shared" ca="1" si="12"/>
        <v>46356</v>
      </c>
      <c r="C165" s="73" t="str">
        <f t="shared" ca="1" si="10"/>
        <v>Monday</v>
      </c>
      <c r="G165" s="73">
        <f t="shared" si="11"/>
        <v>0</v>
      </c>
      <c r="H165" s="73" t="str">
        <f t="shared" si="9"/>
        <v>0h0</v>
      </c>
      <c r="J165" s="73" t="str" cm="1">
        <f t="array" aca="1" ref="J165" ca="1">IFERROR(IF(11+(ROW()-7)*7&gt;370,"",TEXT(INDIRECT("B"&amp;(11+(ROW()-7)*7)),"mm/dd/yy")&amp;"-"&amp;TEXT(INDIRECT("B"&amp;MIN(11+(ROW()-7)*7+6,370)),"mm/dd/yy")),"")</f>
        <v/>
      </c>
      <c r="K165" s="73"/>
    </row>
    <row r="166" spans="2:11" x14ac:dyDescent="0.3">
      <c r="B166" s="149">
        <f t="shared" ca="1" si="12"/>
        <v>46357</v>
      </c>
      <c r="C166" s="73" t="str">
        <f t="shared" ca="1" si="10"/>
        <v>Tuesday</v>
      </c>
      <c r="G166" s="73">
        <f t="shared" si="11"/>
        <v>0</v>
      </c>
      <c r="H166" s="73" t="str">
        <f t="shared" si="9"/>
        <v>0h0</v>
      </c>
      <c r="J166" s="73" t="str" cm="1">
        <f t="array" aca="1" ref="J166" ca="1">IFERROR(IF(11+(ROW()-7)*7&gt;370,"",TEXT(INDIRECT("B"&amp;(11+(ROW()-7)*7)),"mm/dd/yy")&amp;"-"&amp;TEXT(INDIRECT("B"&amp;MIN(11+(ROW()-7)*7+6,370)),"mm/dd/yy")),"")</f>
        <v/>
      </c>
      <c r="K166" s="73"/>
    </row>
    <row r="167" spans="2:11" x14ac:dyDescent="0.3">
      <c r="B167" s="149">
        <f t="shared" ca="1" si="12"/>
        <v>46358</v>
      </c>
      <c r="C167" s="73" t="str">
        <f t="shared" ca="1" si="10"/>
        <v>Wednesday</v>
      </c>
      <c r="G167" s="73">
        <f t="shared" si="11"/>
        <v>0</v>
      </c>
      <c r="H167" s="73" t="str">
        <f t="shared" si="9"/>
        <v>0h0</v>
      </c>
      <c r="J167" s="73" t="str" cm="1">
        <f t="array" aca="1" ref="J167" ca="1">IFERROR(IF(11+(ROW()-7)*7&gt;370,"",TEXT(INDIRECT("B"&amp;(11+(ROW()-7)*7)),"mm/dd/yy")&amp;"-"&amp;TEXT(INDIRECT("B"&amp;MIN(11+(ROW()-7)*7+6,370)),"mm/dd/yy")),"")</f>
        <v/>
      </c>
      <c r="K167" s="73"/>
    </row>
    <row r="168" spans="2:11" x14ac:dyDescent="0.3">
      <c r="B168" s="149">
        <f t="shared" ca="1" si="12"/>
        <v>46359</v>
      </c>
      <c r="C168" s="73" t="str">
        <f t="shared" ca="1" si="10"/>
        <v>Thursday</v>
      </c>
      <c r="G168" s="73">
        <f t="shared" si="11"/>
        <v>0</v>
      </c>
      <c r="H168" s="73" t="str">
        <f t="shared" si="9"/>
        <v>0h0</v>
      </c>
      <c r="J168" s="73" t="str" cm="1">
        <f t="array" aca="1" ref="J168" ca="1">IFERROR(IF(11+(ROW()-7)*7&gt;370,"",TEXT(INDIRECT("B"&amp;(11+(ROW()-7)*7)),"mm/dd/yy")&amp;"-"&amp;TEXT(INDIRECT("B"&amp;MIN(11+(ROW()-7)*7+6,370)),"mm/dd/yy")),"")</f>
        <v/>
      </c>
      <c r="K168" s="73"/>
    </row>
    <row r="169" spans="2:11" x14ac:dyDescent="0.3">
      <c r="B169" s="149">
        <f t="shared" ca="1" si="12"/>
        <v>46360</v>
      </c>
      <c r="C169" s="73" t="str">
        <f t="shared" ca="1" si="10"/>
        <v>Friday</v>
      </c>
      <c r="G169" s="73">
        <f t="shared" si="11"/>
        <v>0</v>
      </c>
      <c r="H169" s="73" t="str">
        <f t="shared" si="9"/>
        <v>0h0</v>
      </c>
      <c r="J169" s="73" t="str" cm="1">
        <f t="array" aca="1" ref="J169" ca="1">IFERROR(IF(11+(ROW()-7)*7&gt;370,"",TEXT(INDIRECT("B"&amp;(11+(ROW()-7)*7)),"mm/dd/yy")&amp;"-"&amp;TEXT(INDIRECT("B"&amp;MIN(11+(ROW()-7)*7+6,370)),"mm/dd/yy")),"")</f>
        <v/>
      </c>
      <c r="K169" s="73"/>
    </row>
    <row r="170" spans="2:11" x14ac:dyDescent="0.3">
      <c r="B170" s="149">
        <f t="shared" ca="1" si="12"/>
        <v>46361</v>
      </c>
      <c r="C170" s="73" t="str">
        <f t="shared" ca="1" si="10"/>
        <v>Saturday</v>
      </c>
      <c r="G170" s="73">
        <f t="shared" si="11"/>
        <v>0</v>
      </c>
      <c r="H170" s="73" t="str">
        <f t="shared" si="9"/>
        <v>0h0</v>
      </c>
      <c r="J170" s="73" t="str" cm="1">
        <f t="array" aca="1" ref="J170" ca="1">IFERROR(IF(11+(ROW()-7)*7&gt;370,"",TEXT(INDIRECT("B"&amp;(11+(ROW()-7)*7)),"mm/dd/yy")&amp;"-"&amp;TEXT(INDIRECT("B"&amp;MIN(11+(ROW()-7)*7+6,370)),"mm/dd/yy")),"")</f>
        <v/>
      </c>
      <c r="K170" s="73"/>
    </row>
    <row r="171" spans="2:11" x14ac:dyDescent="0.3">
      <c r="B171" s="149">
        <f t="shared" ca="1" si="12"/>
        <v>46362</v>
      </c>
      <c r="C171" s="73" t="str">
        <f t="shared" ca="1" si="10"/>
        <v>Sunday</v>
      </c>
      <c r="G171" s="73">
        <f t="shared" si="11"/>
        <v>0</v>
      </c>
      <c r="H171" s="73" t="str">
        <f t="shared" si="9"/>
        <v>0h0</v>
      </c>
      <c r="J171" s="73" t="str" cm="1">
        <f t="array" aca="1" ref="J171" ca="1">IFERROR(IF(11+(ROW()-7)*7&gt;370,"",TEXT(INDIRECT("B"&amp;(11+(ROW()-7)*7)),"mm/dd/yy")&amp;"-"&amp;TEXT(INDIRECT("B"&amp;MIN(11+(ROW()-7)*7+6,370)),"mm/dd/yy")),"")</f>
        <v/>
      </c>
      <c r="K171" s="73"/>
    </row>
    <row r="172" spans="2:11" x14ac:dyDescent="0.3">
      <c r="B172" s="149">
        <f t="shared" ca="1" si="12"/>
        <v>46363</v>
      </c>
      <c r="C172" s="73" t="str">
        <f t="shared" ca="1" si="10"/>
        <v>Monday</v>
      </c>
      <c r="G172" s="73">
        <f t="shared" si="11"/>
        <v>0</v>
      </c>
      <c r="H172" s="73" t="str">
        <f t="shared" si="9"/>
        <v>0h0</v>
      </c>
      <c r="J172" s="73" t="str" cm="1">
        <f t="array" aca="1" ref="J172" ca="1">IFERROR(IF(11+(ROW()-7)*7&gt;370,"",TEXT(INDIRECT("B"&amp;(11+(ROW()-7)*7)),"mm/dd/yy")&amp;"-"&amp;TEXT(INDIRECT("B"&amp;MIN(11+(ROW()-7)*7+6,370)),"mm/dd/yy")),"")</f>
        <v/>
      </c>
      <c r="K172" s="73"/>
    </row>
    <row r="173" spans="2:11" x14ac:dyDescent="0.3">
      <c r="B173" s="149">
        <f t="shared" ca="1" si="12"/>
        <v>46364</v>
      </c>
      <c r="C173" s="73" t="str">
        <f t="shared" ca="1" si="10"/>
        <v>Tuesday</v>
      </c>
      <c r="G173" s="73">
        <f t="shared" si="11"/>
        <v>0</v>
      </c>
      <c r="H173" s="73" t="str">
        <f t="shared" si="9"/>
        <v>0h0</v>
      </c>
      <c r="J173" s="73" t="str" cm="1">
        <f t="array" aca="1" ref="J173" ca="1">IFERROR(IF(11+(ROW()-7)*7&gt;370,"",TEXT(INDIRECT("B"&amp;(11+(ROW()-7)*7)),"mm/dd/yy")&amp;"-"&amp;TEXT(INDIRECT("B"&amp;MIN(11+(ROW()-7)*7+6,370)),"mm/dd/yy")),"")</f>
        <v/>
      </c>
      <c r="K173" s="73"/>
    </row>
    <row r="174" spans="2:11" x14ac:dyDescent="0.3">
      <c r="B174" s="149">
        <f t="shared" ca="1" si="12"/>
        <v>46365</v>
      </c>
      <c r="C174" s="73" t="str">
        <f t="shared" ca="1" si="10"/>
        <v>Wednesday</v>
      </c>
      <c r="G174" s="73">
        <f t="shared" si="11"/>
        <v>0</v>
      </c>
      <c r="H174" s="73" t="str">
        <f t="shared" si="9"/>
        <v>0h0</v>
      </c>
      <c r="J174" s="73" t="str" cm="1">
        <f t="array" aca="1" ref="J174" ca="1">IFERROR(IF(11+(ROW()-7)*7&gt;370,"",TEXT(INDIRECT("B"&amp;(11+(ROW()-7)*7)),"mm/dd/yy")&amp;"-"&amp;TEXT(INDIRECT("B"&amp;MIN(11+(ROW()-7)*7+6,370)),"mm/dd/yy")),"")</f>
        <v/>
      </c>
      <c r="K174" s="73"/>
    </row>
    <row r="175" spans="2:11" x14ac:dyDescent="0.3">
      <c r="B175" s="149">
        <f t="shared" ca="1" si="12"/>
        <v>46366</v>
      </c>
      <c r="C175" s="73" t="str">
        <f t="shared" ca="1" si="10"/>
        <v>Thursday</v>
      </c>
      <c r="G175" s="73">
        <f t="shared" si="11"/>
        <v>0</v>
      </c>
      <c r="H175" s="73" t="str">
        <f t="shared" si="9"/>
        <v>0h0</v>
      </c>
      <c r="J175" s="73" t="str" cm="1">
        <f t="array" aca="1" ref="J175" ca="1">IFERROR(IF(11+(ROW()-7)*7&gt;370,"",TEXT(INDIRECT("B"&amp;(11+(ROW()-7)*7)),"mm/dd/yy")&amp;"-"&amp;TEXT(INDIRECT("B"&amp;MIN(11+(ROW()-7)*7+6,370)),"mm/dd/yy")),"")</f>
        <v/>
      </c>
      <c r="K175" s="73"/>
    </row>
    <row r="176" spans="2:11" x14ac:dyDescent="0.3">
      <c r="B176" s="149">
        <f t="shared" ca="1" si="12"/>
        <v>46367</v>
      </c>
      <c r="C176" s="73" t="str">
        <f t="shared" ca="1" si="10"/>
        <v>Friday</v>
      </c>
      <c r="G176" s="73">
        <f t="shared" si="11"/>
        <v>0</v>
      </c>
      <c r="H176" s="73" t="str">
        <f t="shared" si="9"/>
        <v>0h0</v>
      </c>
      <c r="J176" s="73" t="str" cm="1">
        <f t="array" aca="1" ref="J176" ca="1">IFERROR(IF(11+(ROW()-7)*7&gt;370,"",TEXT(INDIRECT("B"&amp;(11+(ROW()-7)*7)),"mm/dd/yy")&amp;"-"&amp;TEXT(INDIRECT("B"&amp;MIN(11+(ROW()-7)*7+6,370)),"mm/dd/yy")),"")</f>
        <v/>
      </c>
      <c r="K176" s="73"/>
    </row>
    <row r="177" spans="2:11" x14ac:dyDescent="0.3">
      <c r="B177" s="149">
        <f t="shared" ca="1" si="12"/>
        <v>46368</v>
      </c>
      <c r="C177" s="73" t="str">
        <f t="shared" ca="1" si="10"/>
        <v>Saturday</v>
      </c>
      <c r="G177" s="73">
        <f t="shared" si="11"/>
        <v>0</v>
      </c>
      <c r="H177" s="73" t="str">
        <f t="shared" si="9"/>
        <v>0h0</v>
      </c>
      <c r="J177" s="73" t="str" cm="1">
        <f t="array" aca="1" ref="J177" ca="1">IFERROR(IF(11+(ROW()-7)*7&gt;370,"",TEXT(INDIRECT("B"&amp;(11+(ROW()-7)*7)),"mm/dd/yy")&amp;"-"&amp;TEXT(INDIRECT("B"&amp;MIN(11+(ROW()-7)*7+6,370)),"mm/dd/yy")),"")</f>
        <v/>
      </c>
      <c r="K177" s="73"/>
    </row>
    <row r="178" spans="2:11" x14ac:dyDescent="0.3">
      <c r="B178" s="149">
        <f t="shared" ca="1" si="12"/>
        <v>46369</v>
      </c>
      <c r="C178" s="73" t="str">
        <f t="shared" ca="1" si="10"/>
        <v>Sunday</v>
      </c>
      <c r="G178" s="73">
        <f t="shared" si="11"/>
        <v>0</v>
      </c>
      <c r="H178" s="73" t="str">
        <f t="shared" si="9"/>
        <v>0h0</v>
      </c>
      <c r="J178" s="73" t="str" cm="1">
        <f t="array" aca="1" ref="J178" ca="1">IFERROR(IF(11+(ROW()-7)*7&gt;370,"",TEXT(INDIRECT("B"&amp;(11+(ROW()-7)*7)),"mm/dd/yy")&amp;"-"&amp;TEXT(INDIRECT("B"&amp;MIN(11+(ROW()-7)*7+6,370)),"mm/dd/yy")),"")</f>
        <v/>
      </c>
      <c r="K178" s="73"/>
    </row>
    <row r="179" spans="2:11" x14ac:dyDescent="0.3">
      <c r="B179" s="149">
        <f t="shared" ca="1" si="12"/>
        <v>46370</v>
      </c>
      <c r="C179" s="73" t="str">
        <f t="shared" ca="1" si="10"/>
        <v>Monday</v>
      </c>
      <c r="G179" s="73">
        <f t="shared" si="11"/>
        <v>0</v>
      </c>
      <c r="H179" s="73" t="str">
        <f t="shared" si="9"/>
        <v>0h0</v>
      </c>
      <c r="J179" s="73" t="str" cm="1">
        <f t="array" aca="1" ref="J179" ca="1">IFERROR(IF(11+(ROW()-7)*7&gt;370,"",TEXT(INDIRECT("B"&amp;(11+(ROW()-7)*7)),"mm/dd/yy")&amp;"-"&amp;TEXT(INDIRECT("B"&amp;MIN(11+(ROW()-7)*7+6,370)),"mm/dd/yy")),"")</f>
        <v/>
      </c>
      <c r="K179" s="73"/>
    </row>
    <row r="180" spans="2:11" x14ac:dyDescent="0.3">
      <c r="B180" s="149">
        <f t="shared" ca="1" si="12"/>
        <v>46371</v>
      </c>
      <c r="C180" s="73" t="str">
        <f t="shared" ca="1" si="10"/>
        <v>Tuesday</v>
      </c>
      <c r="G180" s="73">
        <f t="shared" si="11"/>
        <v>0</v>
      </c>
      <c r="H180" s="73" t="str">
        <f t="shared" si="9"/>
        <v>0h0</v>
      </c>
      <c r="J180" s="73" t="str" cm="1">
        <f t="array" aca="1" ref="J180" ca="1">IFERROR(IF(11+(ROW()-7)*7&gt;370,"",TEXT(INDIRECT("B"&amp;(11+(ROW()-7)*7)),"mm/dd/yy")&amp;"-"&amp;TEXT(INDIRECT("B"&amp;MIN(11+(ROW()-7)*7+6,370)),"mm/dd/yy")),"")</f>
        <v/>
      </c>
      <c r="K180" s="73"/>
    </row>
    <row r="181" spans="2:11" x14ac:dyDescent="0.3">
      <c r="B181" s="149">
        <f t="shared" ca="1" si="12"/>
        <v>46372</v>
      </c>
      <c r="C181" s="73" t="str">
        <f t="shared" ca="1" si="10"/>
        <v>Wednesday</v>
      </c>
      <c r="G181" s="73">
        <f t="shared" si="11"/>
        <v>0</v>
      </c>
      <c r="H181" s="73" t="str">
        <f t="shared" si="9"/>
        <v>0h0</v>
      </c>
      <c r="J181" s="73" t="str" cm="1">
        <f t="array" aca="1" ref="J181" ca="1">IFERROR(IF(11+(ROW()-7)*7&gt;370,"",TEXT(INDIRECT("B"&amp;(11+(ROW()-7)*7)),"mm/dd/yy")&amp;"-"&amp;TEXT(INDIRECT("B"&amp;MIN(11+(ROW()-7)*7+6,370)),"mm/dd/yy")),"")</f>
        <v/>
      </c>
      <c r="K181" s="73"/>
    </row>
    <row r="182" spans="2:11" x14ac:dyDescent="0.3">
      <c r="B182" s="149">
        <f t="shared" ca="1" si="12"/>
        <v>46373</v>
      </c>
      <c r="C182" s="73" t="str">
        <f t="shared" ca="1" si="10"/>
        <v>Thursday</v>
      </c>
      <c r="G182" s="73">
        <f t="shared" si="11"/>
        <v>0</v>
      </c>
      <c r="H182" s="73" t="str">
        <f t="shared" si="9"/>
        <v>0h0</v>
      </c>
      <c r="J182" s="73" t="str" cm="1">
        <f t="array" aca="1" ref="J182" ca="1">IFERROR(IF(11+(ROW()-7)*7&gt;370,"",TEXT(INDIRECT("B"&amp;(11+(ROW()-7)*7)),"mm/dd/yy")&amp;"-"&amp;TEXT(INDIRECT("B"&amp;MIN(11+(ROW()-7)*7+6,370)),"mm/dd/yy")),"")</f>
        <v/>
      </c>
      <c r="K182" s="73"/>
    </row>
    <row r="183" spans="2:11" x14ac:dyDescent="0.3">
      <c r="B183" s="149">
        <f t="shared" ca="1" si="12"/>
        <v>46374</v>
      </c>
      <c r="C183" s="73" t="str">
        <f t="shared" ca="1" si="10"/>
        <v>Friday</v>
      </c>
      <c r="G183" s="73">
        <f t="shared" si="11"/>
        <v>0</v>
      </c>
      <c r="H183" s="73" t="str">
        <f t="shared" si="9"/>
        <v>0h0</v>
      </c>
      <c r="J183" s="73" t="str" cm="1">
        <f t="array" aca="1" ref="J183" ca="1">IFERROR(IF(11+(ROW()-7)*7&gt;370,"",TEXT(INDIRECT("B"&amp;(11+(ROW()-7)*7)),"mm/dd/yy")&amp;"-"&amp;TEXT(INDIRECT("B"&amp;MIN(11+(ROW()-7)*7+6,370)),"mm/dd/yy")),"")</f>
        <v/>
      </c>
      <c r="K183" s="73"/>
    </row>
    <row r="184" spans="2:11" x14ac:dyDescent="0.3">
      <c r="B184" s="149">
        <f t="shared" ca="1" si="12"/>
        <v>46375</v>
      </c>
      <c r="C184" s="73" t="str">
        <f t="shared" ca="1" si="10"/>
        <v>Saturday</v>
      </c>
      <c r="G184" s="73">
        <f t="shared" si="11"/>
        <v>0</v>
      </c>
      <c r="H184" s="73" t="str">
        <f t="shared" si="9"/>
        <v>0h0</v>
      </c>
      <c r="J184" s="73" t="str" cm="1">
        <f t="array" aca="1" ref="J184" ca="1">IFERROR(IF(11+(ROW()-7)*7&gt;370,"",TEXT(INDIRECT("B"&amp;(11+(ROW()-7)*7)),"mm/dd/yy")&amp;"-"&amp;TEXT(INDIRECT("B"&amp;MIN(11+(ROW()-7)*7+6,370)),"mm/dd/yy")),"")</f>
        <v/>
      </c>
      <c r="K184" s="73"/>
    </row>
    <row r="185" spans="2:11" x14ac:dyDescent="0.3">
      <c r="B185" s="149">
        <f t="shared" ca="1" si="12"/>
        <v>46376</v>
      </c>
      <c r="C185" s="73" t="str">
        <f t="shared" ca="1" si="10"/>
        <v>Sunday</v>
      </c>
      <c r="G185" s="73">
        <f t="shared" si="11"/>
        <v>0</v>
      </c>
      <c r="H185" s="73" t="str">
        <f t="shared" si="9"/>
        <v>0h0</v>
      </c>
      <c r="J185" s="73" t="str" cm="1">
        <f t="array" aca="1" ref="J185" ca="1">IFERROR(IF(11+(ROW()-7)*7&gt;370,"",TEXT(INDIRECT("B"&amp;(11+(ROW()-7)*7)),"mm/dd/yy")&amp;"-"&amp;TEXT(INDIRECT("B"&amp;MIN(11+(ROW()-7)*7+6,370)),"mm/dd/yy")),"")</f>
        <v/>
      </c>
      <c r="K185" s="73"/>
    </row>
    <row r="186" spans="2:11" x14ac:dyDescent="0.3">
      <c r="B186" s="149">
        <f t="shared" ca="1" si="12"/>
        <v>46377</v>
      </c>
      <c r="C186" s="73" t="str">
        <f t="shared" ca="1" si="10"/>
        <v>Monday</v>
      </c>
      <c r="G186" s="73">
        <f t="shared" si="11"/>
        <v>0</v>
      </c>
      <c r="H186" s="73" t="str">
        <f t="shared" si="9"/>
        <v>0h0</v>
      </c>
      <c r="J186" s="73" t="str" cm="1">
        <f t="array" aca="1" ref="J186" ca="1">IFERROR(IF(11+(ROW()-7)*7&gt;370,"",TEXT(INDIRECT("B"&amp;(11+(ROW()-7)*7)),"mm/dd/yy")&amp;"-"&amp;TEXT(INDIRECT("B"&amp;MIN(11+(ROW()-7)*7+6,370)),"mm/dd/yy")),"")</f>
        <v/>
      </c>
      <c r="K186" s="73"/>
    </row>
    <row r="187" spans="2:11" x14ac:dyDescent="0.3">
      <c r="B187" s="149">
        <f t="shared" ca="1" si="12"/>
        <v>46378</v>
      </c>
      <c r="C187" s="73" t="str">
        <f t="shared" ca="1" si="10"/>
        <v>Tuesday</v>
      </c>
      <c r="G187" s="73">
        <f t="shared" si="11"/>
        <v>0</v>
      </c>
      <c r="H187" s="73" t="str">
        <f t="shared" si="9"/>
        <v>0h0</v>
      </c>
      <c r="J187" s="73" t="str" cm="1">
        <f t="array" aca="1" ref="J187" ca="1">IFERROR(IF(11+(ROW()-7)*7&gt;370,"",TEXT(INDIRECT("B"&amp;(11+(ROW()-7)*7)),"mm/dd/yy")&amp;"-"&amp;TEXT(INDIRECT("B"&amp;MIN(11+(ROW()-7)*7+6,370)),"mm/dd/yy")),"")</f>
        <v/>
      </c>
      <c r="K187" s="73"/>
    </row>
    <row r="188" spans="2:11" x14ac:dyDescent="0.3">
      <c r="B188" s="149">
        <f t="shared" ca="1" si="12"/>
        <v>46379</v>
      </c>
      <c r="C188" s="73" t="str">
        <f t="shared" ca="1" si="10"/>
        <v>Wednesday</v>
      </c>
      <c r="G188" s="73">
        <f t="shared" si="11"/>
        <v>0</v>
      </c>
      <c r="H188" s="73" t="str">
        <f t="shared" si="9"/>
        <v>0h0</v>
      </c>
      <c r="J188" s="73" t="str" cm="1">
        <f t="array" aca="1" ref="J188" ca="1">IFERROR(IF(11+(ROW()-7)*7&gt;370,"",TEXT(INDIRECT("B"&amp;(11+(ROW()-7)*7)),"mm/dd/yy")&amp;"-"&amp;TEXT(INDIRECT("B"&amp;MIN(11+(ROW()-7)*7+6,370)),"mm/dd/yy")),"")</f>
        <v/>
      </c>
      <c r="K188" s="73"/>
    </row>
    <row r="189" spans="2:11" x14ac:dyDescent="0.3">
      <c r="B189" s="149">
        <f t="shared" ca="1" si="12"/>
        <v>46380</v>
      </c>
      <c r="C189" s="73" t="str">
        <f t="shared" ca="1" si="10"/>
        <v>Thursday</v>
      </c>
      <c r="G189" s="73">
        <f t="shared" si="11"/>
        <v>0</v>
      </c>
      <c r="H189" s="73" t="str">
        <f t="shared" si="9"/>
        <v>0h0</v>
      </c>
      <c r="J189" s="73" t="str" cm="1">
        <f t="array" aca="1" ref="J189" ca="1">IFERROR(IF(11+(ROW()-7)*7&gt;370,"",TEXT(INDIRECT("B"&amp;(11+(ROW()-7)*7)),"mm/dd/yy")&amp;"-"&amp;TEXT(INDIRECT("B"&amp;MIN(11+(ROW()-7)*7+6,370)),"mm/dd/yy")),"")</f>
        <v/>
      </c>
      <c r="K189" s="73"/>
    </row>
    <row r="190" spans="2:11" x14ac:dyDescent="0.3">
      <c r="B190" s="149">
        <f t="shared" ca="1" si="12"/>
        <v>46381</v>
      </c>
      <c r="C190" s="73" t="str">
        <f t="shared" ca="1" si="10"/>
        <v>Friday</v>
      </c>
      <c r="G190" s="73">
        <f t="shared" si="11"/>
        <v>0</v>
      </c>
      <c r="H190" s="73" t="str">
        <f t="shared" si="9"/>
        <v>0h0</v>
      </c>
      <c r="J190" s="73" t="str" cm="1">
        <f t="array" aca="1" ref="J190" ca="1">IFERROR(IF(11+(ROW()-7)*7&gt;370,"",TEXT(INDIRECT("B"&amp;(11+(ROW()-7)*7)),"mm/dd/yy")&amp;"-"&amp;TEXT(INDIRECT("B"&amp;MIN(11+(ROW()-7)*7+6,370)),"mm/dd/yy")),"")</f>
        <v/>
      </c>
      <c r="K190" s="73"/>
    </row>
    <row r="191" spans="2:11" x14ac:dyDescent="0.3">
      <c r="B191" s="149">
        <f t="shared" ca="1" si="12"/>
        <v>46382</v>
      </c>
      <c r="C191" s="73" t="str">
        <f t="shared" ca="1" si="10"/>
        <v>Saturday</v>
      </c>
      <c r="G191" s="73">
        <f t="shared" si="11"/>
        <v>0</v>
      </c>
      <c r="H191" s="73" t="str">
        <f t="shared" si="9"/>
        <v>0h0</v>
      </c>
      <c r="J191" s="73" t="str" cm="1">
        <f t="array" aca="1" ref="J191" ca="1">IFERROR(IF(11+(ROW()-7)*7&gt;370,"",TEXT(INDIRECT("B"&amp;(11+(ROW()-7)*7)),"mm/dd/yy")&amp;"-"&amp;TEXT(INDIRECT("B"&amp;MIN(11+(ROW()-7)*7+6,370)),"mm/dd/yy")),"")</f>
        <v/>
      </c>
      <c r="K191" s="73"/>
    </row>
    <row r="192" spans="2:11" x14ac:dyDescent="0.3">
      <c r="B192" s="149">
        <f t="shared" ca="1" si="12"/>
        <v>46383</v>
      </c>
      <c r="C192" s="73" t="str">
        <f t="shared" ca="1" si="10"/>
        <v>Sunday</v>
      </c>
      <c r="G192" s="73">
        <f t="shared" si="11"/>
        <v>0</v>
      </c>
      <c r="H192" s="73" t="str">
        <f t="shared" si="9"/>
        <v>0h0</v>
      </c>
      <c r="J192" s="73" t="str" cm="1">
        <f t="array" aca="1" ref="J192" ca="1">IFERROR(IF(11+(ROW()-7)*7&gt;370,"",TEXT(INDIRECT("B"&amp;(11+(ROW()-7)*7)),"mm/dd/yy")&amp;"-"&amp;TEXT(INDIRECT("B"&amp;MIN(11+(ROW()-7)*7+6,370)),"mm/dd/yy")),"")</f>
        <v/>
      </c>
      <c r="K192" s="73"/>
    </row>
    <row r="193" spans="2:11" x14ac:dyDescent="0.3">
      <c r="B193" s="149">
        <f t="shared" ca="1" si="12"/>
        <v>46384</v>
      </c>
      <c r="C193" s="73" t="str">
        <f t="shared" ca="1" si="10"/>
        <v>Monday</v>
      </c>
      <c r="G193" s="73">
        <f t="shared" si="11"/>
        <v>0</v>
      </c>
      <c r="H193" s="73" t="str">
        <f t="shared" si="9"/>
        <v>0h0</v>
      </c>
      <c r="J193" s="73" t="str" cm="1">
        <f t="array" aca="1" ref="J193" ca="1">IFERROR(IF(11+(ROW()-7)*7&gt;370,"",TEXT(INDIRECT("B"&amp;(11+(ROW()-7)*7)),"mm/dd/yy")&amp;"-"&amp;TEXT(INDIRECT("B"&amp;MIN(11+(ROW()-7)*7+6,370)),"mm/dd/yy")),"")</f>
        <v/>
      </c>
      <c r="K193" s="73"/>
    </row>
    <row r="194" spans="2:11" x14ac:dyDescent="0.3">
      <c r="B194" s="149">
        <f t="shared" ca="1" si="12"/>
        <v>46385</v>
      </c>
      <c r="C194" s="73" t="str">
        <f t="shared" ca="1" si="10"/>
        <v>Tuesday</v>
      </c>
      <c r="G194" s="73">
        <f t="shared" si="11"/>
        <v>0</v>
      </c>
      <c r="H194" s="73" t="str">
        <f t="shared" si="9"/>
        <v>0h0</v>
      </c>
      <c r="J194" s="73" t="str" cm="1">
        <f t="array" aca="1" ref="J194" ca="1">IFERROR(IF(11+(ROW()-7)*7&gt;370,"",TEXT(INDIRECT("B"&amp;(11+(ROW()-7)*7)),"mm/dd/yy")&amp;"-"&amp;TEXT(INDIRECT("B"&amp;MIN(11+(ROW()-7)*7+6,370)),"mm/dd/yy")),"")</f>
        <v/>
      </c>
      <c r="K194" s="73"/>
    </row>
    <row r="195" spans="2:11" x14ac:dyDescent="0.3">
      <c r="B195" s="149">
        <f t="shared" ca="1" si="12"/>
        <v>46386</v>
      </c>
      <c r="C195" s="73" t="str">
        <f t="shared" ca="1" si="10"/>
        <v>Wednesday</v>
      </c>
      <c r="G195" s="73">
        <f t="shared" si="11"/>
        <v>0</v>
      </c>
      <c r="H195" s="73" t="str">
        <f t="shared" si="9"/>
        <v>0h0</v>
      </c>
      <c r="J195" s="73" t="str" cm="1">
        <f t="array" aca="1" ref="J195" ca="1">IFERROR(IF(11+(ROW()-7)*7&gt;370,"",TEXT(INDIRECT("B"&amp;(11+(ROW()-7)*7)),"mm/dd/yy")&amp;"-"&amp;TEXT(INDIRECT("B"&amp;MIN(11+(ROW()-7)*7+6,370)),"mm/dd/yy")),"")</f>
        <v/>
      </c>
      <c r="K195" s="73"/>
    </row>
    <row r="196" spans="2:11" x14ac:dyDescent="0.3">
      <c r="B196" s="149">
        <f t="shared" ca="1" si="12"/>
        <v>46387</v>
      </c>
      <c r="C196" s="73" t="str">
        <f t="shared" ca="1" si="10"/>
        <v>Thursday</v>
      </c>
      <c r="G196" s="73">
        <f t="shared" si="11"/>
        <v>0</v>
      </c>
      <c r="H196" s="73" t="str">
        <f t="shared" si="9"/>
        <v>0h0</v>
      </c>
      <c r="J196" s="73" t="str" cm="1">
        <f t="array" aca="1" ref="J196" ca="1">IFERROR(IF(11+(ROW()-7)*7&gt;370,"",TEXT(INDIRECT("B"&amp;(11+(ROW()-7)*7)),"mm/dd/yy")&amp;"-"&amp;TEXT(INDIRECT("B"&amp;MIN(11+(ROW()-7)*7+6,370)),"mm/dd/yy")),"")</f>
        <v/>
      </c>
      <c r="K196" s="73"/>
    </row>
    <row r="197" spans="2:11" x14ac:dyDescent="0.3">
      <c r="B197" s="149">
        <f t="shared" ca="1" si="12"/>
        <v>46388</v>
      </c>
      <c r="C197" s="73" t="str">
        <f t="shared" ca="1" si="10"/>
        <v>Friday</v>
      </c>
      <c r="G197" s="73">
        <f t="shared" si="11"/>
        <v>0</v>
      </c>
      <c r="H197" s="73" t="str">
        <f t="shared" ref="H197:H260" si="13">ROUNDDOWN(G197/60, 0)&amp;"h"&amp;ROUNDUP((G197/60-ROUNDDOWN(G197/60, 0))*60,0)</f>
        <v>0h0</v>
      </c>
      <c r="J197" s="73" t="str" cm="1">
        <f t="array" aca="1" ref="J197" ca="1">IFERROR(IF(11+(ROW()-7)*7&gt;370,"",TEXT(INDIRECT("B"&amp;(11+(ROW()-7)*7)),"mm/dd/yy")&amp;"-"&amp;TEXT(INDIRECT("B"&amp;MIN(11+(ROW()-7)*7+6,370)),"mm/dd/yy")),"")</f>
        <v/>
      </c>
      <c r="K197" s="73"/>
    </row>
    <row r="198" spans="2:11" x14ac:dyDescent="0.3">
      <c r="B198" s="149">
        <f t="shared" ca="1" si="12"/>
        <v>46389</v>
      </c>
      <c r="C198" s="73" t="str">
        <f t="shared" ref="C198:C261" ca="1" si="14">TEXT(B198, "dddd")</f>
        <v>Saturday</v>
      </c>
      <c r="G198" s="73">
        <f t="shared" ref="G198:G261" si="15">E198*25+F198</f>
        <v>0</v>
      </c>
      <c r="H198" s="73" t="str">
        <f t="shared" si="13"/>
        <v>0h0</v>
      </c>
      <c r="J198" s="73" t="str" cm="1">
        <f t="array" aca="1" ref="J198" ca="1">IFERROR(IF(11+(ROW()-7)*7&gt;370,"",TEXT(INDIRECT("B"&amp;(11+(ROW()-7)*7)),"mm/dd/yy")&amp;"-"&amp;TEXT(INDIRECT("B"&amp;MIN(11+(ROW()-7)*7+6,370)),"mm/dd/yy")),"")</f>
        <v/>
      </c>
      <c r="K198" s="73"/>
    </row>
    <row r="199" spans="2:11" x14ac:dyDescent="0.3">
      <c r="B199" s="149">
        <f t="shared" ref="B199:B262" ca="1" si="16">B198+1</f>
        <v>46390</v>
      </c>
      <c r="C199" s="73" t="str">
        <f t="shared" ca="1" si="14"/>
        <v>Sunday</v>
      </c>
      <c r="G199" s="73">
        <f t="shared" si="15"/>
        <v>0</v>
      </c>
      <c r="H199" s="73" t="str">
        <f t="shared" si="13"/>
        <v>0h0</v>
      </c>
      <c r="J199" s="73" t="str" cm="1">
        <f t="array" aca="1" ref="J199" ca="1">IFERROR(IF(11+(ROW()-7)*7&gt;370,"",TEXT(INDIRECT("B"&amp;(11+(ROW()-7)*7)),"mm/dd/yy")&amp;"-"&amp;TEXT(INDIRECT("B"&amp;MIN(11+(ROW()-7)*7+6,370)),"mm/dd/yy")),"")</f>
        <v/>
      </c>
      <c r="K199" s="73"/>
    </row>
    <row r="200" spans="2:11" x14ac:dyDescent="0.3">
      <c r="B200" s="149">
        <f t="shared" ca="1" si="16"/>
        <v>46391</v>
      </c>
      <c r="C200" s="73" t="str">
        <f t="shared" ca="1" si="14"/>
        <v>Monday</v>
      </c>
      <c r="G200" s="73">
        <f t="shared" si="15"/>
        <v>0</v>
      </c>
      <c r="H200" s="73" t="str">
        <f t="shared" si="13"/>
        <v>0h0</v>
      </c>
      <c r="J200" s="73" t="str" cm="1">
        <f t="array" aca="1" ref="J200" ca="1">IFERROR(IF(11+(ROW()-7)*7&gt;370,"",TEXT(INDIRECT("B"&amp;(11+(ROW()-7)*7)),"mm/dd/yy")&amp;"-"&amp;TEXT(INDIRECT("B"&amp;MIN(11+(ROW()-7)*7+6,370)),"mm/dd/yy")),"")</f>
        <v/>
      </c>
      <c r="K200" s="73"/>
    </row>
    <row r="201" spans="2:11" x14ac:dyDescent="0.3">
      <c r="B201" s="149">
        <f t="shared" ca="1" si="16"/>
        <v>46392</v>
      </c>
      <c r="C201" s="73" t="str">
        <f t="shared" ca="1" si="14"/>
        <v>Tuesday</v>
      </c>
      <c r="G201" s="73">
        <f t="shared" si="15"/>
        <v>0</v>
      </c>
      <c r="H201" s="73" t="str">
        <f t="shared" si="13"/>
        <v>0h0</v>
      </c>
      <c r="J201" s="73" t="str" cm="1">
        <f t="array" aca="1" ref="J201" ca="1">IFERROR(IF(11+(ROW()-7)*7&gt;370,"",TEXT(INDIRECT("B"&amp;(11+(ROW()-7)*7)),"mm/dd/yy")&amp;"-"&amp;TEXT(INDIRECT("B"&amp;MIN(11+(ROW()-7)*7+6,370)),"mm/dd/yy")),"")</f>
        <v/>
      </c>
      <c r="K201" s="73"/>
    </row>
    <row r="202" spans="2:11" x14ac:dyDescent="0.3">
      <c r="B202" s="149">
        <f t="shared" ca="1" si="16"/>
        <v>46393</v>
      </c>
      <c r="C202" s="73" t="str">
        <f t="shared" ca="1" si="14"/>
        <v>Wednesday</v>
      </c>
      <c r="G202" s="73">
        <f t="shared" si="15"/>
        <v>0</v>
      </c>
      <c r="H202" s="73" t="str">
        <f t="shared" si="13"/>
        <v>0h0</v>
      </c>
      <c r="J202" s="73" t="str" cm="1">
        <f t="array" aca="1" ref="J202" ca="1">IFERROR(IF(11+(ROW()-7)*7&gt;370,"",TEXT(INDIRECT("B"&amp;(11+(ROW()-7)*7)),"mm/dd/yy")&amp;"-"&amp;TEXT(INDIRECT("B"&amp;MIN(11+(ROW()-7)*7+6,370)),"mm/dd/yy")),"")</f>
        <v/>
      </c>
      <c r="K202" s="73"/>
    </row>
    <row r="203" spans="2:11" x14ac:dyDescent="0.3">
      <c r="B203" s="149">
        <f t="shared" ca="1" si="16"/>
        <v>46394</v>
      </c>
      <c r="C203" s="73" t="str">
        <f t="shared" ca="1" si="14"/>
        <v>Thursday</v>
      </c>
      <c r="G203" s="73">
        <f t="shared" si="15"/>
        <v>0</v>
      </c>
      <c r="H203" s="73" t="str">
        <f t="shared" si="13"/>
        <v>0h0</v>
      </c>
      <c r="J203" s="73" t="str" cm="1">
        <f t="array" aca="1" ref="J203" ca="1">IFERROR(IF(11+(ROW()-7)*7&gt;370,"",TEXT(INDIRECT("B"&amp;(11+(ROW()-7)*7)),"mm/dd/yy")&amp;"-"&amp;TEXT(INDIRECT("B"&amp;MIN(11+(ROW()-7)*7+6,370)),"mm/dd/yy")),"")</f>
        <v/>
      </c>
      <c r="K203" s="73"/>
    </row>
    <row r="204" spans="2:11" x14ac:dyDescent="0.3">
      <c r="B204" s="149">
        <f t="shared" ca="1" si="16"/>
        <v>46395</v>
      </c>
      <c r="C204" s="73" t="str">
        <f t="shared" ca="1" si="14"/>
        <v>Friday</v>
      </c>
      <c r="G204" s="73">
        <f t="shared" si="15"/>
        <v>0</v>
      </c>
      <c r="H204" s="73" t="str">
        <f t="shared" si="13"/>
        <v>0h0</v>
      </c>
      <c r="J204" s="73" t="str" cm="1">
        <f t="array" aca="1" ref="J204" ca="1">IFERROR(IF(11+(ROW()-7)*7&gt;370,"",TEXT(INDIRECT("B"&amp;(11+(ROW()-7)*7)),"mm/dd/yy")&amp;"-"&amp;TEXT(INDIRECT("B"&amp;MIN(11+(ROW()-7)*7+6,370)),"mm/dd/yy")),"")</f>
        <v/>
      </c>
      <c r="K204" s="73"/>
    </row>
    <row r="205" spans="2:11" x14ac:dyDescent="0.3">
      <c r="B205" s="149">
        <f t="shared" ca="1" si="16"/>
        <v>46396</v>
      </c>
      <c r="C205" s="73" t="str">
        <f t="shared" ca="1" si="14"/>
        <v>Saturday</v>
      </c>
      <c r="G205" s="73">
        <f t="shared" si="15"/>
        <v>0</v>
      </c>
      <c r="H205" s="73" t="str">
        <f t="shared" si="13"/>
        <v>0h0</v>
      </c>
      <c r="J205" s="73" t="str" cm="1">
        <f t="array" aca="1" ref="J205" ca="1">IFERROR(IF(11+(ROW()-7)*7&gt;370,"",TEXT(INDIRECT("B"&amp;(11+(ROW()-7)*7)),"mm/dd/yy")&amp;"-"&amp;TEXT(INDIRECT("B"&amp;MIN(11+(ROW()-7)*7+6,370)),"mm/dd/yy")),"")</f>
        <v/>
      </c>
      <c r="K205" s="73"/>
    </row>
    <row r="206" spans="2:11" x14ac:dyDescent="0.3">
      <c r="B206" s="149">
        <f t="shared" ca="1" si="16"/>
        <v>46397</v>
      </c>
      <c r="C206" s="73" t="str">
        <f t="shared" ca="1" si="14"/>
        <v>Sunday</v>
      </c>
      <c r="G206" s="73">
        <f t="shared" si="15"/>
        <v>0</v>
      </c>
      <c r="H206" s="73" t="str">
        <f t="shared" si="13"/>
        <v>0h0</v>
      </c>
      <c r="J206" s="73" t="str" cm="1">
        <f t="array" aca="1" ref="J206" ca="1">IFERROR(IF(11+(ROW()-7)*7&gt;370,"",TEXT(INDIRECT("B"&amp;(11+(ROW()-7)*7)),"mm/dd/yy")&amp;"-"&amp;TEXT(INDIRECT("B"&amp;MIN(11+(ROW()-7)*7+6,370)),"mm/dd/yy")),"")</f>
        <v/>
      </c>
      <c r="K206" s="73"/>
    </row>
    <row r="207" spans="2:11" x14ac:dyDescent="0.3">
      <c r="B207" s="149">
        <f t="shared" ca="1" si="16"/>
        <v>46398</v>
      </c>
      <c r="C207" s="73" t="str">
        <f t="shared" ca="1" si="14"/>
        <v>Monday</v>
      </c>
      <c r="G207" s="73">
        <f t="shared" si="15"/>
        <v>0</v>
      </c>
      <c r="H207" s="73" t="str">
        <f t="shared" si="13"/>
        <v>0h0</v>
      </c>
      <c r="J207" s="73" t="str" cm="1">
        <f t="array" aca="1" ref="J207" ca="1">IFERROR(IF(11+(ROW()-7)*7&gt;370,"",TEXT(INDIRECT("B"&amp;(11+(ROW()-7)*7)),"mm/dd/yy")&amp;"-"&amp;TEXT(INDIRECT("B"&amp;MIN(11+(ROW()-7)*7+6,370)),"mm/dd/yy")),"")</f>
        <v/>
      </c>
      <c r="K207" s="73"/>
    </row>
    <row r="208" spans="2:11" x14ac:dyDescent="0.3">
      <c r="B208" s="149">
        <f t="shared" ca="1" si="16"/>
        <v>46399</v>
      </c>
      <c r="C208" s="73" t="str">
        <f t="shared" ca="1" si="14"/>
        <v>Tuesday</v>
      </c>
      <c r="G208" s="73">
        <f t="shared" si="15"/>
        <v>0</v>
      </c>
      <c r="H208" s="73" t="str">
        <f t="shared" si="13"/>
        <v>0h0</v>
      </c>
      <c r="J208" s="73" t="str" cm="1">
        <f t="array" aca="1" ref="J208" ca="1">IFERROR(IF(11+(ROW()-7)*7&gt;370,"",TEXT(INDIRECT("B"&amp;(11+(ROW()-7)*7)),"mm/dd/yy")&amp;"-"&amp;TEXT(INDIRECT("B"&amp;MIN(11+(ROW()-7)*7+6,370)),"mm/dd/yy")),"")</f>
        <v/>
      </c>
      <c r="K208" s="73"/>
    </row>
    <row r="209" spans="2:11" x14ac:dyDescent="0.3">
      <c r="B209" s="149">
        <f t="shared" ca="1" si="16"/>
        <v>46400</v>
      </c>
      <c r="C209" s="73" t="str">
        <f t="shared" ca="1" si="14"/>
        <v>Wednesday</v>
      </c>
      <c r="G209" s="73">
        <f t="shared" si="15"/>
        <v>0</v>
      </c>
      <c r="H209" s="73" t="str">
        <f t="shared" si="13"/>
        <v>0h0</v>
      </c>
      <c r="J209" s="73" t="str" cm="1">
        <f t="array" aca="1" ref="J209" ca="1">IFERROR(IF(11+(ROW()-7)*7&gt;370,"",TEXT(INDIRECT("B"&amp;(11+(ROW()-7)*7)),"mm/dd/yy")&amp;"-"&amp;TEXT(INDIRECT("B"&amp;MIN(11+(ROW()-7)*7+6,370)),"mm/dd/yy")),"")</f>
        <v/>
      </c>
      <c r="K209" s="73"/>
    </row>
    <row r="210" spans="2:11" x14ac:dyDescent="0.3">
      <c r="B210" s="149">
        <f t="shared" ca="1" si="16"/>
        <v>46401</v>
      </c>
      <c r="C210" s="73" t="str">
        <f t="shared" ca="1" si="14"/>
        <v>Thursday</v>
      </c>
      <c r="G210" s="73">
        <f t="shared" si="15"/>
        <v>0</v>
      </c>
      <c r="H210" s="73" t="str">
        <f t="shared" si="13"/>
        <v>0h0</v>
      </c>
      <c r="J210" s="73" t="str" cm="1">
        <f t="array" aca="1" ref="J210" ca="1">IFERROR(IF(11+(ROW()-7)*7&gt;370,"",TEXT(INDIRECT("B"&amp;(11+(ROW()-7)*7)),"mm/dd/yy")&amp;"-"&amp;TEXT(INDIRECT("B"&amp;MIN(11+(ROW()-7)*7+6,370)),"mm/dd/yy")),"")</f>
        <v/>
      </c>
      <c r="K210" s="73"/>
    </row>
    <row r="211" spans="2:11" x14ac:dyDescent="0.3">
      <c r="B211" s="149">
        <f t="shared" ca="1" si="16"/>
        <v>46402</v>
      </c>
      <c r="C211" s="73" t="str">
        <f t="shared" ca="1" si="14"/>
        <v>Friday</v>
      </c>
      <c r="G211" s="73">
        <f t="shared" si="15"/>
        <v>0</v>
      </c>
      <c r="H211" s="73" t="str">
        <f t="shared" si="13"/>
        <v>0h0</v>
      </c>
      <c r="J211" s="73" t="str" cm="1">
        <f t="array" aca="1" ref="J211" ca="1">IFERROR(IF(11+(ROW()-7)*7&gt;370,"",TEXT(INDIRECT("B"&amp;(11+(ROW()-7)*7)),"mm/dd/yy")&amp;"-"&amp;TEXT(INDIRECT("B"&amp;MIN(11+(ROW()-7)*7+6,370)),"mm/dd/yy")),"")</f>
        <v/>
      </c>
      <c r="K211" s="73"/>
    </row>
    <row r="212" spans="2:11" x14ac:dyDescent="0.3">
      <c r="B212" s="149">
        <f t="shared" ca="1" si="16"/>
        <v>46403</v>
      </c>
      <c r="C212" s="73" t="str">
        <f t="shared" ca="1" si="14"/>
        <v>Saturday</v>
      </c>
      <c r="G212" s="73">
        <f t="shared" si="15"/>
        <v>0</v>
      </c>
      <c r="H212" s="73" t="str">
        <f t="shared" si="13"/>
        <v>0h0</v>
      </c>
      <c r="J212" s="73" t="str" cm="1">
        <f t="array" aca="1" ref="J212" ca="1">IFERROR(IF(11+(ROW()-7)*7&gt;370,"",TEXT(INDIRECT("B"&amp;(11+(ROW()-7)*7)),"mm/dd/yy")&amp;"-"&amp;TEXT(INDIRECT("B"&amp;MIN(11+(ROW()-7)*7+6,370)),"mm/dd/yy")),"")</f>
        <v/>
      </c>
      <c r="K212" s="73"/>
    </row>
    <row r="213" spans="2:11" x14ac:dyDescent="0.3">
      <c r="B213" s="149">
        <f t="shared" ca="1" si="16"/>
        <v>46404</v>
      </c>
      <c r="C213" s="73" t="str">
        <f t="shared" ca="1" si="14"/>
        <v>Sunday</v>
      </c>
      <c r="G213" s="73">
        <f t="shared" si="15"/>
        <v>0</v>
      </c>
      <c r="H213" s="73" t="str">
        <f t="shared" si="13"/>
        <v>0h0</v>
      </c>
      <c r="J213" s="73" t="str" cm="1">
        <f t="array" aca="1" ref="J213" ca="1">IFERROR(IF(11+(ROW()-7)*7&gt;370,"",TEXT(INDIRECT("B"&amp;(11+(ROW()-7)*7)),"mm/dd/yy")&amp;"-"&amp;TEXT(INDIRECT("B"&amp;MIN(11+(ROW()-7)*7+6,370)),"mm/dd/yy")),"")</f>
        <v/>
      </c>
      <c r="K213" s="73"/>
    </row>
    <row r="214" spans="2:11" x14ac:dyDescent="0.3">
      <c r="B214" s="149">
        <f t="shared" ca="1" si="16"/>
        <v>46405</v>
      </c>
      <c r="C214" s="73" t="str">
        <f t="shared" ca="1" si="14"/>
        <v>Monday</v>
      </c>
      <c r="G214" s="73">
        <f t="shared" si="15"/>
        <v>0</v>
      </c>
      <c r="H214" s="73" t="str">
        <f t="shared" si="13"/>
        <v>0h0</v>
      </c>
      <c r="J214" s="73" t="str" cm="1">
        <f t="array" aca="1" ref="J214" ca="1">IFERROR(IF(11+(ROW()-7)*7&gt;370,"",TEXT(INDIRECT("B"&amp;(11+(ROW()-7)*7)),"mm/dd/yy")&amp;"-"&amp;TEXT(INDIRECT("B"&amp;MIN(11+(ROW()-7)*7+6,370)),"mm/dd/yy")),"")</f>
        <v/>
      </c>
      <c r="K214" s="73"/>
    </row>
    <row r="215" spans="2:11" x14ac:dyDescent="0.3">
      <c r="B215" s="149">
        <f t="shared" ca="1" si="16"/>
        <v>46406</v>
      </c>
      <c r="C215" s="73" t="str">
        <f t="shared" ca="1" si="14"/>
        <v>Tuesday</v>
      </c>
      <c r="G215" s="73">
        <f t="shared" si="15"/>
        <v>0</v>
      </c>
      <c r="H215" s="73" t="str">
        <f t="shared" si="13"/>
        <v>0h0</v>
      </c>
      <c r="J215" s="73" t="str" cm="1">
        <f t="array" aca="1" ref="J215" ca="1">IFERROR(IF(11+(ROW()-7)*7&gt;370,"",TEXT(INDIRECT("B"&amp;(11+(ROW()-7)*7)),"mm/dd/yy")&amp;"-"&amp;TEXT(INDIRECT("B"&amp;MIN(11+(ROW()-7)*7+6,370)),"mm/dd/yy")),"")</f>
        <v/>
      </c>
      <c r="K215" s="73"/>
    </row>
    <row r="216" spans="2:11" x14ac:dyDescent="0.3">
      <c r="B216" s="149">
        <f t="shared" ca="1" si="16"/>
        <v>46407</v>
      </c>
      <c r="C216" s="73" t="str">
        <f t="shared" ca="1" si="14"/>
        <v>Wednesday</v>
      </c>
      <c r="G216" s="73">
        <f t="shared" si="15"/>
        <v>0</v>
      </c>
      <c r="H216" s="73" t="str">
        <f t="shared" si="13"/>
        <v>0h0</v>
      </c>
      <c r="J216" s="73" t="str" cm="1">
        <f t="array" aca="1" ref="J216" ca="1">IFERROR(IF(11+(ROW()-7)*7&gt;370,"",TEXT(INDIRECT("B"&amp;(11+(ROW()-7)*7)),"mm/dd/yy")&amp;"-"&amp;TEXT(INDIRECT("B"&amp;MIN(11+(ROW()-7)*7+6,370)),"mm/dd/yy")),"")</f>
        <v/>
      </c>
      <c r="K216" s="73"/>
    </row>
    <row r="217" spans="2:11" x14ac:dyDescent="0.3">
      <c r="B217" s="149">
        <f t="shared" ca="1" si="16"/>
        <v>46408</v>
      </c>
      <c r="C217" s="73" t="str">
        <f t="shared" ca="1" si="14"/>
        <v>Thursday</v>
      </c>
      <c r="G217" s="73">
        <f t="shared" si="15"/>
        <v>0</v>
      </c>
      <c r="H217" s="73" t="str">
        <f t="shared" si="13"/>
        <v>0h0</v>
      </c>
      <c r="J217" s="73" t="str" cm="1">
        <f t="array" aca="1" ref="J217" ca="1">IFERROR(IF(11+(ROW()-7)*7&gt;370,"",TEXT(INDIRECT("B"&amp;(11+(ROW()-7)*7)),"mm/dd/yy")&amp;"-"&amp;TEXT(INDIRECT("B"&amp;MIN(11+(ROW()-7)*7+6,370)),"mm/dd/yy")),"")</f>
        <v/>
      </c>
      <c r="K217" s="73"/>
    </row>
    <row r="218" spans="2:11" x14ac:dyDescent="0.3">
      <c r="B218" s="149">
        <f t="shared" ca="1" si="16"/>
        <v>46409</v>
      </c>
      <c r="C218" s="73" t="str">
        <f t="shared" ca="1" si="14"/>
        <v>Friday</v>
      </c>
      <c r="G218" s="73">
        <f t="shared" si="15"/>
        <v>0</v>
      </c>
      <c r="H218" s="73" t="str">
        <f t="shared" si="13"/>
        <v>0h0</v>
      </c>
      <c r="J218" s="73" t="str" cm="1">
        <f t="array" aca="1" ref="J218" ca="1">IFERROR(IF(11+(ROW()-7)*7&gt;370,"",TEXT(INDIRECT("B"&amp;(11+(ROW()-7)*7)),"mm/dd/yy")&amp;"-"&amp;TEXT(INDIRECT("B"&amp;MIN(11+(ROW()-7)*7+6,370)),"mm/dd/yy")),"")</f>
        <v/>
      </c>
      <c r="K218" s="73"/>
    </row>
    <row r="219" spans="2:11" x14ac:dyDescent="0.3">
      <c r="B219" s="149">
        <f t="shared" ca="1" si="16"/>
        <v>46410</v>
      </c>
      <c r="C219" s="73" t="str">
        <f t="shared" ca="1" si="14"/>
        <v>Saturday</v>
      </c>
      <c r="G219" s="73">
        <f t="shared" si="15"/>
        <v>0</v>
      </c>
      <c r="H219" s="73" t="str">
        <f t="shared" si="13"/>
        <v>0h0</v>
      </c>
      <c r="J219" s="73" t="str" cm="1">
        <f t="array" aca="1" ref="J219" ca="1">IFERROR(IF(11+(ROW()-7)*7&gt;370,"",TEXT(INDIRECT("B"&amp;(11+(ROW()-7)*7)),"mm/dd/yy")&amp;"-"&amp;TEXT(INDIRECT("B"&amp;MIN(11+(ROW()-7)*7+6,370)),"mm/dd/yy")),"")</f>
        <v/>
      </c>
      <c r="K219" s="73"/>
    </row>
    <row r="220" spans="2:11" x14ac:dyDescent="0.3">
      <c r="B220" s="149">
        <f t="shared" ca="1" si="16"/>
        <v>46411</v>
      </c>
      <c r="C220" s="73" t="str">
        <f t="shared" ca="1" si="14"/>
        <v>Sunday</v>
      </c>
      <c r="G220" s="73">
        <f t="shared" si="15"/>
        <v>0</v>
      </c>
      <c r="H220" s="73" t="str">
        <f t="shared" si="13"/>
        <v>0h0</v>
      </c>
      <c r="J220" s="73" t="str" cm="1">
        <f t="array" aca="1" ref="J220" ca="1">IFERROR(IF(11+(ROW()-7)*7&gt;370,"",TEXT(INDIRECT("B"&amp;(11+(ROW()-7)*7)),"mm/dd/yy")&amp;"-"&amp;TEXT(INDIRECT("B"&amp;MIN(11+(ROW()-7)*7+6,370)),"mm/dd/yy")),"")</f>
        <v/>
      </c>
      <c r="K220" s="73"/>
    </row>
    <row r="221" spans="2:11" x14ac:dyDescent="0.3">
      <c r="B221" s="149">
        <f t="shared" ca="1" si="16"/>
        <v>46412</v>
      </c>
      <c r="C221" s="73" t="str">
        <f t="shared" ca="1" si="14"/>
        <v>Monday</v>
      </c>
      <c r="G221" s="73">
        <f t="shared" si="15"/>
        <v>0</v>
      </c>
      <c r="H221" s="73" t="str">
        <f t="shared" si="13"/>
        <v>0h0</v>
      </c>
      <c r="J221" s="73" t="str" cm="1">
        <f t="array" aca="1" ref="J221" ca="1">IFERROR(IF(11+(ROW()-7)*7&gt;370,"",TEXT(INDIRECT("B"&amp;(11+(ROW()-7)*7)),"mm/dd/yy")&amp;"-"&amp;TEXT(INDIRECT("B"&amp;MIN(11+(ROW()-7)*7+6,370)),"mm/dd/yy")),"")</f>
        <v/>
      </c>
      <c r="K221" s="73"/>
    </row>
    <row r="222" spans="2:11" x14ac:dyDescent="0.3">
      <c r="B222" s="149">
        <f t="shared" ca="1" si="16"/>
        <v>46413</v>
      </c>
      <c r="C222" s="73" t="str">
        <f t="shared" ca="1" si="14"/>
        <v>Tuesday</v>
      </c>
      <c r="G222" s="73">
        <f t="shared" si="15"/>
        <v>0</v>
      </c>
      <c r="H222" s="73" t="str">
        <f t="shared" si="13"/>
        <v>0h0</v>
      </c>
      <c r="J222" s="73" t="str" cm="1">
        <f t="array" aca="1" ref="J222" ca="1">IFERROR(IF(11+(ROW()-7)*7&gt;370,"",TEXT(INDIRECT("B"&amp;(11+(ROW()-7)*7)),"mm/dd/yy")&amp;"-"&amp;TEXT(INDIRECT("B"&amp;MIN(11+(ROW()-7)*7+6,370)),"mm/dd/yy")),"")</f>
        <v/>
      </c>
      <c r="K222" s="73"/>
    </row>
    <row r="223" spans="2:11" x14ac:dyDescent="0.3">
      <c r="B223" s="149">
        <f t="shared" ca="1" si="16"/>
        <v>46414</v>
      </c>
      <c r="C223" s="73" t="str">
        <f t="shared" ca="1" si="14"/>
        <v>Wednesday</v>
      </c>
      <c r="G223" s="73">
        <f t="shared" si="15"/>
        <v>0</v>
      </c>
      <c r="H223" s="73" t="str">
        <f t="shared" si="13"/>
        <v>0h0</v>
      </c>
      <c r="J223" s="73" t="str" cm="1">
        <f t="array" aca="1" ref="J223" ca="1">IFERROR(IF(11+(ROW()-7)*7&gt;370,"",TEXT(INDIRECT("B"&amp;(11+(ROW()-7)*7)),"mm/dd/yy")&amp;"-"&amp;TEXT(INDIRECT("B"&amp;MIN(11+(ROW()-7)*7+6,370)),"mm/dd/yy")),"")</f>
        <v/>
      </c>
      <c r="K223" s="73"/>
    </row>
    <row r="224" spans="2:11" x14ac:dyDescent="0.3">
      <c r="B224" s="149">
        <f t="shared" ca="1" si="16"/>
        <v>46415</v>
      </c>
      <c r="C224" s="73" t="str">
        <f t="shared" ca="1" si="14"/>
        <v>Thursday</v>
      </c>
      <c r="G224" s="73">
        <f t="shared" si="15"/>
        <v>0</v>
      </c>
      <c r="H224" s="73" t="str">
        <f t="shared" si="13"/>
        <v>0h0</v>
      </c>
      <c r="J224" s="73" t="str" cm="1">
        <f t="array" aca="1" ref="J224" ca="1">IFERROR(IF(11+(ROW()-7)*7&gt;370,"",TEXT(INDIRECT("B"&amp;(11+(ROW()-7)*7)),"mm/dd/yy")&amp;"-"&amp;TEXT(INDIRECT("B"&amp;MIN(11+(ROW()-7)*7+6,370)),"mm/dd/yy")),"")</f>
        <v/>
      </c>
      <c r="K224" s="73"/>
    </row>
    <row r="225" spans="2:11" x14ac:dyDescent="0.3">
      <c r="B225" s="149">
        <f t="shared" ca="1" si="16"/>
        <v>46416</v>
      </c>
      <c r="C225" s="73" t="str">
        <f t="shared" ca="1" si="14"/>
        <v>Friday</v>
      </c>
      <c r="G225" s="73">
        <f t="shared" si="15"/>
        <v>0</v>
      </c>
      <c r="H225" s="73" t="str">
        <f t="shared" si="13"/>
        <v>0h0</v>
      </c>
      <c r="J225" s="73" t="str" cm="1">
        <f t="array" aca="1" ref="J225" ca="1">IFERROR(IF(11+(ROW()-7)*7&gt;370,"",TEXT(INDIRECT("B"&amp;(11+(ROW()-7)*7)),"mm/dd/yy")&amp;"-"&amp;TEXT(INDIRECT("B"&amp;MIN(11+(ROW()-7)*7+6,370)),"mm/dd/yy")),"")</f>
        <v/>
      </c>
      <c r="K225" s="73"/>
    </row>
    <row r="226" spans="2:11" x14ac:dyDescent="0.3">
      <c r="B226" s="149">
        <f t="shared" ca="1" si="16"/>
        <v>46417</v>
      </c>
      <c r="C226" s="73" t="str">
        <f t="shared" ca="1" si="14"/>
        <v>Saturday</v>
      </c>
      <c r="G226" s="73">
        <f t="shared" si="15"/>
        <v>0</v>
      </c>
      <c r="H226" s="73" t="str">
        <f t="shared" si="13"/>
        <v>0h0</v>
      </c>
      <c r="J226" s="73" t="str" cm="1">
        <f t="array" aca="1" ref="J226" ca="1">IFERROR(IF(11+(ROW()-7)*7&gt;370,"",TEXT(INDIRECT("B"&amp;(11+(ROW()-7)*7)),"mm/dd/yy")&amp;"-"&amp;TEXT(INDIRECT("B"&amp;MIN(11+(ROW()-7)*7+6,370)),"mm/dd/yy")),"")</f>
        <v/>
      </c>
      <c r="K226" s="73"/>
    </row>
    <row r="227" spans="2:11" x14ac:dyDescent="0.3">
      <c r="B227" s="149">
        <f t="shared" ca="1" si="16"/>
        <v>46418</v>
      </c>
      <c r="C227" s="73" t="str">
        <f t="shared" ca="1" si="14"/>
        <v>Sunday</v>
      </c>
      <c r="G227" s="73">
        <f t="shared" si="15"/>
        <v>0</v>
      </c>
      <c r="H227" s="73" t="str">
        <f t="shared" si="13"/>
        <v>0h0</v>
      </c>
      <c r="J227" s="73" t="str" cm="1">
        <f t="array" aca="1" ref="J227" ca="1">IFERROR(IF(11+(ROW()-7)*7&gt;370,"",TEXT(INDIRECT("B"&amp;(11+(ROW()-7)*7)),"mm/dd/yy")&amp;"-"&amp;TEXT(INDIRECT("B"&amp;MIN(11+(ROW()-7)*7+6,370)),"mm/dd/yy")),"")</f>
        <v/>
      </c>
      <c r="K227" s="73"/>
    </row>
    <row r="228" spans="2:11" x14ac:dyDescent="0.3">
      <c r="B228" s="149">
        <f t="shared" ca="1" si="16"/>
        <v>46419</v>
      </c>
      <c r="C228" s="73" t="str">
        <f t="shared" ca="1" si="14"/>
        <v>Monday</v>
      </c>
      <c r="G228" s="73">
        <f t="shared" si="15"/>
        <v>0</v>
      </c>
      <c r="H228" s="73" t="str">
        <f t="shared" si="13"/>
        <v>0h0</v>
      </c>
      <c r="J228" s="73" t="str" cm="1">
        <f t="array" aca="1" ref="J228" ca="1">IFERROR(IF(11+(ROW()-7)*7&gt;370,"",TEXT(INDIRECT("B"&amp;(11+(ROW()-7)*7)),"mm/dd/yy")&amp;"-"&amp;TEXT(INDIRECT("B"&amp;MIN(11+(ROW()-7)*7+6,370)),"mm/dd/yy")),"")</f>
        <v/>
      </c>
      <c r="K228" s="73"/>
    </row>
    <row r="229" spans="2:11" x14ac:dyDescent="0.3">
      <c r="B229" s="149">
        <f t="shared" ca="1" si="16"/>
        <v>46420</v>
      </c>
      <c r="C229" s="73" t="str">
        <f t="shared" ca="1" si="14"/>
        <v>Tuesday</v>
      </c>
      <c r="G229" s="73">
        <f t="shared" si="15"/>
        <v>0</v>
      </c>
      <c r="H229" s="73" t="str">
        <f t="shared" si="13"/>
        <v>0h0</v>
      </c>
      <c r="J229" s="73" t="str" cm="1">
        <f t="array" aca="1" ref="J229" ca="1">IFERROR(IF(11+(ROW()-7)*7&gt;370,"",TEXT(INDIRECT("B"&amp;(11+(ROW()-7)*7)),"mm/dd/yy")&amp;"-"&amp;TEXT(INDIRECT("B"&amp;MIN(11+(ROW()-7)*7+6,370)),"mm/dd/yy")),"")</f>
        <v/>
      </c>
      <c r="K229" s="73"/>
    </row>
    <row r="230" spans="2:11" x14ac:dyDescent="0.3">
      <c r="B230" s="149">
        <f t="shared" ca="1" si="16"/>
        <v>46421</v>
      </c>
      <c r="C230" s="73" t="str">
        <f t="shared" ca="1" si="14"/>
        <v>Wednesday</v>
      </c>
      <c r="G230" s="73">
        <f t="shared" si="15"/>
        <v>0</v>
      </c>
      <c r="H230" s="73" t="str">
        <f t="shared" si="13"/>
        <v>0h0</v>
      </c>
      <c r="J230" s="73" t="str" cm="1">
        <f t="array" aca="1" ref="J230" ca="1">IFERROR(IF(11+(ROW()-7)*7&gt;370,"",TEXT(INDIRECT("B"&amp;(11+(ROW()-7)*7)),"mm/dd/yy")&amp;"-"&amp;TEXT(INDIRECT("B"&amp;MIN(11+(ROW()-7)*7+6,370)),"mm/dd/yy")),"")</f>
        <v/>
      </c>
      <c r="K230" s="73"/>
    </row>
    <row r="231" spans="2:11" x14ac:dyDescent="0.3">
      <c r="B231" s="149">
        <f t="shared" ca="1" si="16"/>
        <v>46422</v>
      </c>
      <c r="C231" s="73" t="str">
        <f t="shared" ca="1" si="14"/>
        <v>Thursday</v>
      </c>
      <c r="G231" s="73">
        <f t="shared" si="15"/>
        <v>0</v>
      </c>
      <c r="H231" s="73" t="str">
        <f t="shared" si="13"/>
        <v>0h0</v>
      </c>
      <c r="J231" s="73" t="str" cm="1">
        <f t="array" aca="1" ref="J231" ca="1">IFERROR(IF(11+(ROW()-7)*7&gt;370,"",TEXT(INDIRECT("B"&amp;(11+(ROW()-7)*7)),"mm/dd/yy")&amp;"-"&amp;TEXT(INDIRECT("B"&amp;MIN(11+(ROW()-7)*7+6,370)),"mm/dd/yy")),"")</f>
        <v/>
      </c>
      <c r="K231" s="73"/>
    </row>
    <row r="232" spans="2:11" x14ac:dyDescent="0.3">
      <c r="B232" s="149">
        <f t="shared" ca="1" si="16"/>
        <v>46423</v>
      </c>
      <c r="C232" s="73" t="str">
        <f t="shared" ca="1" si="14"/>
        <v>Friday</v>
      </c>
      <c r="G232" s="73">
        <f t="shared" si="15"/>
        <v>0</v>
      </c>
      <c r="H232" s="73" t="str">
        <f t="shared" si="13"/>
        <v>0h0</v>
      </c>
      <c r="J232" s="73" t="str" cm="1">
        <f t="array" aca="1" ref="J232" ca="1">IFERROR(IF(11+(ROW()-7)*7&gt;370,"",TEXT(INDIRECT("B"&amp;(11+(ROW()-7)*7)),"mm/dd/yy")&amp;"-"&amp;TEXT(INDIRECT("B"&amp;MIN(11+(ROW()-7)*7+6,370)),"mm/dd/yy")),"")</f>
        <v/>
      </c>
      <c r="K232" s="73"/>
    </row>
    <row r="233" spans="2:11" x14ac:dyDescent="0.3">
      <c r="B233" s="149">
        <f t="shared" ca="1" si="16"/>
        <v>46424</v>
      </c>
      <c r="C233" s="73" t="str">
        <f t="shared" ca="1" si="14"/>
        <v>Saturday</v>
      </c>
      <c r="G233" s="73">
        <f t="shared" si="15"/>
        <v>0</v>
      </c>
      <c r="H233" s="73" t="str">
        <f t="shared" si="13"/>
        <v>0h0</v>
      </c>
      <c r="J233" s="73" t="str" cm="1">
        <f t="array" aca="1" ref="J233" ca="1">IFERROR(IF(11+(ROW()-7)*7&gt;370,"",TEXT(INDIRECT("B"&amp;(11+(ROW()-7)*7)),"mm/dd/yy")&amp;"-"&amp;TEXT(INDIRECT("B"&amp;MIN(11+(ROW()-7)*7+6,370)),"mm/dd/yy")),"")</f>
        <v/>
      </c>
      <c r="K233" s="73"/>
    </row>
    <row r="234" spans="2:11" x14ac:dyDescent="0.3">
      <c r="B234" s="149">
        <f t="shared" ca="1" si="16"/>
        <v>46425</v>
      </c>
      <c r="C234" s="73" t="str">
        <f t="shared" ca="1" si="14"/>
        <v>Sunday</v>
      </c>
      <c r="G234" s="73">
        <f t="shared" si="15"/>
        <v>0</v>
      </c>
      <c r="H234" s="73" t="str">
        <f t="shared" si="13"/>
        <v>0h0</v>
      </c>
      <c r="J234" s="73" t="str" cm="1">
        <f t="array" aca="1" ref="J234" ca="1">IFERROR(IF(11+(ROW()-7)*7&gt;370,"",TEXT(INDIRECT("B"&amp;(11+(ROW()-7)*7)),"mm/dd/yy")&amp;"-"&amp;TEXT(INDIRECT("B"&amp;MIN(11+(ROW()-7)*7+6,370)),"mm/dd/yy")),"")</f>
        <v/>
      </c>
      <c r="K234" s="73"/>
    </row>
    <row r="235" spans="2:11" x14ac:dyDescent="0.3">
      <c r="B235" s="149">
        <f t="shared" ca="1" si="16"/>
        <v>46426</v>
      </c>
      <c r="C235" s="73" t="str">
        <f t="shared" ca="1" si="14"/>
        <v>Monday</v>
      </c>
      <c r="G235" s="73">
        <f t="shared" si="15"/>
        <v>0</v>
      </c>
      <c r="H235" s="73" t="str">
        <f t="shared" si="13"/>
        <v>0h0</v>
      </c>
      <c r="J235" s="73" t="str" cm="1">
        <f t="array" aca="1" ref="J235" ca="1">IFERROR(IF(11+(ROW()-7)*7&gt;370,"",TEXT(INDIRECT("B"&amp;(11+(ROW()-7)*7)),"mm/dd/yy")&amp;"-"&amp;TEXT(INDIRECT("B"&amp;MIN(11+(ROW()-7)*7+6,370)),"mm/dd/yy")),"")</f>
        <v/>
      </c>
      <c r="K235" s="73"/>
    </row>
    <row r="236" spans="2:11" x14ac:dyDescent="0.3">
      <c r="B236" s="149">
        <f t="shared" ca="1" si="16"/>
        <v>46427</v>
      </c>
      <c r="C236" s="73" t="str">
        <f t="shared" ca="1" si="14"/>
        <v>Tuesday</v>
      </c>
      <c r="G236" s="73">
        <f t="shared" si="15"/>
        <v>0</v>
      </c>
      <c r="H236" s="73" t="str">
        <f t="shared" si="13"/>
        <v>0h0</v>
      </c>
      <c r="J236" s="73" t="str" cm="1">
        <f t="array" aca="1" ref="J236" ca="1">IFERROR(IF(11+(ROW()-7)*7&gt;370,"",TEXT(INDIRECT("B"&amp;(11+(ROW()-7)*7)),"mm/dd/yy")&amp;"-"&amp;TEXT(INDIRECT("B"&amp;MIN(11+(ROW()-7)*7+6,370)),"mm/dd/yy")),"")</f>
        <v/>
      </c>
      <c r="K236" s="73"/>
    </row>
    <row r="237" spans="2:11" x14ac:dyDescent="0.3">
      <c r="B237" s="149">
        <f t="shared" ca="1" si="16"/>
        <v>46428</v>
      </c>
      <c r="C237" s="73" t="str">
        <f t="shared" ca="1" si="14"/>
        <v>Wednesday</v>
      </c>
      <c r="G237" s="73">
        <f t="shared" si="15"/>
        <v>0</v>
      </c>
      <c r="H237" s="73" t="str">
        <f t="shared" si="13"/>
        <v>0h0</v>
      </c>
      <c r="J237" s="73" t="str" cm="1">
        <f t="array" aca="1" ref="J237" ca="1">IFERROR(IF(11+(ROW()-7)*7&gt;370,"",TEXT(INDIRECT("B"&amp;(11+(ROW()-7)*7)),"mm/dd/yy")&amp;"-"&amp;TEXT(INDIRECT("B"&amp;MIN(11+(ROW()-7)*7+6,370)),"mm/dd/yy")),"")</f>
        <v/>
      </c>
      <c r="K237" s="73"/>
    </row>
    <row r="238" spans="2:11" x14ac:dyDescent="0.3">
      <c r="B238" s="149">
        <f t="shared" ca="1" si="16"/>
        <v>46429</v>
      </c>
      <c r="C238" s="73" t="str">
        <f t="shared" ca="1" si="14"/>
        <v>Thursday</v>
      </c>
      <c r="G238" s="73">
        <f t="shared" si="15"/>
        <v>0</v>
      </c>
      <c r="H238" s="73" t="str">
        <f t="shared" si="13"/>
        <v>0h0</v>
      </c>
      <c r="J238" s="73" t="str" cm="1">
        <f t="array" aca="1" ref="J238" ca="1">IFERROR(IF(11+(ROW()-7)*7&gt;370,"",TEXT(INDIRECT("B"&amp;(11+(ROW()-7)*7)),"mm/dd/yy")&amp;"-"&amp;TEXT(INDIRECT("B"&amp;MIN(11+(ROW()-7)*7+6,370)),"mm/dd/yy")),"")</f>
        <v/>
      </c>
      <c r="K238" s="73"/>
    </row>
    <row r="239" spans="2:11" x14ac:dyDescent="0.3">
      <c r="B239" s="149">
        <f t="shared" ca="1" si="16"/>
        <v>46430</v>
      </c>
      <c r="C239" s="73" t="str">
        <f t="shared" ca="1" si="14"/>
        <v>Friday</v>
      </c>
      <c r="G239" s="73">
        <f t="shared" si="15"/>
        <v>0</v>
      </c>
      <c r="H239" s="73" t="str">
        <f t="shared" si="13"/>
        <v>0h0</v>
      </c>
      <c r="J239" s="73" t="str" cm="1">
        <f t="array" aca="1" ref="J239" ca="1">IFERROR(IF(11+(ROW()-7)*7&gt;370,"",TEXT(INDIRECT("B"&amp;(11+(ROW()-7)*7)),"mm/dd/yy")&amp;"-"&amp;TEXT(INDIRECT("B"&amp;MIN(11+(ROW()-7)*7+6,370)),"mm/dd/yy")),"")</f>
        <v/>
      </c>
      <c r="K239" s="73"/>
    </row>
    <row r="240" spans="2:11" x14ac:dyDescent="0.3">
      <c r="B240" s="149">
        <f t="shared" ca="1" si="16"/>
        <v>46431</v>
      </c>
      <c r="C240" s="73" t="str">
        <f t="shared" ca="1" si="14"/>
        <v>Saturday</v>
      </c>
      <c r="G240" s="73">
        <f t="shared" si="15"/>
        <v>0</v>
      </c>
      <c r="H240" s="73" t="str">
        <f t="shared" si="13"/>
        <v>0h0</v>
      </c>
      <c r="J240" s="73" t="str" cm="1">
        <f t="array" aca="1" ref="J240" ca="1">IFERROR(IF(11+(ROW()-7)*7&gt;370,"",TEXT(INDIRECT("B"&amp;(11+(ROW()-7)*7)),"mm/dd/yy")&amp;"-"&amp;TEXT(INDIRECT("B"&amp;MIN(11+(ROW()-7)*7+6,370)),"mm/dd/yy")),"")</f>
        <v/>
      </c>
      <c r="K240" s="73"/>
    </row>
    <row r="241" spans="2:11" x14ac:dyDescent="0.3">
      <c r="B241" s="149">
        <f t="shared" ca="1" si="16"/>
        <v>46432</v>
      </c>
      <c r="C241" s="73" t="str">
        <f t="shared" ca="1" si="14"/>
        <v>Sunday</v>
      </c>
      <c r="G241" s="73">
        <f t="shared" si="15"/>
        <v>0</v>
      </c>
      <c r="H241" s="73" t="str">
        <f t="shared" si="13"/>
        <v>0h0</v>
      </c>
      <c r="J241" s="73" t="str" cm="1">
        <f t="array" aca="1" ref="J241" ca="1">IFERROR(IF(11+(ROW()-7)*7&gt;370,"",TEXT(INDIRECT("B"&amp;(11+(ROW()-7)*7)),"mm/dd/yy")&amp;"-"&amp;TEXT(INDIRECT("B"&amp;MIN(11+(ROW()-7)*7+6,370)),"mm/dd/yy")),"")</f>
        <v/>
      </c>
      <c r="K241" s="73"/>
    </row>
    <row r="242" spans="2:11" x14ac:dyDescent="0.3">
      <c r="B242" s="149">
        <f t="shared" ca="1" si="16"/>
        <v>46433</v>
      </c>
      <c r="C242" s="73" t="str">
        <f t="shared" ca="1" si="14"/>
        <v>Monday</v>
      </c>
      <c r="G242" s="73">
        <f t="shared" si="15"/>
        <v>0</v>
      </c>
      <c r="H242" s="73" t="str">
        <f t="shared" si="13"/>
        <v>0h0</v>
      </c>
      <c r="J242" s="73" t="str" cm="1">
        <f t="array" aca="1" ref="J242" ca="1">IFERROR(IF(11+(ROW()-7)*7&gt;370,"",TEXT(INDIRECT("B"&amp;(11+(ROW()-7)*7)),"mm/dd/yy")&amp;"-"&amp;TEXT(INDIRECT("B"&amp;MIN(11+(ROW()-7)*7+6,370)),"mm/dd/yy")),"")</f>
        <v/>
      </c>
      <c r="K242" s="73"/>
    </row>
    <row r="243" spans="2:11" x14ac:dyDescent="0.3">
      <c r="B243" s="149">
        <f t="shared" ca="1" si="16"/>
        <v>46434</v>
      </c>
      <c r="C243" s="73" t="str">
        <f t="shared" ca="1" si="14"/>
        <v>Tuesday</v>
      </c>
      <c r="G243" s="73">
        <f t="shared" si="15"/>
        <v>0</v>
      </c>
      <c r="H243" s="73" t="str">
        <f t="shared" si="13"/>
        <v>0h0</v>
      </c>
      <c r="J243" s="73" t="str" cm="1">
        <f t="array" aca="1" ref="J243" ca="1">IFERROR(IF(11+(ROW()-7)*7&gt;370,"",TEXT(INDIRECT("B"&amp;(11+(ROW()-7)*7)),"mm/dd/yy")&amp;"-"&amp;TEXT(INDIRECT("B"&amp;MIN(11+(ROW()-7)*7+6,370)),"mm/dd/yy")),"")</f>
        <v/>
      </c>
      <c r="K243" s="73"/>
    </row>
    <row r="244" spans="2:11" x14ac:dyDescent="0.3">
      <c r="B244" s="149">
        <f t="shared" ca="1" si="16"/>
        <v>46435</v>
      </c>
      <c r="C244" s="73" t="str">
        <f t="shared" ca="1" si="14"/>
        <v>Wednesday</v>
      </c>
      <c r="G244" s="73">
        <f t="shared" si="15"/>
        <v>0</v>
      </c>
      <c r="H244" s="73" t="str">
        <f t="shared" si="13"/>
        <v>0h0</v>
      </c>
      <c r="J244" s="73" t="str" cm="1">
        <f t="array" aca="1" ref="J244" ca="1">IFERROR(IF(11+(ROW()-7)*7&gt;370,"",TEXT(INDIRECT("B"&amp;(11+(ROW()-7)*7)),"mm/dd/yy")&amp;"-"&amp;TEXT(INDIRECT("B"&amp;MIN(11+(ROW()-7)*7+6,370)),"mm/dd/yy")),"")</f>
        <v/>
      </c>
      <c r="K244" s="73"/>
    </row>
    <row r="245" spans="2:11" x14ac:dyDescent="0.3">
      <c r="B245" s="149">
        <f t="shared" ca="1" si="16"/>
        <v>46436</v>
      </c>
      <c r="C245" s="73" t="str">
        <f t="shared" ca="1" si="14"/>
        <v>Thursday</v>
      </c>
      <c r="G245" s="73">
        <f t="shared" si="15"/>
        <v>0</v>
      </c>
      <c r="H245" s="73" t="str">
        <f t="shared" si="13"/>
        <v>0h0</v>
      </c>
      <c r="J245" s="73" t="str" cm="1">
        <f t="array" aca="1" ref="J245" ca="1">IFERROR(IF(11+(ROW()-7)*7&gt;370,"",TEXT(INDIRECT("B"&amp;(11+(ROW()-7)*7)),"mm/dd/yy")&amp;"-"&amp;TEXT(INDIRECT("B"&amp;MIN(11+(ROW()-7)*7+6,370)),"mm/dd/yy")),"")</f>
        <v/>
      </c>
      <c r="K245" s="73"/>
    </row>
    <row r="246" spans="2:11" x14ac:dyDescent="0.3">
      <c r="B246" s="149">
        <f t="shared" ca="1" si="16"/>
        <v>46437</v>
      </c>
      <c r="C246" s="73" t="str">
        <f t="shared" ca="1" si="14"/>
        <v>Friday</v>
      </c>
      <c r="G246" s="73">
        <f t="shared" si="15"/>
        <v>0</v>
      </c>
      <c r="H246" s="73" t="str">
        <f t="shared" si="13"/>
        <v>0h0</v>
      </c>
      <c r="J246" s="73" t="str" cm="1">
        <f t="array" aca="1" ref="J246" ca="1">IFERROR(IF(11+(ROW()-7)*7&gt;370,"",TEXT(INDIRECT("B"&amp;(11+(ROW()-7)*7)),"mm/dd/yy")&amp;"-"&amp;TEXT(INDIRECT("B"&amp;MIN(11+(ROW()-7)*7+6,370)),"mm/dd/yy")),"")</f>
        <v/>
      </c>
      <c r="K246" s="73"/>
    </row>
    <row r="247" spans="2:11" x14ac:dyDescent="0.3">
      <c r="B247" s="149">
        <f t="shared" ca="1" si="16"/>
        <v>46438</v>
      </c>
      <c r="C247" s="73" t="str">
        <f t="shared" ca="1" si="14"/>
        <v>Saturday</v>
      </c>
      <c r="G247" s="73">
        <f t="shared" si="15"/>
        <v>0</v>
      </c>
      <c r="H247" s="73" t="str">
        <f t="shared" si="13"/>
        <v>0h0</v>
      </c>
      <c r="J247" s="73" t="str" cm="1">
        <f t="array" aca="1" ref="J247" ca="1">IFERROR(IF(11+(ROW()-7)*7&gt;370,"",TEXT(INDIRECT("B"&amp;(11+(ROW()-7)*7)),"mm/dd/yy")&amp;"-"&amp;TEXT(INDIRECT("B"&amp;MIN(11+(ROW()-7)*7+6,370)),"mm/dd/yy")),"")</f>
        <v/>
      </c>
      <c r="K247" s="73"/>
    </row>
    <row r="248" spans="2:11" x14ac:dyDescent="0.3">
      <c r="B248" s="149">
        <f t="shared" ca="1" si="16"/>
        <v>46439</v>
      </c>
      <c r="C248" s="73" t="str">
        <f t="shared" ca="1" si="14"/>
        <v>Sunday</v>
      </c>
      <c r="G248" s="73">
        <f t="shared" si="15"/>
        <v>0</v>
      </c>
      <c r="H248" s="73" t="str">
        <f t="shared" si="13"/>
        <v>0h0</v>
      </c>
      <c r="J248" s="73" t="str" cm="1">
        <f t="array" aca="1" ref="J248" ca="1">IFERROR(IF(11+(ROW()-7)*7&gt;370,"",TEXT(INDIRECT("B"&amp;(11+(ROW()-7)*7)),"mm/dd/yy")&amp;"-"&amp;TEXT(INDIRECT("B"&amp;MIN(11+(ROW()-7)*7+6,370)),"mm/dd/yy")),"")</f>
        <v/>
      </c>
      <c r="K248" s="73"/>
    </row>
    <row r="249" spans="2:11" x14ac:dyDescent="0.3">
      <c r="B249" s="149">
        <f t="shared" ca="1" si="16"/>
        <v>46440</v>
      </c>
      <c r="C249" s="73" t="str">
        <f t="shared" ca="1" si="14"/>
        <v>Monday</v>
      </c>
      <c r="G249" s="73">
        <f t="shared" si="15"/>
        <v>0</v>
      </c>
      <c r="H249" s="73" t="str">
        <f t="shared" si="13"/>
        <v>0h0</v>
      </c>
      <c r="J249" s="73" t="str" cm="1">
        <f t="array" aca="1" ref="J249" ca="1">IFERROR(IF(11+(ROW()-7)*7&gt;370,"",TEXT(INDIRECT("B"&amp;(11+(ROW()-7)*7)),"mm/dd/yy")&amp;"-"&amp;TEXT(INDIRECT("B"&amp;MIN(11+(ROW()-7)*7+6,370)),"mm/dd/yy")),"")</f>
        <v/>
      </c>
      <c r="K249" s="73"/>
    </row>
    <row r="250" spans="2:11" x14ac:dyDescent="0.3">
      <c r="B250" s="149">
        <f t="shared" ca="1" si="16"/>
        <v>46441</v>
      </c>
      <c r="C250" s="73" t="str">
        <f t="shared" ca="1" si="14"/>
        <v>Tuesday</v>
      </c>
      <c r="G250" s="73">
        <f t="shared" si="15"/>
        <v>0</v>
      </c>
      <c r="H250" s="73" t="str">
        <f t="shared" si="13"/>
        <v>0h0</v>
      </c>
      <c r="J250" s="73" t="str" cm="1">
        <f t="array" aca="1" ref="J250" ca="1">IFERROR(IF(11+(ROW()-7)*7&gt;370,"",TEXT(INDIRECT("B"&amp;(11+(ROW()-7)*7)),"mm/dd/yy")&amp;"-"&amp;TEXT(INDIRECT("B"&amp;MIN(11+(ROW()-7)*7+6,370)),"mm/dd/yy")),"")</f>
        <v/>
      </c>
      <c r="K250" s="73"/>
    </row>
    <row r="251" spans="2:11" x14ac:dyDescent="0.3">
      <c r="B251" s="149">
        <f t="shared" ca="1" si="16"/>
        <v>46442</v>
      </c>
      <c r="C251" s="73" t="str">
        <f t="shared" ca="1" si="14"/>
        <v>Wednesday</v>
      </c>
      <c r="G251" s="73">
        <f t="shared" si="15"/>
        <v>0</v>
      </c>
      <c r="H251" s="73" t="str">
        <f t="shared" si="13"/>
        <v>0h0</v>
      </c>
      <c r="J251" s="73" t="str" cm="1">
        <f t="array" aca="1" ref="J251" ca="1">IFERROR(IF(11+(ROW()-7)*7&gt;370,"",TEXT(INDIRECT("B"&amp;(11+(ROW()-7)*7)),"mm/dd/yy")&amp;"-"&amp;TEXT(INDIRECT("B"&amp;MIN(11+(ROW()-7)*7+6,370)),"mm/dd/yy")),"")</f>
        <v/>
      </c>
      <c r="K251" s="73"/>
    </row>
    <row r="252" spans="2:11" x14ac:dyDescent="0.3">
      <c r="B252" s="149">
        <f t="shared" ca="1" si="16"/>
        <v>46443</v>
      </c>
      <c r="C252" s="73" t="str">
        <f t="shared" ca="1" si="14"/>
        <v>Thursday</v>
      </c>
      <c r="G252" s="73">
        <f t="shared" si="15"/>
        <v>0</v>
      </c>
      <c r="H252" s="73" t="str">
        <f t="shared" si="13"/>
        <v>0h0</v>
      </c>
      <c r="J252" s="73" t="str" cm="1">
        <f t="array" aca="1" ref="J252" ca="1">IFERROR(IF(11+(ROW()-7)*7&gt;370,"",TEXT(INDIRECT("B"&amp;(11+(ROW()-7)*7)),"mm/dd/yy")&amp;"-"&amp;TEXT(INDIRECT("B"&amp;MIN(11+(ROW()-7)*7+6,370)),"mm/dd/yy")),"")</f>
        <v/>
      </c>
      <c r="K252" s="73"/>
    </row>
    <row r="253" spans="2:11" x14ac:dyDescent="0.3">
      <c r="B253" s="149">
        <f t="shared" ca="1" si="16"/>
        <v>46444</v>
      </c>
      <c r="C253" s="73" t="str">
        <f t="shared" ca="1" si="14"/>
        <v>Friday</v>
      </c>
      <c r="G253" s="73">
        <f t="shared" si="15"/>
        <v>0</v>
      </c>
      <c r="H253" s="73" t="str">
        <f t="shared" si="13"/>
        <v>0h0</v>
      </c>
      <c r="J253" s="73" t="str" cm="1">
        <f t="array" aca="1" ref="J253" ca="1">IFERROR(IF(11+(ROW()-7)*7&gt;370,"",TEXT(INDIRECT("B"&amp;(11+(ROW()-7)*7)),"mm/dd/yy")&amp;"-"&amp;TEXT(INDIRECT("B"&amp;MIN(11+(ROW()-7)*7+6,370)),"mm/dd/yy")),"")</f>
        <v/>
      </c>
      <c r="K253" s="73"/>
    </row>
    <row r="254" spans="2:11" x14ac:dyDescent="0.3">
      <c r="B254" s="149">
        <f t="shared" ca="1" si="16"/>
        <v>46445</v>
      </c>
      <c r="C254" s="73" t="str">
        <f t="shared" ca="1" si="14"/>
        <v>Saturday</v>
      </c>
      <c r="G254" s="73">
        <f t="shared" si="15"/>
        <v>0</v>
      </c>
      <c r="H254" s="73" t="str">
        <f t="shared" si="13"/>
        <v>0h0</v>
      </c>
      <c r="J254" s="73" t="str" cm="1">
        <f t="array" aca="1" ref="J254" ca="1">IFERROR(IF(11+(ROW()-7)*7&gt;370,"",TEXT(INDIRECT("B"&amp;(11+(ROW()-7)*7)),"mm/dd/yy")&amp;"-"&amp;TEXT(INDIRECT("B"&amp;MIN(11+(ROW()-7)*7+6,370)),"mm/dd/yy")),"")</f>
        <v/>
      </c>
      <c r="K254" s="73"/>
    </row>
    <row r="255" spans="2:11" x14ac:dyDescent="0.3">
      <c r="B255" s="149">
        <f t="shared" ca="1" si="16"/>
        <v>46446</v>
      </c>
      <c r="C255" s="73" t="str">
        <f t="shared" ca="1" si="14"/>
        <v>Sunday</v>
      </c>
      <c r="G255" s="73">
        <f t="shared" si="15"/>
        <v>0</v>
      </c>
      <c r="H255" s="73" t="str">
        <f t="shared" si="13"/>
        <v>0h0</v>
      </c>
      <c r="J255" s="73" t="str" cm="1">
        <f t="array" aca="1" ref="J255" ca="1">IFERROR(IF(11+(ROW()-7)*7&gt;370,"",TEXT(INDIRECT("B"&amp;(11+(ROW()-7)*7)),"mm/dd/yy")&amp;"-"&amp;TEXT(INDIRECT("B"&amp;MIN(11+(ROW()-7)*7+6,370)),"mm/dd/yy")),"")</f>
        <v/>
      </c>
      <c r="K255" s="73"/>
    </row>
    <row r="256" spans="2:11" x14ac:dyDescent="0.3">
      <c r="B256" s="149">
        <f t="shared" ca="1" si="16"/>
        <v>46447</v>
      </c>
      <c r="C256" s="73" t="str">
        <f t="shared" ca="1" si="14"/>
        <v>Monday</v>
      </c>
      <c r="G256" s="73">
        <f t="shared" si="15"/>
        <v>0</v>
      </c>
      <c r="H256" s="73" t="str">
        <f t="shared" si="13"/>
        <v>0h0</v>
      </c>
      <c r="J256" s="73" t="str" cm="1">
        <f t="array" aca="1" ref="J256" ca="1">IFERROR(IF(11+(ROW()-7)*7&gt;370,"",TEXT(INDIRECT("B"&amp;(11+(ROW()-7)*7)),"mm/dd/yy")&amp;"-"&amp;TEXT(INDIRECT("B"&amp;MIN(11+(ROW()-7)*7+6,370)),"mm/dd/yy")),"")</f>
        <v/>
      </c>
      <c r="K256" s="73"/>
    </row>
    <row r="257" spans="2:11" x14ac:dyDescent="0.3">
      <c r="B257" s="149">
        <f t="shared" ca="1" si="16"/>
        <v>46448</v>
      </c>
      <c r="C257" s="73" t="str">
        <f t="shared" ca="1" si="14"/>
        <v>Tuesday</v>
      </c>
      <c r="G257" s="73">
        <f t="shared" si="15"/>
        <v>0</v>
      </c>
      <c r="H257" s="73" t="str">
        <f t="shared" si="13"/>
        <v>0h0</v>
      </c>
      <c r="J257" s="73" t="str" cm="1">
        <f t="array" aca="1" ref="J257" ca="1">IFERROR(IF(11+(ROW()-7)*7&gt;370,"",TEXT(INDIRECT("B"&amp;(11+(ROW()-7)*7)),"mm/dd/yy")&amp;"-"&amp;TEXT(INDIRECT("B"&amp;MIN(11+(ROW()-7)*7+6,370)),"mm/dd/yy")),"")</f>
        <v/>
      </c>
      <c r="K257" s="73"/>
    </row>
    <row r="258" spans="2:11" x14ac:dyDescent="0.3">
      <c r="B258" s="149">
        <f t="shared" ca="1" si="16"/>
        <v>46449</v>
      </c>
      <c r="C258" s="73" t="str">
        <f t="shared" ca="1" si="14"/>
        <v>Wednesday</v>
      </c>
      <c r="G258" s="73">
        <f t="shared" si="15"/>
        <v>0</v>
      </c>
      <c r="H258" s="73" t="str">
        <f t="shared" si="13"/>
        <v>0h0</v>
      </c>
      <c r="J258" s="73" t="str" cm="1">
        <f t="array" aca="1" ref="J258" ca="1">IFERROR(IF(11+(ROW()-7)*7&gt;370,"",TEXT(INDIRECT("B"&amp;(11+(ROW()-7)*7)),"mm/dd/yy")&amp;"-"&amp;TEXT(INDIRECT("B"&amp;MIN(11+(ROW()-7)*7+6,370)),"mm/dd/yy")),"")</f>
        <v/>
      </c>
      <c r="K258" s="73"/>
    </row>
    <row r="259" spans="2:11" x14ac:dyDescent="0.3">
      <c r="B259" s="149">
        <f t="shared" ca="1" si="16"/>
        <v>46450</v>
      </c>
      <c r="C259" s="73" t="str">
        <f t="shared" ca="1" si="14"/>
        <v>Thursday</v>
      </c>
      <c r="G259" s="73">
        <f t="shared" si="15"/>
        <v>0</v>
      </c>
      <c r="H259" s="73" t="str">
        <f t="shared" si="13"/>
        <v>0h0</v>
      </c>
      <c r="J259" s="73" t="str" cm="1">
        <f t="array" aca="1" ref="J259" ca="1">IFERROR(IF(11+(ROW()-7)*7&gt;370,"",TEXT(INDIRECT("B"&amp;(11+(ROW()-7)*7)),"mm/dd/yy")&amp;"-"&amp;TEXT(INDIRECT("B"&amp;MIN(11+(ROW()-7)*7+6,370)),"mm/dd/yy")),"")</f>
        <v/>
      </c>
      <c r="K259" s="73"/>
    </row>
    <row r="260" spans="2:11" x14ac:dyDescent="0.3">
      <c r="B260" s="149">
        <f t="shared" ca="1" si="16"/>
        <v>46451</v>
      </c>
      <c r="C260" s="73" t="str">
        <f t="shared" ca="1" si="14"/>
        <v>Friday</v>
      </c>
      <c r="G260" s="73">
        <f t="shared" si="15"/>
        <v>0</v>
      </c>
      <c r="H260" s="73" t="str">
        <f t="shared" si="13"/>
        <v>0h0</v>
      </c>
      <c r="J260" s="73" t="str" cm="1">
        <f t="array" aca="1" ref="J260" ca="1">IFERROR(IF(11+(ROW()-7)*7&gt;370,"",TEXT(INDIRECT("B"&amp;(11+(ROW()-7)*7)),"mm/dd/yy")&amp;"-"&amp;TEXT(INDIRECT("B"&amp;MIN(11+(ROW()-7)*7+6,370)),"mm/dd/yy")),"")</f>
        <v/>
      </c>
      <c r="K260" s="73"/>
    </row>
    <row r="261" spans="2:11" x14ac:dyDescent="0.3">
      <c r="B261" s="149">
        <f t="shared" ca="1" si="16"/>
        <v>46452</v>
      </c>
      <c r="C261" s="73" t="str">
        <f t="shared" ca="1" si="14"/>
        <v>Saturday</v>
      </c>
      <c r="G261" s="73">
        <f t="shared" si="15"/>
        <v>0</v>
      </c>
      <c r="H261" s="73" t="str">
        <f t="shared" ref="H261:H324" si="17">ROUNDDOWN(G261/60, 0)&amp;"h"&amp;ROUNDUP((G261/60-ROUNDDOWN(G261/60, 0))*60,0)</f>
        <v>0h0</v>
      </c>
      <c r="J261" s="73" t="str" cm="1">
        <f t="array" aca="1" ref="J261" ca="1">IFERROR(IF(11+(ROW()-7)*7&gt;370,"",TEXT(INDIRECT("B"&amp;(11+(ROW()-7)*7)),"mm/dd/yy")&amp;"-"&amp;TEXT(INDIRECT("B"&amp;MIN(11+(ROW()-7)*7+6,370)),"mm/dd/yy")),"")</f>
        <v/>
      </c>
      <c r="K261" s="73"/>
    </row>
    <row r="262" spans="2:11" x14ac:dyDescent="0.3">
      <c r="B262" s="149">
        <f t="shared" ca="1" si="16"/>
        <v>46453</v>
      </c>
      <c r="C262" s="73" t="str">
        <f t="shared" ref="C262:C325" ca="1" si="18">TEXT(B262, "dddd")</f>
        <v>Sunday</v>
      </c>
      <c r="G262" s="73">
        <f t="shared" ref="G262:G325" si="19">E262*25+F262</f>
        <v>0</v>
      </c>
      <c r="H262" s="73" t="str">
        <f t="shared" si="17"/>
        <v>0h0</v>
      </c>
      <c r="J262" s="73" t="str" cm="1">
        <f t="array" aca="1" ref="J262" ca="1">IFERROR(IF(11+(ROW()-7)*7&gt;370,"",TEXT(INDIRECT("B"&amp;(11+(ROW()-7)*7)),"mm/dd/yy")&amp;"-"&amp;TEXT(INDIRECT("B"&amp;MIN(11+(ROW()-7)*7+6,370)),"mm/dd/yy")),"")</f>
        <v/>
      </c>
      <c r="K262" s="73"/>
    </row>
    <row r="263" spans="2:11" x14ac:dyDescent="0.3">
      <c r="B263" s="149">
        <f t="shared" ref="B263:B326" ca="1" si="20">B262+1</f>
        <v>46454</v>
      </c>
      <c r="C263" s="73" t="str">
        <f t="shared" ca="1" si="18"/>
        <v>Monday</v>
      </c>
      <c r="G263" s="73">
        <f t="shared" si="19"/>
        <v>0</v>
      </c>
      <c r="H263" s="73" t="str">
        <f t="shared" si="17"/>
        <v>0h0</v>
      </c>
      <c r="J263" s="73" t="str" cm="1">
        <f t="array" aca="1" ref="J263" ca="1">IFERROR(IF(11+(ROW()-7)*7&gt;370,"",TEXT(INDIRECT("B"&amp;(11+(ROW()-7)*7)),"mm/dd/yy")&amp;"-"&amp;TEXT(INDIRECT("B"&amp;MIN(11+(ROW()-7)*7+6,370)),"mm/dd/yy")),"")</f>
        <v/>
      </c>
      <c r="K263" s="73"/>
    </row>
    <row r="264" spans="2:11" x14ac:dyDescent="0.3">
      <c r="B264" s="149">
        <f t="shared" ca="1" si="20"/>
        <v>46455</v>
      </c>
      <c r="C264" s="73" t="str">
        <f t="shared" ca="1" si="18"/>
        <v>Tuesday</v>
      </c>
      <c r="G264" s="73">
        <f t="shared" si="19"/>
        <v>0</v>
      </c>
      <c r="H264" s="73" t="str">
        <f t="shared" si="17"/>
        <v>0h0</v>
      </c>
      <c r="J264" s="73" t="str" cm="1">
        <f t="array" aca="1" ref="J264" ca="1">IFERROR(IF(11+(ROW()-7)*7&gt;370,"",TEXT(INDIRECT("B"&amp;(11+(ROW()-7)*7)),"mm/dd/yy")&amp;"-"&amp;TEXT(INDIRECT("B"&amp;MIN(11+(ROW()-7)*7+6,370)),"mm/dd/yy")),"")</f>
        <v/>
      </c>
      <c r="K264" s="73"/>
    </row>
    <row r="265" spans="2:11" x14ac:dyDescent="0.3">
      <c r="B265" s="149">
        <f t="shared" ca="1" si="20"/>
        <v>46456</v>
      </c>
      <c r="C265" s="73" t="str">
        <f t="shared" ca="1" si="18"/>
        <v>Wednesday</v>
      </c>
      <c r="G265" s="73">
        <f t="shared" si="19"/>
        <v>0</v>
      </c>
      <c r="H265" s="73" t="str">
        <f t="shared" si="17"/>
        <v>0h0</v>
      </c>
      <c r="J265" s="73" t="str" cm="1">
        <f t="array" aca="1" ref="J265" ca="1">IFERROR(IF(11+(ROW()-7)*7&gt;370,"",TEXT(INDIRECT("B"&amp;(11+(ROW()-7)*7)),"mm/dd/yy")&amp;"-"&amp;TEXT(INDIRECT("B"&amp;MIN(11+(ROW()-7)*7+6,370)),"mm/dd/yy")),"")</f>
        <v/>
      </c>
      <c r="K265" s="73"/>
    </row>
    <row r="266" spans="2:11" x14ac:dyDescent="0.3">
      <c r="B266" s="149">
        <f t="shared" ca="1" si="20"/>
        <v>46457</v>
      </c>
      <c r="C266" s="73" t="str">
        <f t="shared" ca="1" si="18"/>
        <v>Thursday</v>
      </c>
      <c r="G266" s="73">
        <f t="shared" si="19"/>
        <v>0</v>
      </c>
      <c r="H266" s="73" t="str">
        <f t="shared" si="17"/>
        <v>0h0</v>
      </c>
      <c r="J266" s="73" t="str" cm="1">
        <f t="array" aca="1" ref="J266" ca="1">IFERROR(IF(11+(ROW()-7)*7&gt;370,"",TEXT(INDIRECT("B"&amp;(11+(ROW()-7)*7)),"mm/dd/yy")&amp;"-"&amp;TEXT(INDIRECT("B"&amp;MIN(11+(ROW()-7)*7+6,370)),"mm/dd/yy")),"")</f>
        <v/>
      </c>
      <c r="K266" s="73"/>
    </row>
    <row r="267" spans="2:11" x14ac:dyDescent="0.3">
      <c r="B267" s="149">
        <f t="shared" ca="1" si="20"/>
        <v>46458</v>
      </c>
      <c r="C267" s="73" t="str">
        <f t="shared" ca="1" si="18"/>
        <v>Friday</v>
      </c>
      <c r="G267" s="73">
        <f t="shared" si="19"/>
        <v>0</v>
      </c>
      <c r="H267" s="73" t="str">
        <f t="shared" si="17"/>
        <v>0h0</v>
      </c>
      <c r="J267" s="73" t="str" cm="1">
        <f t="array" aca="1" ref="J267" ca="1">IFERROR(IF(11+(ROW()-7)*7&gt;370,"",TEXT(INDIRECT("B"&amp;(11+(ROW()-7)*7)),"mm/dd/yy")&amp;"-"&amp;TEXT(INDIRECT("B"&amp;MIN(11+(ROW()-7)*7+6,370)),"mm/dd/yy")),"")</f>
        <v/>
      </c>
      <c r="K267" s="73"/>
    </row>
    <row r="268" spans="2:11" x14ac:dyDescent="0.3">
      <c r="B268" s="149">
        <f t="shared" ca="1" si="20"/>
        <v>46459</v>
      </c>
      <c r="C268" s="73" t="str">
        <f t="shared" ca="1" si="18"/>
        <v>Saturday</v>
      </c>
      <c r="G268" s="73">
        <f t="shared" si="19"/>
        <v>0</v>
      </c>
      <c r="H268" s="73" t="str">
        <f t="shared" si="17"/>
        <v>0h0</v>
      </c>
      <c r="J268" s="73" t="str" cm="1">
        <f t="array" aca="1" ref="J268" ca="1">IFERROR(IF(11+(ROW()-7)*7&gt;370,"",TEXT(INDIRECT("B"&amp;(11+(ROW()-7)*7)),"mm/dd/yy")&amp;"-"&amp;TEXT(INDIRECT("B"&amp;MIN(11+(ROW()-7)*7+6,370)),"mm/dd/yy")),"")</f>
        <v/>
      </c>
      <c r="K268" s="73"/>
    </row>
    <row r="269" spans="2:11" x14ac:dyDescent="0.3">
      <c r="B269" s="149">
        <f t="shared" ca="1" si="20"/>
        <v>46460</v>
      </c>
      <c r="C269" s="73" t="str">
        <f t="shared" ca="1" si="18"/>
        <v>Sunday</v>
      </c>
      <c r="G269" s="73">
        <f t="shared" si="19"/>
        <v>0</v>
      </c>
      <c r="H269" s="73" t="str">
        <f t="shared" si="17"/>
        <v>0h0</v>
      </c>
      <c r="J269" s="73" t="str" cm="1">
        <f t="array" aca="1" ref="J269" ca="1">IFERROR(IF(11+(ROW()-7)*7&gt;370,"",TEXT(INDIRECT("B"&amp;(11+(ROW()-7)*7)),"mm/dd/yy")&amp;"-"&amp;TEXT(INDIRECT("B"&amp;MIN(11+(ROW()-7)*7+6,370)),"mm/dd/yy")),"")</f>
        <v/>
      </c>
      <c r="K269" s="73"/>
    </row>
    <row r="270" spans="2:11" x14ac:dyDescent="0.3">
      <c r="B270" s="149">
        <f t="shared" ca="1" si="20"/>
        <v>46461</v>
      </c>
      <c r="C270" s="73" t="str">
        <f t="shared" ca="1" si="18"/>
        <v>Monday</v>
      </c>
      <c r="G270" s="73">
        <f t="shared" si="19"/>
        <v>0</v>
      </c>
      <c r="H270" s="73" t="str">
        <f t="shared" si="17"/>
        <v>0h0</v>
      </c>
      <c r="J270" s="73" t="str" cm="1">
        <f t="array" aca="1" ref="J270" ca="1">IFERROR(IF(11+(ROW()-7)*7&gt;370,"",TEXT(INDIRECT("B"&amp;(11+(ROW()-7)*7)),"mm/dd/yy")&amp;"-"&amp;TEXT(INDIRECT("B"&amp;MIN(11+(ROW()-7)*7+6,370)),"mm/dd/yy")),"")</f>
        <v/>
      </c>
      <c r="K270" s="73"/>
    </row>
    <row r="271" spans="2:11" x14ac:dyDescent="0.3">
      <c r="B271" s="149">
        <f t="shared" ca="1" si="20"/>
        <v>46462</v>
      </c>
      <c r="C271" s="73" t="str">
        <f t="shared" ca="1" si="18"/>
        <v>Tuesday</v>
      </c>
      <c r="G271" s="73">
        <f t="shared" si="19"/>
        <v>0</v>
      </c>
      <c r="H271" s="73" t="str">
        <f t="shared" si="17"/>
        <v>0h0</v>
      </c>
      <c r="J271" s="73" t="str" cm="1">
        <f t="array" aca="1" ref="J271" ca="1">IFERROR(IF(11+(ROW()-7)*7&gt;370,"",TEXT(INDIRECT("B"&amp;(11+(ROW()-7)*7)),"mm/dd/yy")&amp;"-"&amp;TEXT(INDIRECT("B"&amp;MIN(11+(ROW()-7)*7+6,370)),"mm/dd/yy")),"")</f>
        <v/>
      </c>
      <c r="K271" s="73"/>
    </row>
    <row r="272" spans="2:11" x14ac:dyDescent="0.3">
      <c r="B272" s="149">
        <f t="shared" ca="1" si="20"/>
        <v>46463</v>
      </c>
      <c r="C272" s="73" t="str">
        <f t="shared" ca="1" si="18"/>
        <v>Wednesday</v>
      </c>
      <c r="G272" s="73">
        <f t="shared" si="19"/>
        <v>0</v>
      </c>
      <c r="H272" s="73" t="str">
        <f t="shared" si="17"/>
        <v>0h0</v>
      </c>
      <c r="J272" s="73" t="str" cm="1">
        <f t="array" aca="1" ref="J272" ca="1">IFERROR(IF(11+(ROW()-7)*7&gt;370,"",TEXT(INDIRECT("B"&amp;(11+(ROW()-7)*7)),"mm/dd/yy")&amp;"-"&amp;TEXT(INDIRECT("B"&amp;MIN(11+(ROW()-7)*7+6,370)),"mm/dd/yy")),"")</f>
        <v/>
      </c>
      <c r="K272" s="73"/>
    </row>
    <row r="273" spans="2:11" x14ac:dyDescent="0.3">
      <c r="B273" s="149">
        <f t="shared" ca="1" si="20"/>
        <v>46464</v>
      </c>
      <c r="C273" s="73" t="str">
        <f t="shared" ca="1" si="18"/>
        <v>Thursday</v>
      </c>
      <c r="G273" s="73">
        <f t="shared" si="19"/>
        <v>0</v>
      </c>
      <c r="H273" s="73" t="str">
        <f t="shared" si="17"/>
        <v>0h0</v>
      </c>
      <c r="J273" s="73" t="str" cm="1">
        <f t="array" aca="1" ref="J273" ca="1">IFERROR(IF(11+(ROW()-7)*7&gt;370,"",TEXT(INDIRECT("B"&amp;(11+(ROW()-7)*7)),"mm/dd/yy")&amp;"-"&amp;TEXT(INDIRECT("B"&amp;MIN(11+(ROW()-7)*7+6,370)),"mm/dd/yy")),"")</f>
        <v/>
      </c>
      <c r="K273" s="73"/>
    </row>
    <row r="274" spans="2:11" x14ac:dyDescent="0.3">
      <c r="B274" s="149">
        <f t="shared" ca="1" si="20"/>
        <v>46465</v>
      </c>
      <c r="C274" s="73" t="str">
        <f t="shared" ca="1" si="18"/>
        <v>Friday</v>
      </c>
      <c r="G274" s="73">
        <f t="shared" si="19"/>
        <v>0</v>
      </c>
      <c r="H274" s="73" t="str">
        <f t="shared" si="17"/>
        <v>0h0</v>
      </c>
      <c r="J274" s="73" t="str" cm="1">
        <f t="array" aca="1" ref="J274" ca="1">IFERROR(IF(11+(ROW()-7)*7&gt;370,"",TEXT(INDIRECT("B"&amp;(11+(ROW()-7)*7)),"mm/dd/yy")&amp;"-"&amp;TEXT(INDIRECT("B"&amp;MIN(11+(ROW()-7)*7+6,370)),"mm/dd/yy")),"")</f>
        <v/>
      </c>
      <c r="K274" s="73"/>
    </row>
    <row r="275" spans="2:11" x14ac:dyDescent="0.3">
      <c r="B275" s="149">
        <f t="shared" ca="1" si="20"/>
        <v>46466</v>
      </c>
      <c r="C275" s="73" t="str">
        <f t="shared" ca="1" si="18"/>
        <v>Saturday</v>
      </c>
      <c r="G275" s="73">
        <f t="shared" si="19"/>
        <v>0</v>
      </c>
      <c r="H275" s="73" t="str">
        <f t="shared" si="17"/>
        <v>0h0</v>
      </c>
      <c r="J275" s="73" t="str" cm="1">
        <f t="array" aca="1" ref="J275" ca="1">IFERROR(IF(11+(ROW()-7)*7&gt;370,"",TEXT(INDIRECT("B"&amp;(11+(ROW()-7)*7)),"mm/dd/yy")&amp;"-"&amp;TEXT(INDIRECT("B"&amp;MIN(11+(ROW()-7)*7+6,370)),"mm/dd/yy")),"")</f>
        <v/>
      </c>
      <c r="K275" s="73"/>
    </row>
    <row r="276" spans="2:11" x14ac:dyDescent="0.3">
      <c r="B276" s="149">
        <f t="shared" ca="1" si="20"/>
        <v>46467</v>
      </c>
      <c r="C276" s="73" t="str">
        <f t="shared" ca="1" si="18"/>
        <v>Sunday</v>
      </c>
      <c r="G276" s="73">
        <f t="shared" si="19"/>
        <v>0</v>
      </c>
      <c r="H276" s="73" t="str">
        <f t="shared" si="17"/>
        <v>0h0</v>
      </c>
      <c r="J276" s="73" t="str" cm="1">
        <f t="array" aca="1" ref="J276" ca="1">IFERROR(IF(11+(ROW()-7)*7&gt;370,"",TEXT(INDIRECT("B"&amp;(11+(ROW()-7)*7)),"mm/dd/yy")&amp;"-"&amp;TEXT(INDIRECT("B"&amp;MIN(11+(ROW()-7)*7+6,370)),"mm/dd/yy")),"")</f>
        <v/>
      </c>
      <c r="K276" s="73"/>
    </row>
    <row r="277" spans="2:11" x14ac:dyDescent="0.3">
      <c r="B277" s="149">
        <f t="shared" ca="1" si="20"/>
        <v>46468</v>
      </c>
      <c r="C277" s="73" t="str">
        <f t="shared" ca="1" si="18"/>
        <v>Monday</v>
      </c>
      <c r="G277" s="73">
        <f t="shared" si="19"/>
        <v>0</v>
      </c>
      <c r="H277" s="73" t="str">
        <f t="shared" si="17"/>
        <v>0h0</v>
      </c>
      <c r="J277" s="73" t="str" cm="1">
        <f t="array" aca="1" ref="J277" ca="1">IFERROR(IF(11+(ROW()-7)*7&gt;370,"",TEXT(INDIRECT("B"&amp;(11+(ROW()-7)*7)),"mm/dd/yy")&amp;"-"&amp;TEXT(INDIRECT("B"&amp;MIN(11+(ROW()-7)*7+6,370)),"mm/dd/yy")),"")</f>
        <v/>
      </c>
      <c r="K277" s="73"/>
    </row>
    <row r="278" spans="2:11" x14ac:dyDescent="0.3">
      <c r="B278" s="149">
        <f t="shared" ca="1" si="20"/>
        <v>46469</v>
      </c>
      <c r="C278" s="73" t="str">
        <f t="shared" ca="1" si="18"/>
        <v>Tuesday</v>
      </c>
      <c r="G278" s="73">
        <f t="shared" si="19"/>
        <v>0</v>
      </c>
      <c r="H278" s="73" t="str">
        <f t="shared" si="17"/>
        <v>0h0</v>
      </c>
      <c r="J278" s="73" t="str" cm="1">
        <f t="array" aca="1" ref="J278" ca="1">IFERROR(IF(11+(ROW()-7)*7&gt;370,"",TEXT(INDIRECT("B"&amp;(11+(ROW()-7)*7)),"mm/dd/yy")&amp;"-"&amp;TEXT(INDIRECT("B"&amp;MIN(11+(ROW()-7)*7+6,370)),"mm/dd/yy")),"")</f>
        <v/>
      </c>
      <c r="K278" s="73"/>
    </row>
    <row r="279" spans="2:11" x14ac:dyDescent="0.3">
      <c r="B279" s="149">
        <f t="shared" ca="1" si="20"/>
        <v>46470</v>
      </c>
      <c r="C279" s="73" t="str">
        <f t="shared" ca="1" si="18"/>
        <v>Wednesday</v>
      </c>
      <c r="G279" s="73">
        <f t="shared" si="19"/>
        <v>0</v>
      </c>
      <c r="H279" s="73" t="str">
        <f t="shared" si="17"/>
        <v>0h0</v>
      </c>
      <c r="J279" s="73" t="str" cm="1">
        <f t="array" aca="1" ref="J279" ca="1">IFERROR(IF(11+(ROW()-7)*7&gt;370,"",TEXT(INDIRECT("B"&amp;(11+(ROW()-7)*7)),"mm/dd/yy")&amp;"-"&amp;TEXT(INDIRECT("B"&amp;MIN(11+(ROW()-7)*7+6,370)),"mm/dd/yy")),"")</f>
        <v/>
      </c>
      <c r="K279" s="73"/>
    </row>
    <row r="280" spans="2:11" x14ac:dyDescent="0.3">
      <c r="B280" s="149">
        <f t="shared" ca="1" si="20"/>
        <v>46471</v>
      </c>
      <c r="C280" s="73" t="str">
        <f t="shared" ca="1" si="18"/>
        <v>Thursday</v>
      </c>
      <c r="G280" s="73">
        <f t="shared" si="19"/>
        <v>0</v>
      </c>
      <c r="H280" s="73" t="str">
        <f t="shared" si="17"/>
        <v>0h0</v>
      </c>
      <c r="J280" s="73" t="str" cm="1">
        <f t="array" aca="1" ref="J280" ca="1">IFERROR(IF(11+(ROW()-7)*7&gt;370,"",TEXT(INDIRECT("B"&amp;(11+(ROW()-7)*7)),"mm/dd/yy")&amp;"-"&amp;TEXT(INDIRECT("B"&amp;MIN(11+(ROW()-7)*7+6,370)),"mm/dd/yy")),"")</f>
        <v/>
      </c>
      <c r="K280" s="73"/>
    </row>
    <row r="281" spans="2:11" x14ac:dyDescent="0.3">
      <c r="B281" s="149">
        <f t="shared" ca="1" si="20"/>
        <v>46472</v>
      </c>
      <c r="C281" s="73" t="str">
        <f t="shared" ca="1" si="18"/>
        <v>Friday</v>
      </c>
      <c r="G281" s="73">
        <f t="shared" si="19"/>
        <v>0</v>
      </c>
      <c r="H281" s="73" t="str">
        <f t="shared" si="17"/>
        <v>0h0</v>
      </c>
      <c r="J281" s="73" t="str" cm="1">
        <f t="array" aca="1" ref="J281" ca="1">IFERROR(IF(11+(ROW()-7)*7&gt;370,"",TEXT(INDIRECT("B"&amp;(11+(ROW()-7)*7)),"mm/dd/yy")&amp;"-"&amp;TEXT(INDIRECT("B"&amp;MIN(11+(ROW()-7)*7+6,370)),"mm/dd/yy")),"")</f>
        <v/>
      </c>
      <c r="K281" s="73"/>
    </row>
    <row r="282" spans="2:11" x14ac:dyDescent="0.3">
      <c r="B282" s="149">
        <f t="shared" ca="1" si="20"/>
        <v>46473</v>
      </c>
      <c r="C282" s="73" t="str">
        <f t="shared" ca="1" si="18"/>
        <v>Saturday</v>
      </c>
      <c r="G282" s="73">
        <f t="shared" si="19"/>
        <v>0</v>
      </c>
      <c r="H282" s="73" t="str">
        <f t="shared" si="17"/>
        <v>0h0</v>
      </c>
      <c r="J282" s="73" t="str" cm="1">
        <f t="array" aca="1" ref="J282" ca="1">IFERROR(IF(11+(ROW()-7)*7&gt;370,"",TEXT(INDIRECT("B"&amp;(11+(ROW()-7)*7)),"mm/dd/yy")&amp;"-"&amp;TEXT(INDIRECT("B"&amp;MIN(11+(ROW()-7)*7+6,370)),"mm/dd/yy")),"")</f>
        <v/>
      </c>
      <c r="K282" s="73"/>
    </row>
    <row r="283" spans="2:11" x14ac:dyDescent="0.3">
      <c r="B283" s="149">
        <f t="shared" ca="1" si="20"/>
        <v>46474</v>
      </c>
      <c r="C283" s="73" t="str">
        <f t="shared" ca="1" si="18"/>
        <v>Sunday</v>
      </c>
      <c r="G283" s="73">
        <f t="shared" si="19"/>
        <v>0</v>
      </c>
      <c r="H283" s="73" t="str">
        <f t="shared" si="17"/>
        <v>0h0</v>
      </c>
      <c r="J283" s="73" t="str" cm="1">
        <f t="array" aca="1" ref="J283" ca="1">IFERROR(IF(11+(ROW()-7)*7&gt;370,"",TEXT(INDIRECT("B"&amp;(11+(ROW()-7)*7)),"mm/dd/yy")&amp;"-"&amp;TEXT(INDIRECT("B"&amp;MIN(11+(ROW()-7)*7+6,370)),"mm/dd/yy")),"")</f>
        <v/>
      </c>
      <c r="K283" s="73"/>
    </row>
    <row r="284" spans="2:11" x14ac:dyDescent="0.3">
      <c r="B284" s="149">
        <f t="shared" ca="1" si="20"/>
        <v>46475</v>
      </c>
      <c r="C284" s="73" t="str">
        <f t="shared" ca="1" si="18"/>
        <v>Monday</v>
      </c>
      <c r="G284" s="73">
        <f t="shared" si="19"/>
        <v>0</v>
      </c>
      <c r="H284" s="73" t="str">
        <f t="shared" si="17"/>
        <v>0h0</v>
      </c>
      <c r="J284" s="73" t="str" cm="1">
        <f t="array" aca="1" ref="J284" ca="1">IFERROR(IF(11+(ROW()-7)*7&gt;370,"",TEXT(INDIRECT("B"&amp;(11+(ROW()-7)*7)),"mm/dd/yy")&amp;"-"&amp;TEXT(INDIRECT("B"&amp;MIN(11+(ROW()-7)*7+6,370)),"mm/dd/yy")),"")</f>
        <v/>
      </c>
      <c r="K284" s="73"/>
    </row>
    <row r="285" spans="2:11" x14ac:dyDescent="0.3">
      <c r="B285" s="149">
        <f t="shared" ca="1" si="20"/>
        <v>46476</v>
      </c>
      <c r="C285" s="73" t="str">
        <f t="shared" ca="1" si="18"/>
        <v>Tuesday</v>
      </c>
      <c r="G285" s="73">
        <f t="shared" si="19"/>
        <v>0</v>
      </c>
      <c r="H285" s="73" t="str">
        <f t="shared" si="17"/>
        <v>0h0</v>
      </c>
      <c r="J285" s="73" t="str" cm="1">
        <f t="array" aca="1" ref="J285" ca="1">IFERROR(IF(11+(ROW()-7)*7&gt;370,"",TEXT(INDIRECT("B"&amp;(11+(ROW()-7)*7)),"mm/dd/yy")&amp;"-"&amp;TEXT(INDIRECT("B"&amp;MIN(11+(ROW()-7)*7+6,370)),"mm/dd/yy")),"")</f>
        <v/>
      </c>
      <c r="K285" s="73"/>
    </row>
    <row r="286" spans="2:11" x14ac:dyDescent="0.3">
      <c r="B286" s="149">
        <f t="shared" ca="1" si="20"/>
        <v>46477</v>
      </c>
      <c r="C286" s="73" t="str">
        <f t="shared" ca="1" si="18"/>
        <v>Wednesday</v>
      </c>
      <c r="G286" s="73">
        <f t="shared" si="19"/>
        <v>0</v>
      </c>
      <c r="H286" s="73" t="str">
        <f t="shared" si="17"/>
        <v>0h0</v>
      </c>
      <c r="J286" s="73" t="str" cm="1">
        <f t="array" aca="1" ref="J286" ca="1">IFERROR(IF(11+(ROW()-7)*7&gt;370,"",TEXT(INDIRECT("B"&amp;(11+(ROW()-7)*7)),"mm/dd/yy")&amp;"-"&amp;TEXT(INDIRECT("B"&amp;MIN(11+(ROW()-7)*7+6,370)),"mm/dd/yy")),"")</f>
        <v/>
      </c>
      <c r="K286" s="73"/>
    </row>
    <row r="287" spans="2:11" x14ac:dyDescent="0.3">
      <c r="B287" s="149">
        <f t="shared" ca="1" si="20"/>
        <v>46478</v>
      </c>
      <c r="C287" s="73" t="str">
        <f t="shared" ca="1" si="18"/>
        <v>Thursday</v>
      </c>
      <c r="G287" s="73">
        <f t="shared" si="19"/>
        <v>0</v>
      </c>
      <c r="H287" s="73" t="str">
        <f t="shared" si="17"/>
        <v>0h0</v>
      </c>
      <c r="J287" s="73" t="str" cm="1">
        <f t="array" aca="1" ref="J287" ca="1">IFERROR(IF(11+(ROW()-7)*7&gt;370,"",TEXT(INDIRECT("B"&amp;(11+(ROW()-7)*7)),"mm/dd/yy")&amp;"-"&amp;TEXT(INDIRECT("B"&amp;MIN(11+(ROW()-7)*7+6,370)),"mm/dd/yy")),"")</f>
        <v/>
      </c>
      <c r="K287" s="73"/>
    </row>
    <row r="288" spans="2:11" x14ac:dyDescent="0.3">
      <c r="B288" s="149">
        <f t="shared" ca="1" si="20"/>
        <v>46479</v>
      </c>
      <c r="C288" s="73" t="str">
        <f t="shared" ca="1" si="18"/>
        <v>Friday</v>
      </c>
      <c r="G288" s="73">
        <f t="shared" si="19"/>
        <v>0</v>
      </c>
      <c r="H288" s="73" t="str">
        <f t="shared" si="17"/>
        <v>0h0</v>
      </c>
      <c r="J288" s="73" t="str" cm="1">
        <f t="array" aca="1" ref="J288" ca="1">IFERROR(IF(11+(ROW()-7)*7&gt;370,"",TEXT(INDIRECT("B"&amp;(11+(ROW()-7)*7)),"mm/dd/yy")&amp;"-"&amp;TEXT(INDIRECT("B"&amp;MIN(11+(ROW()-7)*7+6,370)),"mm/dd/yy")),"")</f>
        <v/>
      </c>
      <c r="K288" s="73"/>
    </row>
    <row r="289" spans="2:11" x14ac:dyDescent="0.3">
      <c r="B289" s="149">
        <f t="shared" ca="1" si="20"/>
        <v>46480</v>
      </c>
      <c r="C289" s="73" t="str">
        <f t="shared" ca="1" si="18"/>
        <v>Saturday</v>
      </c>
      <c r="G289" s="73">
        <f t="shared" si="19"/>
        <v>0</v>
      </c>
      <c r="H289" s="73" t="str">
        <f t="shared" si="17"/>
        <v>0h0</v>
      </c>
      <c r="J289" s="73" t="str" cm="1">
        <f t="array" aca="1" ref="J289" ca="1">IFERROR(IF(11+(ROW()-7)*7&gt;370,"",TEXT(INDIRECT("B"&amp;(11+(ROW()-7)*7)),"mm/dd/yy")&amp;"-"&amp;TEXT(INDIRECT("B"&amp;MIN(11+(ROW()-7)*7+6,370)),"mm/dd/yy")),"")</f>
        <v/>
      </c>
      <c r="K289" s="73"/>
    </row>
    <row r="290" spans="2:11" x14ac:dyDescent="0.3">
      <c r="B290" s="149">
        <f t="shared" ca="1" si="20"/>
        <v>46481</v>
      </c>
      <c r="C290" s="73" t="str">
        <f t="shared" ca="1" si="18"/>
        <v>Sunday</v>
      </c>
      <c r="G290" s="73">
        <f t="shared" si="19"/>
        <v>0</v>
      </c>
      <c r="H290" s="73" t="str">
        <f t="shared" si="17"/>
        <v>0h0</v>
      </c>
      <c r="J290" s="73" t="str" cm="1">
        <f t="array" aca="1" ref="J290" ca="1">IFERROR(IF(11+(ROW()-7)*7&gt;370,"",TEXT(INDIRECT("B"&amp;(11+(ROW()-7)*7)),"mm/dd/yy")&amp;"-"&amp;TEXT(INDIRECT("B"&amp;MIN(11+(ROW()-7)*7+6,370)),"mm/dd/yy")),"")</f>
        <v/>
      </c>
      <c r="K290" s="73"/>
    </row>
    <row r="291" spans="2:11" x14ac:dyDescent="0.3">
      <c r="B291" s="149">
        <f t="shared" ca="1" si="20"/>
        <v>46482</v>
      </c>
      <c r="C291" s="73" t="str">
        <f t="shared" ca="1" si="18"/>
        <v>Monday</v>
      </c>
      <c r="G291" s="73">
        <f t="shared" si="19"/>
        <v>0</v>
      </c>
      <c r="H291" s="73" t="str">
        <f t="shared" si="17"/>
        <v>0h0</v>
      </c>
      <c r="J291" s="73" t="str" cm="1">
        <f t="array" aca="1" ref="J291" ca="1">IFERROR(IF(11+(ROW()-7)*7&gt;370,"",TEXT(INDIRECT("B"&amp;(11+(ROW()-7)*7)),"mm/dd/yy")&amp;"-"&amp;TEXT(INDIRECT("B"&amp;MIN(11+(ROW()-7)*7+6,370)),"mm/dd/yy")),"")</f>
        <v/>
      </c>
      <c r="K291" s="73"/>
    </row>
    <row r="292" spans="2:11" x14ac:dyDescent="0.3">
      <c r="B292" s="149">
        <f t="shared" ca="1" si="20"/>
        <v>46483</v>
      </c>
      <c r="C292" s="73" t="str">
        <f t="shared" ca="1" si="18"/>
        <v>Tuesday</v>
      </c>
      <c r="G292" s="73">
        <f t="shared" si="19"/>
        <v>0</v>
      </c>
      <c r="H292" s="73" t="str">
        <f t="shared" si="17"/>
        <v>0h0</v>
      </c>
      <c r="J292" s="73" t="str" cm="1">
        <f t="array" aca="1" ref="J292" ca="1">IFERROR(IF(11+(ROW()-7)*7&gt;370,"",TEXT(INDIRECT("B"&amp;(11+(ROW()-7)*7)),"mm/dd/yy")&amp;"-"&amp;TEXT(INDIRECT("B"&amp;MIN(11+(ROW()-7)*7+6,370)),"mm/dd/yy")),"")</f>
        <v/>
      </c>
      <c r="K292" s="73"/>
    </row>
    <row r="293" spans="2:11" x14ac:dyDescent="0.3">
      <c r="B293" s="149">
        <f t="shared" ca="1" si="20"/>
        <v>46484</v>
      </c>
      <c r="C293" s="73" t="str">
        <f t="shared" ca="1" si="18"/>
        <v>Wednesday</v>
      </c>
      <c r="G293" s="73">
        <f t="shared" si="19"/>
        <v>0</v>
      </c>
      <c r="H293" s="73" t="str">
        <f t="shared" si="17"/>
        <v>0h0</v>
      </c>
      <c r="J293" s="73" t="str" cm="1">
        <f t="array" aca="1" ref="J293" ca="1">IFERROR(IF(11+(ROW()-7)*7&gt;370,"",TEXT(INDIRECT("B"&amp;(11+(ROW()-7)*7)),"mm/dd/yy")&amp;"-"&amp;TEXT(INDIRECT("B"&amp;MIN(11+(ROW()-7)*7+6,370)),"mm/dd/yy")),"")</f>
        <v/>
      </c>
      <c r="K293" s="73"/>
    </row>
    <row r="294" spans="2:11" x14ac:dyDescent="0.3">
      <c r="B294" s="149">
        <f t="shared" ca="1" si="20"/>
        <v>46485</v>
      </c>
      <c r="C294" s="73" t="str">
        <f t="shared" ca="1" si="18"/>
        <v>Thursday</v>
      </c>
      <c r="G294" s="73">
        <f t="shared" si="19"/>
        <v>0</v>
      </c>
      <c r="H294" s="73" t="str">
        <f t="shared" si="17"/>
        <v>0h0</v>
      </c>
      <c r="J294" s="73" t="str" cm="1">
        <f t="array" aca="1" ref="J294" ca="1">IFERROR(IF(11+(ROW()-7)*7&gt;370,"",TEXT(INDIRECT("B"&amp;(11+(ROW()-7)*7)),"mm/dd/yy")&amp;"-"&amp;TEXT(INDIRECT("B"&amp;MIN(11+(ROW()-7)*7+6,370)),"mm/dd/yy")),"")</f>
        <v/>
      </c>
      <c r="K294" s="73"/>
    </row>
    <row r="295" spans="2:11" x14ac:dyDescent="0.3">
      <c r="B295" s="149">
        <f t="shared" ca="1" si="20"/>
        <v>46486</v>
      </c>
      <c r="C295" s="73" t="str">
        <f t="shared" ca="1" si="18"/>
        <v>Friday</v>
      </c>
      <c r="G295" s="73">
        <f t="shared" si="19"/>
        <v>0</v>
      </c>
      <c r="H295" s="73" t="str">
        <f t="shared" si="17"/>
        <v>0h0</v>
      </c>
      <c r="J295" s="73" t="str" cm="1">
        <f t="array" aca="1" ref="J295" ca="1">IFERROR(IF(11+(ROW()-7)*7&gt;370,"",TEXT(INDIRECT("B"&amp;(11+(ROW()-7)*7)),"mm/dd/yy")&amp;"-"&amp;TEXT(INDIRECT("B"&amp;MIN(11+(ROW()-7)*7+6,370)),"mm/dd/yy")),"")</f>
        <v/>
      </c>
      <c r="K295" s="73"/>
    </row>
    <row r="296" spans="2:11" x14ac:dyDescent="0.3">
      <c r="B296" s="149">
        <f t="shared" ca="1" si="20"/>
        <v>46487</v>
      </c>
      <c r="C296" s="73" t="str">
        <f t="shared" ca="1" si="18"/>
        <v>Saturday</v>
      </c>
      <c r="G296" s="73">
        <f t="shared" si="19"/>
        <v>0</v>
      </c>
      <c r="H296" s="73" t="str">
        <f t="shared" si="17"/>
        <v>0h0</v>
      </c>
      <c r="J296" s="73" t="str" cm="1">
        <f t="array" aca="1" ref="J296" ca="1">IFERROR(IF(11+(ROW()-7)*7&gt;370,"",TEXT(INDIRECT("B"&amp;(11+(ROW()-7)*7)),"mm/dd/yy")&amp;"-"&amp;TEXT(INDIRECT("B"&amp;MIN(11+(ROW()-7)*7+6,370)),"mm/dd/yy")),"")</f>
        <v/>
      </c>
      <c r="K296" s="73"/>
    </row>
    <row r="297" spans="2:11" x14ac:dyDescent="0.3">
      <c r="B297" s="149">
        <f t="shared" ca="1" si="20"/>
        <v>46488</v>
      </c>
      <c r="C297" s="73" t="str">
        <f t="shared" ca="1" si="18"/>
        <v>Sunday</v>
      </c>
      <c r="G297" s="73">
        <f t="shared" si="19"/>
        <v>0</v>
      </c>
      <c r="H297" s="73" t="str">
        <f t="shared" si="17"/>
        <v>0h0</v>
      </c>
      <c r="J297" s="73" t="str" cm="1">
        <f t="array" aca="1" ref="J297" ca="1">IFERROR(IF(11+(ROW()-7)*7&gt;370,"",TEXT(INDIRECT("B"&amp;(11+(ROW()-7)*7)),"mm/dd/yy")&amp;"-"&amp;TEXT(INDIRECT("B"&amp;MIN(11+(ROW()-7)*7+6,370)),"mm/dd/yy")),"")</f>
        <v/>
      </c>
      <c r="K297" s="73"/>
    </row>
    <row r="298" spans="2:11" x14ac:dyDescent="0.3">
      <c r="B298" s="149">
        <f t="shared" ca="1" si="20"/>
        <v>46489</v>
      </c>
      <c r="C298" s="73" t="str">
        <f t="shared" ca="1" si="18"/>
        <v>Monday</v>
      </c>
      <c r="G298" s="73">
        <f t="shared" si="19"/>
        <v>0</v>
      </c>
      <c r="H298" s="73" t="str">
        <f t="shared" si="17"/>
        <v>0h0</v>
      </c>
      <c r="J298" s="73" t="str" cm="1">
        <f t="array" aca="1" ref="J298" ca="1">IFERROR(IF(11+(ROW()-7)*7&gt;370,"",TEXT(INDIRECT("B"&amp;(11+(ROW()-7)*7)),"mm/dd/yy")&amp;"-"&amp;TEXT(INDIRECT("B"&amp;MIN(11+(ROW()-7)*7+6,370)),"mm/dd/yy")),"")</f>
        <v/>
      </c>
      <c r="K298" s="73"/>
    </row>
    <row r="299" spans="2:11" x14ac:dyDescent="0.3">
      <c r="B299" s="149">
        <f t="shared" ca="1" si="20"/>
        <v>46490</v>
      </c>
      <c r="C299" s="73" t="str">
        <f t="shared" ca="1" si="18"/>
        <v>Tuesday</v>
      </c>
      <c r="G299" s="73">
        <f t="shared" si="19"/>
        <v>0</v>
      </c>
      <c r="H299" s="73" t="str">
        <f t="shared" si="17"/>
        <v>0h0</v>
      </c>
      <c r="J299" s="73" t="str" cm="1">
        <f t="array" aca="1" ref="J299" ca="1">IFERROR(IF(11+(ROW()-7)*7&gt;370,"",TEXT(INDIRECT("B"&amp;(11+(ROW()-7)*7)),"mm/dd/yy")&amp;"-"&amp;TEXT(INDIRECT("B"&amp;MIN(11+(ROW()-7)*7+6,370)),"mm/dd/yy")),"")</f>
        <v/>
      </c>
      <c r="K299" s="73"/>
    </row>
    <row r="300" spans="2:11" x14ac:dyDescent="0.3">
      <c r="B300" s="149">
        <f t="shared" ca="1" si="20"/>
        <v>46491</v>
      </c>
      <c r="C300" s="73" t="str">
        <f t="shared" ca="1" si="18"/>
        <v>Wednesday</v>
      </c>
      <c r="G300" s="73">
        <f t="shared" si="19"/>
        <v>0</v>
      </c>
      <c r="H300" s="73" t="str">
        <f t="shared" si="17"/>
        <v>0h0</v>
      </c>
      <c r="J300" s="73" t="str" cm="1">
        <f t="array" aca="1" ref="J300" ca="1">IFERROR(IF(11+(ROW()-7)*7&gt;370,"",TEXT(INDIRECT("B"&amp;(11+(ROW()-7)*7)),"mm/dd/yy")&amp;"-"&amp;TEXT(INDIRECT("B"&amp;MIN(11+(ROW()-7)*7+6,370)),"mm/dd/yy")),"")</f>
        <v/>
      </c>
      <c r="K300" s="73"/>
    </row>
    <row r="301" spans="2:11" x14ac:dyDescent="0.3">
      <c r="B301" s="149">
        <f t="shared" ca="1" si="20"/>
        <v>46492</v>
      </c>
      <c r="C301" s="73" t="str">
        <f t="shared" ca="1" si="18"/>
        <v>Thursday</v>
      </c>
      <c r="G301" s="73">
        <f t="shared" si="19"/>
        <v>0</v>
      </c>
      <c r="H301" s="73" t="str">
        <f t="shared" si="17"/>
        <v>0h0</v>
      </c>
      <c r="J301" s="73" t="str" cm="1">
        <f t="array" aca="1" ref="J301" ca="1">IFERROR(IF(11+(ROW()-7)*7&gt;370,"",TEXT(INDIRECT("B"&amp;(11+(ROW()-7)*7)),"mm/dd/yy")&amp;"-"&amp;TEXT(INDIRECT("B"&amp;MIN(11+(ROW()-7)*7+6,370)),"mm/dd/yy")),"")</f>
        <v/>
      </c>
      <c r="K301" s="73"/>
    </row>
    <row r="302" spans="2:11" x14ac:dyDescent="0.3">
      <c r="B302" s="149">
        <f t="shared" ca="1" si="20"/>
        <v>46493</v>
      </c>
      <c r="C302" s="73" t="str">
        <f t="shared" ca="1" si="18"/>
        <v>Friday</v>
      </c>
      <c r="G302" s="73">
        <f t="shared" si="19"/>
        <v>0</v>
      </c>
      <c r="H302" s="73" t="str">
        <f t="shared" si="17"/>
        <v>0h0</v>
      </c>
      <c r="J302" s="73" t="str" cm="1">
        <f t="array" aca="1" ref="J302" ca="1">IFERROR(IF(11+(ROW()-7)*7&gt;370,"",TEXT(INDIRECT("B"&amp;(11+(ROW()-7)*7)),"mm/dd/yy")&amp;"-"&amp;TEXT(INDIRECT("B"&amp;MIN(11+(ROW()-7)*7+6,370)),"mm/dd/yy")),"")</f>
        <v/>
      </c>
      <c r="K302" s="73"/>
    </row>
    <row r="303" spans="2:11" x14ac:dyDescent="0.3">
      <c r="B303" s="149">
        <f t="shared" ca="1" si="20"/>
        <v>46494</v>
      </c>
      <c r="C303" s="73" t="str">
        <f t="shared" ca="1" si="18"/>
        <v>Saturday</v>
      </c>
      <c r="G303" s="73">
        <f t="shared" si="19"/>
        <v>0</v>
      </c>
      <c r="H303" s="73" t="str">
        <f t="shared" si="17"/>
        <v>0h0</v>
      </c>
      <c r="J303" s="73" t="str" cm="1">
        <f t="array" aca="1" ref="J303" ca="1">IFERROR(IF(11+(ROW()-7)*7&gt;370,"",TEXT(INDIRECT("B"&amp;(11+(ROW()-7)*7)),"mm/dd/yy")&amp;"-"&amp;TEXT(INDIRECT("B"&amp;MIN(11+(ROW()-7)*7+6,370)),"mm/dd/yy")),"")</f>
        <v/>
      </c>
      <c r="K303" s="73"/>
    </row>
    <row r="304" spans="2:11" x14ac:dyDescent="0.3">
      <c r="B304" s="149">
        <f t="shared" ca="1" si="20"/>
        <v>46495</v>
      </c>
      <c r="C304" s="73" t="str">
        <f t="shared" ca="1" si="18"/>
        <v>Sunday</v>
      </c>
      <c r="G304" s="73">
        <f t="shared" si="19"/>
        <v>0</v>
      </c>
      <c r="H304" s="73" t="str">
        <f t="shared" si="17"/>
        <v>0h0</v>
      </c>
      <c r="J304" s="73" t="str" cm="1">
        <f t="array" aca="1" ref="J304" ca="1">IFERROR(IF(11+(ROW()-7)*7&gt;370,"",TEXT(INDIRECT("B"&amp;(11+(ROW()-7)*7)),"mm/dd/yy")&amp;"-"&amp;TEXT(INDIRECT("B"&amp;MIN(11+(ROW()-7)*7+6,370)),"mm/dd/yy")),"")</f>
        <v/>
      </c>
      <c r="K304" s="73"/>
    </row>
    <row r="305" spans="2:11" x14ac:dyDescent="0.3">
      <c r="B305" s="149">
        <f t="shared" ca="1" si="20"/>
        <v>46496</v>
      </c>
      <c r="C305" s="73" t="str">
        <f t="shared" ca="1" si="18"/>
        <v>Monday</v>
      </c>
      <c r="G305" s="73">
        <f t="shared" si="19"/>
        <v>0</v>
      </c>
      <c r="H305" s="73" t="str">
        <f t="shared" si="17"/>
        <v>0h0</v>
      </c>
      <c r="J305" s="73" t="str" cm="1">
        <f t="array" aca="1" ref="J305" ca="1">IFERROR(IF(11+(ROW()-7)*7&gt;370,"",TEXT(INDIRECT("B"&amp;(11+(ROW()-7)*7)),"mm/dd/yy")&amp;"-"&amp;TEXT(INDIRECT("B"&amp;MIN(11+(ROW()-7)*7+6,370)),"mm/dd/yy")),"")</f>
        <v/>
      </c>
      <c r="K305" s="73"/>
    </row>
    <row r="306" spans="2:11" x14ac:dyDescent="0.3">
      <c r="B306" s="149">
        <f t="shared" ca="1" si="20"/>
        <v>46497</v>
      </c>
      <c r="C306" s="73" t="str">
        <f t="shared" ca="1" si="18"/>
        <v>Tuesday</v>
      </c>
      <c r="G306" s="73">
        <f t="shared" si="19"/>
        <v>0</v>
      </c>
      <c r="H306" s="73" t="str">
        <f t="shared" si="17"/>
        <v>0h0</v>
      </c>
      <c r="J306" s="73" t="str" cm="1">
        <f t="array" aca="1" ref="J306" ca="1">IFERROR(IF(11+(ROW()-7)*7&gt;370,"",TEXT(INDIRECT("B"&amp;(11+(ROW()-7)*7)),"mm/dd/yy")&amp;"-"&amp;TEXT(INDIRECT("B"&amp;MIN(11+(ROW()-7)*7+6,370)),"mm/dd/yy")),"")</f>
        <v/>
      </c>
      <c r="K306" s="73"/>
    </row>
    <row r="307" spans="2:11" x14ac:dyDescent="0.3">
      <c r="B307" s="149">
        <f t="shared" ca="1" si="20"/>
        <v>46498</v>
      </c>
      <c r="C307" s="73" t="str">
        <f t="shared" ca="1" si="18"/>
        <v>Wednesday</v>
      </c>
      <c r="G307" s="73">
        <f t="shared" si="19"/>
        <v>0</v>
      </c>
      <c r="H307" s="73" t="str">
        <f t="shared" si="17"/>
        <v>0h0</v>
      </c>
      <c r="J307" s="73" t="str" cm="1">
        <f t="array" aca="1" ref="J307" ca="1">IFERROR(IF(11+(ROW()-7)*7&gt;370,"",TEXT(INDIRECT("B"&amp;(11+(ROW()-7)*7)),"mm/dd/yy")&amp;"-"&amp;TEXT(INDIRECT("B"&amp;MIN(11+(ROW()-7)*7+6,370)),"mm/dd/yy")),"")</f>
        <v/>
      </c>
      <c r="K307" s="73"/>
    </row>
    <row r="308" spans="2:11" x14ac:dyDescent="0.3">
      <c r="B308" s="149">
        <f t="shared" ca="1" si="20"/>
        <v>46499</v>
      </c>
      <c r="C308" s="73" t="str">
        <f t="shared" ca="1" si="18"/>
        <v>Thursday</v>
      </c>
      <c r="G308" s="73">
        <f t="shared" si="19"/>
        <v>0</v>
      </c>
      <c r="H308" s="73" t="str">
        <f t="shared" si="17"/>
        <v>0h0</v>
      </c>
      <c r="J308" s="73" t="str" cm="1">
        <f t="array" aca="1" ref="J308" ca="1">IFERROR(IF(11+(ROW()-7)*7&gt;370,"",TEXT(INDIRECT("B"&amp;(11+(ROW()-7)*7)),"mm/dd/yy")&amp;"-"&amp;TEXT(INDIRECT("B"&amp;MIN(11+(ROW()-7)*7+6,370)),"mm/dd/yy")),"")</f>
        <v/>
      </c>
      <c r="K308" s="73"/>
    </row>
    <row r="309" spans="2:11" x14ac:dyDescent="0.3">
      <c r="B309" s="149">
        <f t="shared" ca="1" si="20"/>
        <v>46500</v>
      </c>
      <c r="C309" s="73" t="str">
        <f t="shared" ca="1" si="18"/>
        <v>Friday</v>
      </c>
      <c r="G309" s="73">
        <f t="shared" si="19"/>
        <v>0</v>
      </c>
      <c r="H309" s="73" t="str">
        <f t="shared" si="17"/>
        <v>0h0</v>
      </c>
      <c r="J309" s="73" t="str" cm="1">
        <f t="array" aca="1" ref="J309" ca="1">IFERROR(IF(11+(ROW()-7)*7&gt;370,"",TEXT(INDIRECT("B"&amp;(11+(ROW()-7)*7)),"mm/dd/yy")&amp;"-"&amp;TEXT(INDIRECT("B"&amp;MIN(11+(ROW()-7)*7+6,370)),"mm/dd/yy")),"")</f>
        <v/>
      </c>
      <c r="K309" s="73"/>
    </row>
    <row r="310" spans="2:11" x14ac:dyDescent="0.3">
      <c r="B310" s="149">
        <f t="shared" ca="1" si="20"/>
        <v>46501</v>
      </c>
      <c r="C310" s="73" t="str">
        <f t="shared" ca="1" si="18"/>
        <v>Saturday</v>
      </c>
      <c r="G310" s="73">
        <f t="shared" si="19"/>
        <v>0</v>
      </c>
      <c r="H310" s="73" t="str">
        <f t="shared" si="17"/>
        <v>0h0</v>
      </c>
      <c r="J310" s="73" t="str" cm="1">
        <f t="array" aca="1" ref="J310" ca="1">IFERROR(IF(11+(ROW()-7)*7&gt;370,"",TEXT(INDIRECT("B"&amp;(11+(ROW()-7)*7)),"mm/dd/yy")&amp;"-"&amp;TEXT(INDIRECT("B"&amp;MIN(11+(ROW()-7)*7+6,370)),"mm/dd/yy")),"")</f>
        <v/>
      </c>
      <c r="K310" s="73"/>
    </row>
    <row r="311" spans="2:11" x14ac:dyDescent="0.3">
      <c r="B311" s="149">
        <f t="shared" ca="1" si="20"/>
        <v>46502</v>
      </c>
      <c r="C311" s="73" t="str">
        <f t="shared" ca="1" si="18"/>
        <v>Sunday</v>
      </c>
      <c r="G311" s="73">
        <f t="shared" si="19"/>
        <v>0</v>
      </c>
      <c r="H311" s="73" t="str">
        <f t="shared" si="17"/>
        <v>0h0</v>
      </c>
      <c r="J311" s="73" t="str" cm="1">
        <f t="array" aca="1" ref="J311" ca="1">IFERROR(IF(11+(ROW()-7)*7&gt;370,"",TEXT(INDIRECT("B"&amp;(11+(ROW()-7)*7)),"mm/dd/yy")&amp;"-"&amp;TEXT(INDIRECT("B"&amp;MIN(11+(ROW()-7)*7+6,370)),"mm/dd/yy")),"")</f>
        <v/>
      </c>
      <c r="K311" s="73"/>
    </row>
    <row r="312" spans="2:11" x14ac:dyDescent="0.3">
      <c r="B312" s="149">
        <f t="shared" ca="1" si="20"/>
        <v>46503</v>
      </c>
      <c r="C312" s="73" t="str">
        <f t="shared" ca="1" si="18"/>
        <v>Monday</v>
      </c>
      <c r="G312" s="73">
        <f t="shared" si="19"/>
        <v>0</v>
      </c>
      <c r="H312" s="73" t="str">
        <f t="shared" si="17"/>
        <v>0h0</v>
      </c>
      <c r="J312" s="73" t="str" cm="1">
        <f t="array" aca="1" ref="J312" ca="1">IFERROR(IF(11+(ROW()-7)*7&gt;370,"",TEXT(INDIRECT("B"&amp;(11+(ROW()-7)*7)),"mm/dd/yy")&amp;"-"&amp;TEXT(INDIRECT("B"&amp;MIN(11+(ROW()-7)*7+6,370)),"mm/dd/yy")),"")</f>
        <v/>
      </c>
      <c r="K312" s="73"/>
    </row>
    <row r="313" spans="2:11" x14ac:dyDescent="0.3">
      <c r="B313" s="149">
        <f t="shared" ca="1" si="20"/>
        <v>46504</v>
      </c>
      <c r="C313" s="73" t="str">
        <f t="shared" ca="1" si="18"/>
        <v>Tuesday</v>
      </c>
      <c r="G313" s="73">
        <f t="shared" si="19"/>
        <v>0</v>
      </c>
      <c r="H313" s="73" t="str">
        <f t="shared" si="17"/>
        <v>0h0</v>
      </c>
      <c r="J313" s="73" t="str" cm="1">
        <f t="array" aca="1" ref="J313" ca="1">IFERROR(IF(11+(ROW()-7)*7&gt;370,"",TEXT(INDIRECT("B"&amp;(11+(ROW()-7)*7)),"mm/dd/yy")&amp;"-"&amp;TEXT(INDIRECT("B"&amp;MIN(11+(ROW()-7)*7+6,370)),"mm/dd/yy")),"")</f>
        <v/>
      </c>
      <c r="K313" s="73"/>
    </row>
    <row r="314" spans="2:11" x14ac:dyDescent="0.3">
      <c r="B314" s="149">
        <f t="shared" ca="1" si="20"/>
        <v>46505</v>
      </c>
      <c r="C314" s="73" t="str">
        <f t="shared" ca="1" si="18"/>
        <v>Wednesday</v>
      </c>
      <c r="G314" s="73">
        <f t="shared" si="19"/>
        <v>0</v>
      </c>
      <c r="H314" s="73" t="str">
        <f t="shared" si="17"/>
        <v>0h0</v>
      </c>
      <c r="J314" s="73" t="str" cm="1">
        <f t="array" aca="1" ref="J314" ca="1">IFERROR(IF(11+(ROW()-7)*7&gt;370,"",TEXT(INDIRECT("B"&amp;(11+(ROW()-7)*7)),"mm/dd/yy")&amp;"-"&amp;TEXT(INDIRECT("B"&amp;MIN(11+(ROW()-7)*7+6,370)),"mm/dd/yy")),"")</f>
        <v/>
      </c>
      <c r="K314" s="73"/>
    </row>
    <row r="315" spans="2:11" x14ac:dyDescent="0.3">
      <c r="B315" s="149">
        <f t="shared" ca="1" si="20"/>
        <v>46506</v>
      </c>
      <c r="C315" s="73" t="str">
        <f t="shared" ca="1" si="18"/>
        <v>Thursday</v>
      </c>
      <c r="G315" s="73">
        <f t="shared" si="19"/>
        <v>0</v>
      </c>
      <c r="H315" s="73" t="str">
        <f t="shared" si="17"/>
        <v>0h0</v>
      </c>
      <c r="J315" s="73" t="str" cm="1">
        <f t="array" aca="1" ref="J315" ca="1">IFERROR(IF(11+(ROW()-7)*7&gt;370,"",TEXT(INDIRECT("B"&amp;(11+(ROW()-7)*7)),"mm/dd/yy")&amp;"-"&amp;TEXT(INDIRECT("B"&amp;MIN(11+(ROW()-7)*7+6,370)),"mm/dd/yy")),"")</f>
        <v/>
      </c>
      <c r="K315" s="73"/>
    </row>
    <row r="316" spans="2:11" x14ac:dyDescent="0.3">
      <c r="B316" s="149">
        <f t="shared" ca="1" si="20"/>
        <v>46507</v>
      </c>
      <c r="C316" s="73" t="str">
        <f t="shared" ca="1" si="18"/>
        <v>Friday</v>
      </c>
      <c r="G316" s="73">
        <f t="shared" si="19"/>
        <v>0</v>
      </c>
      <c r="H316" s="73" t="str">
        <f t="shared" si="17"/>
        <v>0h0</v>
      </c>
      <c r="J316" s="73" t="str" cm="1">
        <f t="array" aca="1" ref="J316" ca="1">IFERROR(IF(11+(ROW()-7)*7&gt;370,"",TEXT(INDIRECT("B"&amp;(11+(ROW()-7)*7)),"mm/dd/yy")&amp;"-"&amp;TEXT(INDIRECT("B"&amp;MIN(11+(ROW()-7)*7+6,370)),"mm/dd/yy")),"")</f>
        <v/>
      </c>
      <c r="K316" s="73"/>
    </row>
    <row r="317" spans="2:11" x14ac:dyDescent="0.3">
      <c r="B317" s="149">
        <f t="shared" ca="1" si="20"/>
        <v>46508</v>
      </c>
      <c r="C317" s="73" t="str">
        <f t="shared" ca="1" si="18"/>
        <v>Saturday</v>
      </c>
      <c r="G317" s="73">
        <f t="shared" si="19"/>
        <v>0</v>
      </c>
      <c r="H317" s="73" t="str">
        <f t="shared" si="17"/>
        <v>0h0</v>
      </c>
      <c r="J317" s="73" t="str" cm="1">
        <f t="array" aca="1" ref="J317" ca="1">IFERROR(IF(11+(ROW()-7)*7&gt;370,"",TEXT(INDIRECT("B"&amp;(11+(ROW()-7)*7)),"mm/dd/yy")&amp;"-"&amp;TEXT(INDIRECT("B"&amp;MIN(11+(ROW()-7)*7+6,370)),"mm/dd/yy")),"")</f>
        <v/>
      </c>
      <c r="K317" s="73"/>
    </row>
    <row r="318" spans="2:11" x14ac:dyDescent="0.3">
      <c r="B318" s="149">
        <f t="shared" ca="1" si="20"/>
        <v>46509</v>
      </c>
      <c r="C318" s="73" t="str">
        <f t="shared" ca="1" si="18"/>
        <v>Sunday</v>
      </c>
      <c r="G318" s="73">
        <f t="shared" si="19"/>
        <v>0</v>
      </c>
      <c r="H318" s="73" t="str">
        <f t="shared" si="17"/>
        <v>0h0</v>
      </c>
      <c r="J318" s="73" t="str" cm="1">
        <f t="array" aca="1" ref="J318" ca="1">IFERROR(IF(11+(ROW()-7)*7&gt;370,"",TEXT(INDIRECT("B"&amp;(11+(ROW()-7)*7)),"mm/dd/yy")&amp;"-"&amp;TEXT(INDIRECT("B"&amp;MIN(11+(ROW()-7)*7+6,370)),"mm/dd/yy")),"")</f>
        <v/>
      </c>
      <c r="K318" s="73"/>
    </row>
    <row r="319" spans="2:11" x14ac:dyDescent="0.3">
      <c r="B319" s="149">
        <f t="shared" ca="1" si="20"/>
        <v>46510</v>
      </c>
      <c r="C319" s="73" t="str">
        <f t="shared" ca="1" si="18"/>
        <v>Monday</v>
      </c>
      <c r="G319" s="73">
        <f t="shared" si="19"/>
        <v>0</v>
      </c>
      <c r="H319" s="73" t="str">
        <f t="shared" si="17"/>
        <v>0h0</v>
      </c>
      <c r="J319" s="73" t="str" cm="1">
        <f t="array" aca="1" ref="J319" ca="1">IFERROR(IF(11+(ROW()-7)*7&gt;370,"",TEXT(INDIRECT("B"&amp;(11+(ROW()-7)*7)),"mm/dd/yy")&amp;"-"&amp;TEXT(INDIRECT("B"&amp;MIN(11+(ROW()-7)*7+6,370)),"mm/dd/yy")),"")</f>
        <v/>
      </c>
      <c r="K319" s="73"/>
    </row>
    <row r="320" spans="2:11" x14ac:dyDescent="0.3">
      <c r="B320" s="149">
        <f t="shared" ca="1" si="20"/>
        <v>46511</v>
      </c>
      <c r="C320" s="73" t="str">
        <f t="shared" ca="1" si="18"/>
        <v>Tuesday</v>
      </c>
      <c r="G320" s="73">
        <f t="shared" si="19"/>
        <v>0</v>
      </c>
      <c r="H320" s="73" t="str">
        <f t="shared" si="17"/>
        <v>0h0</v>
      </c>
      <c r="J320" s="73" t="str" cm="1">
        <f t="array" aca="1" ref="J320" ca="1">IFERROR(IF(11+(ROW()-7)*7&gt;370,"",TEXT(INDIRECT("B"&amp;(11+(ROW()-7)*7)),"mm/dd/yy")&amp;"-"&amp;TEXT(INDIRECT("B"&amp;MIN(11+(ROW()-7)*7+6,370)),"mm/dd/yy")),"")</f>
        <v/>
      </c>
      <c r="K320" s="73"/>
    </row>
    <row r="321" spans="2:11" x14ac:dyDescent="0.3">
      <c r="B321" s="149">
        <f t="shared" ca="1" si="20"/>
        <v>46512</v>
      </c>
      <c r="C321" s="73" t="str">
        <f t="shared" ca="1" si="18"/>
        <v>Wednesday</v>
      </c>
      <c r="G321" s="73">
        <f t="shared" si="19"/>
        <v>0</v>
      </c>
      <c r="H321" s="73" t="str">
        <f t="shared" si="17"/>
        <v>0h0</v>
      </c>
      <c r="J321" s="73" t="str" cm="1">
        <f t="array" aca="1" ref="J321" ca="1">IFERROR(IF(11+(ROW()-7)*7&gt;370,"",TEXT(INDIRECT("B"&amp;(11+(ROW()-7)*7)),"mm/dd/yy")&amp;"-"&amp;TEXT(INDIRECT("B"&amp;MIN(11+(ROW()-7)*7+6,370)),"mm/dd/yy")),"")</f>
        <v/>
      </c>
      <c r="K321" s="73"/>
    </row>
    <row r="322" spans="2:11" x14ac:dyDescent="0.3">
      <c r="B322" s="149">
        <f t="shared" ca="1" si="20"/>
        <v>46513</v>
      </c>
      <c r="C322" s="73" t="str">
        <f t="shared" ca="1" si="18"/>
        <v>Thursday</v>
      </c>
      <c r="G322" s="73">
        <f t="shared" si="19"/>
        <v>0</v>
      </c>
      <c r="H322" s="73" t="str">
        <f t="shared" si="17"/>
        <v>0h0</v>
      </c>
      <c r="J322" s="73" t="str" cm="1">
        <f t="array" aca="1" ref="J322" ca="1">IFERROR(IF(11+(ROW()-7)*7&gt;370,"",TEXT(INDIRECT("B"&amp;(11+(ROW()-7)*7)),"mm/dd/yy")&amp;"-"&amp;TEXT(INDIRECT("B"&amp;MIN(11+(ROW()-7)*7+6,370)),"mm/dd/yy")),"")</f>
        <v/>
      </c>
      <c r="K322" s="73"/>
    </row>
    <row r="323" spans="2:11" x14ac:dyDescent="0.3">
      <c r="B323" s="149">
        <f t="shared" ca="1" si="20"/>
        <v>46514</v>
      </c>
      <c r="C323" s="73" t="str">
        <f t="shared" ca="1" si="18"/>
        <v>Friday</v>
      </c>
      <c r="G323" s="73">
        <f t="shared" si="19"/>
        <v>0</v>
      </c>
      <c r="H323" s="73" t="str">
        <f t="shared" si="17"/>
        <v>0h0</v>
      </c>
      <c r="J323" s="73" t="str" cm="1">
        <f t="array" aca="1" ref="J323" ca="1">IFERROR(IF(11+(ROW()-7)*7&gt;370,"",TEXT(INDIRECT("B"&amp;(11+(ROW()-7)*7)),"mm/dd/yy")&amp;"-"&amp;TEXT(INDIRECT("B"&amp;MIN(11+(ROW()-7)*7+6,370)),"mm/dd/yy")),"")</f>
        <v/>
      </c>
      <c r="K323" s="73"/>
    </row>
    <row r="324" spans="2:11" x14ac:dyDescent="0.3">
      <c r="B324" s="149">
        <f t="shared" ca="1" si="20"/>
        <v>46515</v>
      </c>
      <c r="C324" s="73" t="str">
        <f t="shared" ca="1" si="18"/>
        <v>Saturday</v>
      </c>
      <c r="G324" s="73">
        <f t="shared" si="19"/>
        <v>0</v>
      </c>
      <c r="H324" s="73" t="str">
        <f t="shared" si="17"/>
        <v>0h0</v>
      </c>
      <c r="J324" s="73" t="str" cm="1">
        <f t="array" aca="1" ref="J324" ca="1">IFERROR(IF(11+(ROW()-7)*7&gt;370,"",TEXT(INDIRECT("B"&amp;(11+(ROW()-7)*7)),"mm/dd/yy")&amp;"-"&amp;TEXT(INDIRECT("B"&amp;MIN(11+(ROW()-7)*7+6,370)),"mm/dd/yy")),"")</f>
        <v/>
      </c>
      <c r="K324" s="73"/>
    </row>
    <row r="325" spans="2:11" x14ac:dyDescent="0.3">
      <c r="B325" s="149">
        <f t="shared" ca="1" si="20"/>
        <v>46516</v>
      </c>
      <c r="C325" s="73" t="str">
        <f t="shared" ca="1" si="18"/>
        <v>Sunday</v>
      </c>
      <c r="G325" s="73">
        <f t="shared" si="19"/>
        <v>0</v>
      </c>
      <c r="H325" s="73" t="str">
        <f t="shared" ref="H325:H370" si="21">ROUNDDOWN(G325/60, 0)&amp;"h"&amp;ROUNDUP((G325/60-ROUNDDOWN(G325/60, 0))*60,0)</f>
        <v>0h0</v>
      </c>
      <c r="J325" s="73" t="str" cm="1">
        <f t="array" aca="1" ref="J325" ca="1">IFERROR(IF(11+(ROW()-7)*7&gt;370,"",TEXT(INDIRECT("B"&amp;(11+(ROW()-7)*7)),"mm/dd/yy")&amp;"-"&amp;TEXT(INDIRECT("B"&amp;MIN(11+(ROW()-7)*7+6,370)),"mm/dd/yy")),"")</f>
        <v/>
      </c>
      <c r="K325" s="73"/>
    </row>
    <row r="326" spans="2:11" x14ac:dyDescent="0.3">
      <c r="B326" s="149">
        <f t="shared" ca="1" si="20"/>
        <v>46517</v>
      </c>
      <c r="C326" s="73" t="str">
        <f t="shared" ref="C326:C370" ca="1" si="22">TEXT(B326, "dddd")</f>
        <v>Monday</v>
      </c>
      <c r="G326" s="73">
        <f t="shared" ref="G326:G370" si="23">E326*25+F326</f>
        <v>0</v>
      </c>
      <c r="H326" s="73" t="str">
        <f t="shared" si="21"/>
        <v>0h0</v>
      </c>
      <c r="J326" s="73" t="str" cm="1">
        <f t="array" aca="1" ref="J326" ca="1">IFERROR(IF(11+(ROW()-7)*7&gt;370,"",TEXT(INDIRECT("B"&amp;(11+(ROW()-7)*7)),"mm/dd/yy")&amp;"-"&amp;TEXT(INDIRECT("B"&amp;MIN(11+(ROW()-7)*7+6,370)),"mm/dd/yy")),"")</f>
        <v/>
      </c>
      <c r="K326" s="73"/>
    </row>
    <row r="327" spans="2:11" x14ac:dyDescent="0.3">
      <c r="B327" s="149">
        <f t="shared" ref="B327:B370" ca="1" si="24">B326+1</f>
        <v>46518</v>
      </c>
      <c r="C327" s="73" t="str">
        <f t="shared" ca="1" si="22"/>
        <v>Tuesday</v>
      </c>
      <c r="G327" s="73">
        <f t="shared" si="23"/>
        <v>0</v>
      </c>
      <c r="H327" s="73" t="str">
        <f t="shared" si="21"/>
        <v>0h0</v>
      </c>
      <c r="J327" s="73" t="str" cm="1">
        <f t="array" aca="1" ref="J327" ca="1">IFERROR(IF(11+(ROW()-7)*7&gt;370,"",TEXT(INDIRECT("B"&amp;(11+(ROW()-7)*7)),"mm/dd/yy")&amp;"-"&amp;TEXT(INDIRECT("B"&amp;MIN(11+(ROW()-7)*7+6,370)),"mm/dd/yy")),"")</f>
        <v/>
      </c>
      <c r="K327" s="73"/>
    </row>
    <row r="328" spans="2:11" x14ac:dyDescent="0.3">
      <c r="B328" s="149">
        <f t="shared" ca="1" si="24"/>
        <v>46519</v>
      </c>
      <c r="C328" s="73" t="str">
        <f t="shared" ca="1" si="22"/>
        <v>Wednesday</v>
      </c>
      <c r="G328" s="73">
        <f t="shared" si="23"/>
        <v>0</v>
      </c>
      <c r="H328" s="73" t="str">
        <f t="shared" si="21"/>
        <v>0h0</v>
      </c>
      <c r="J328" s="73" t="str" cm="1">
        <f t="array" aca="1" ref="J328" ca="1">IFERROR(IF(11+(ROW()-7)*7&gt;370,"",TEXT(INDIRECT("B"&amp;(11+(ROW()-7)*7)),"mm/dd/yy")&amp;"-"&amp;TEXT(INDIRECT("B"&amp;MIN(11+(ROW()-7)*7+6,370)),"mm/dd/yy")),"")</f>
        <v/>
      </c>
      <c r="K328" s="73"/>
    </row>
    <row r="329" spans="2:11" x14ac:dyDescent="0.3">
      <c r="B329" s="149">
        <f t="shared" ca="1" si="24"/>
        <v>46520</v>
      </c>
      <c r="C329" s="73" t="str">
        <f t="shared" ca="1" si="22"/>
        <v>Thursday</v>
      </c>
      <c r="G329" s="73">
        <f t="shared" si="23"/>
        <v>0</v>
      </c>
      <c r="H329" s="73" t="str">
        <f t="shared" si="21"/>
        <v>0h0</v>
      </c>
      <c r="J329" s="73" t="str" cm="1">
        <f t="array" aca="1" ref="J329" ca="1">IFERROR(IF(11+(ROW()-7)*7&gt;370,"",TEXT(INDIRECT("B"&amp;(11+(ROW()-7)*7)),"mm/dd/yy")&amp;"-"&amp;TEXT(INDIRECT("B"&amp;MIN(11+(ROW()-7)*7+6,370)),"mm/dd/yy")),"")</f>
        <v/>
      </c>
      <c r="K329" s="73"/>
    </row>
    <row r="330" spans="2:11" x14ac:dyDescent="0.3">
      <c r="B330" s="149">
        <f t="shared" ca="1" si="24"/>
        <v>46521</v>
      </c>
      <c r="C330" s="73" t="str">
        <f t="shared" ca="1" si="22"/>
        <v>Friday</v>
      </c>
      <c r="G330" s="73">
        <f t="shared" si="23"/>
        <v>0</v>
      </c>
      <c r="H330" s="73" t="str">
        <f t="shared" si="21"/>
        <v>0h0</v>
      </c>
      <c r="J330" s="73" t="str" cm="1">
        <f t="array" aca="1" ref="J330" ca="1">IFERROR(IF(11+(ROW()-7)*7&gt;370,"",TEXT(INDIRECT("B"&amp;(11+(ROW()-7)*7)),"mm/dd/yy")&amp;"-"&amp;TEXT(INDIRECT("B"&amp;MIN(11+(ROW()-7)*7+6,370)),"mm/dd/yy")),"")</f>
        <v/>
      </c>
      <c r="K330" s="73"/>
    </row>
    <row r="331" spans="2:11" x14ac:dyDescent="0.3">
      <c r="B331" s="149">
        <f t="shared" ca="1" si="24"/>
        <v>46522</v>
      </c>
      <c r="C331" s="73" t="str">
        <f t="shared" ca="1" si="22"/>
        <v>Saturday</v>
      </c>
      <c r="G331" s="73">
        <f t="shared" si="23"/>
        <v>0</v>
      </c>
      <c r="H331" s="73" t="str">
        <f t="shared" si="21"/>
        <v>0h0</v>
      </c>
      <c r="J331" s="73" t="str" cm="1">
        <f t="array" aca="1" ref="J331" ca="1">IFERROR(IF(11+(ROW()-7)*7&gt;370,"",TEXT(INDIRECT("B"&amp;(11+(ROW()-7)*7)),"mm/dd/yy")&amp;"-"&amp;TEXT(INDIRECT("B"&amp;MIN(11+(ROW()-7)*7+6,370)),"mm/dd/yy")),"")</f>
        <v/>
      </c>
      <c r="K331" s="73"/>
    </row>
    <row r="332" spans="2:11" x14ac:dyDescent="0.3">
      <c r="B332" s="149">
        <f t="shared" ca="1" si="24"/>
        <v>46523</v>
      </c>
      <c r="C332" s="73" t="str">
        <f t="shared" ca="1" si="22"/>
        <v>Sunday</v>
      </c>
      <c r="G332" s="73">
        <f t="shared" si="23"/>
        <v>0</v>
      </c>
      <c r="H332" s="73" t="str">
        <f t="shared" si="21"/>
        <v>0h0</v>
      </c>
      <c r="J332" s="73" t="str" cm="1">
        <f t="array" aca="1" ref="J332" ca="1">IFERROR(IF(11+(ROW()-7)*7&gt;370,"",TEXT(INDIRECT("B"&amp;(11+(ROW()-7)*7)),"mm/dd/yy")&amp;"-"&amp;TEXT(INDIRECT("B"&amp;MIN(11+(ROW()-7)*7+6,370)),"mm/dd/yy")),"")</f>
        <v/>
      </c>
      <c r="K332" s="73"/>
    </row>
    <row r="333" spans="2:11" x14ac:dyDescent="0.3">
      <c r="B333" s="149">
        <f t="shared" ca="1" si="24"/>
        <v>46524</v>
      </c>
      <c r="C333" s="73" t="str">
        <f t="shared" ca="1" si="22"/>
        <v>Monday</v>
      </c>
      <c r="G333" s="73">
        <f t="shared" si="23"/>
        <v>0</v>
      </c>
      <c r="H333" s="73" t="str">
        <f t="shared" si="21"/>
        <v>0h0</v>
      </c>
      <c r="J333" s="73" t="str" cm="1">
        <f t="array" aca="1" ref="J333" ca="1">IFERROR(IF(11+(ROW()-7)*7&gt;370,"",TEXT(INDIRECT("B"&amp;(11+(ROW()-7)*7)),"mm/dd/yy")&amp;"-"&amp;TEXT(INDIRECT("B"&amp;MIN(11+(ROW()-7)*7+6,370)),"mm/dd/yy")),"")</f>
        <v/>
      </c>
      <c r="K333" s="73"/>
    </row>
    <row r="334" spans="2:11" x14ac:dyDescent="0.3">
      <c r="B334" s="149">
        <f t="shared" ca="1" si="24"/>
        <v>46525</v>
      </c>
      <c r="C334" s="73" t="str">
        <f t="shared" ca="1" si="22"/>
        <v>Tuesday</v>
      </c>
      <c r="G334" s="73">
        <f t="shared" si="23"/>
        <v>0</v>
      </c>
      <c r="H334" s="73" t="str">
        <f t="shared" si="21"/>
        <v>0h0</v>
      </c>
      <c r="J334" s="73" t="str" cm="1">
        <f t="array" aca="1" ref="J334" ca="1">IFERROR(IF(11+(ROW()-7)*7&gt;370,"",TEXT(INDIRECT("B"&amp;(11+(ROW()-7)*7)),"mm/dd/yy")&amp;"-"&amp;TEXT(INDIRECT("B"&amp;MIN(11+(ROW()-7)*7+6,370)),"mm/dd/yy")),"")</f>
        <v/>
      </c>
      <c r="K334" s="73"/>
    </row>
    <row r="335" spans="2:11" x14ac:dyDescent="0.3">
      <c r="B335" s="149">
        <f t="shared" ca="1" si="24"/>
        <v>46526</v>
      </c>
      <c r="C335" s="73" t="str">
        <f t="shared" ca="1" si="22"/>
        <v>Wednesday</v>
      </c>
      <c r="G335" s="73">
        <f t="shared" si="23"/>
        <v>0</v>
      </c>
      <c r="H335" s="73" t="str">
        <f t="shared" si="21"/>
        <v>0h0</v>
      </c>
      <c r="J335" s="73" t="str" cm="1">
        <f t="array" aca="1" ref="J335" ca="1">IFERROR(IF(11+(ROW()-7)*7&gt;370,"",TEXT(INDIRECT("B"&amp;(11+(ROW()-7)*7)),"mm/dd/yy")&amp;"-"&amp;TEXT(INDIRECT("B"&amp;MIN(11+(ROW()-7)*7+6,370)),"mm/dd/yy")),"")</f>
        <v/>
      </c>
      <c r="K335" s="73"/>
    </row>
    <row r="336" spans="2:11" x14ac:dyDescent="0.3">
      <c r="B336" s="149">
        <f t="shared" ca="1" si="24"/>
        <v>46527</v>
      </c>
      <c r="C336" s="73" t="str">
        <f t="shared" ca="1" si="22"/>
        <v>Thursday</v>
      </c>
      <c r="G336" s="73">
        <f t="shared" si="23"/>
        <v>0</v>
      </c>
      <c r="H336" s="73" t="str">
        <f t="shared" si="21"/>
        <v>0h0</v>
      </c>
      <c r="J336" s="73" t="str" cm="1">
        <f t="array" aca="1" ref="J336" ca="1">IFERROR(IF(11+(ROW()-7)*7&gt;370,"",TEXT(INDIRECT("B"&amp;(11+(ROW()-7)*7)),"mm/dd/yy")&amp;"-"&amp;TEXT(INDIRECT("B"&amp;MIN(11+(ROW()-7)*7+6,370)),"mm/dd/yy")),"")</f>
        <v/>
      </c>
      <c r="K336" s="73"/>
    </row>
    <row r="337" spans="2:11" x14ac:dyDescent="0.3">
      <c r="B337" s="149">
        <f t="shared" ca="1" si="24"/>
        <v>46528</v>
      </c>
      <c r="C337" s="73" t="str">
        <f t="shared" ca="1" si="22"/>
        <v>Friday</v>
      </c>
      <c r="G337" s="73">
        <f t="shared" si="23"/>
        <v>0</v>
      </c>
      <c r="H337" s="73" t="str">
        <f t="shared" si="21"/>
        <v>0h0</v>
      </c>
      <c r="J337" s="73" t="str" cm="1">
        <f t="array" aca="1" ref="J337" ca="1">IFERROR(IF(11+(ROW()-7)*7&gt;370,"",TEXT(INDIRECT("B"&amp;(11+(ROW()-7)*7)),"mm/dd/yy")&amp;"-"&amp;TEXT(INDIRECT("B"&amp;MIN(11+(ROW()-7)*7+6,370)),"mm/dd/yy")),"")</f>
        <v/>
      </c>
      <c r="K337" s="73"/>
    </row>
    <row r="338" spans="2:11" x14ac:dyDescent="0.3">
      <c r="B338" s="149">
        <f t="shared" ca="1" si="24"/>
        <v>46529</v>
      </c>
      <c r="C338" s="73" t="str">
        <f t="shared" ca="1" si="22"/>
        <v>Saturday</v>
      </c>
      <c r="G338" s="73">
        <f t="shared" si="23"/>
        <v>0</v>
      </c>
      <c r="H338" s="73" t="str">
        <f t="shared" si="21"/>
        <v>0h0</v>
      </c>
      <c r="J338" s="73" t="str" cm="1">
        <f t="array" aca="1" ref="J338" ca="1">IFERROR(IF(11+(ROW()-7)*7&gt;370,"",TEXT(INDIRECT("B"&amp;(11+(ROW()-7)*7)),"mm/dd/yy")&amp;"-"&amp;TEXT(INDIRECT("B"&amp;MIN(11+(ROW()-7)*7+6,370)),"mm/dd/yy")),"")</f>
        <v/>
      </c>
      <c r="K338" s="73"/>
    </row>
    <row r="339" spans="2:11" x14ac:dyDescent="0.3">
      <c r="B339" s="149">
        <f t="shared" ca="1" si="24"/>
        <v>46530</v>
      </c>
      <c r="C339" s="73" t="str">
        <f t="shared" ca="1" si="22"/>
        <v>Sunday</v>
      </c>
      <c r="G339" s="73">
        <f t="shared" si="23"/>
        <v>0</v>
      </c>
      <c r="H339" s="73" t="str">
        <f t="shared" si="21"/>
        <v>0h0</v>
      </c>
      <c r="J339" s="73" t="str" cm="1">
        <f t="array" aca="1" ref="J339" ca="1">IFERROR(IF(11+(ROW()-7)*7&gt;370,"",TEXT(INDIRECT("B"&amp;(11+(ROW()-7)*7)),"mm/dd/yy")&amp;"-"&amp;TEXT(INDIRECT("B"&amp;MIN(11+(ROW()-7)*7+6,370)),"mm/dd/yy")),"")</f>
        <v/>
      </c>
      <c r="K339" s="73"/>
    </row>
    <row r="340" spans="2:11" x14ac:dyDescent="0.3">
      <c r="B340" s="149">
        <f t="shared" ca="1" si="24"/>
        <v>46531</v>
      </c>
      <c r="C340" s="73" t="str">
        <f t="shared" ca="1" si="22"/>
        <v>Monday</v>
      </c>
      <c r="G340" s="73">
        <f t="shared" si="23"/>
        <v>0</v>
      </c>
      <c r="H340" s="73" t="str">
        <f t="shared" si="21"/>
        <v>0h0</v>
      </c>
      <c r="J340" s="73" t="str" cm="1">
        <f t="array" aca="1" ref="J340" ca="1">IFERROR(IF(11+(ROW()-7)*7&gt;370,"",TEXT(INDIRECT("B"&amp;(11+(ROW()-7)*7)),"mm/dd/yy")&amp;"-"&amp;TEXT(INDIRECT("B"&amp;MIN(11+(ROW()-7)*7+6,370)),"mm/dd/yy")),"")</f>
        <v/>
      </c>
      <c r="K340" s="73"/>
    </row>
    <row r="341" spans="2:11" x14ac:dyDescent="0.3">
      <c r="B341" s="149">
        <f t="shared" ca="1" si="24"/>
        <v>46532</v>
      </c>
      <c r="C341" s="73" t="str">
        <f t="shared" ca="1" si="22"/>
        <v>Tuesday</v>
      </c>
      <c r="G341" s="73">
        <f t="shared" si="23"/>
        <v>0</v>
      </c>
      <c r="H341" s="73" t="str">
        <f t="shared" si="21"/>
        <v>0h0</v>
      </c>
      <c r="J341" s="73" t="str" cm="1">
        <f t="array" aca="1" ref="J341" ca="1">IFERROR(IF(11+(ROW()-7)*7&gt;370,"",TEXT(INDIRECT("B"&amp;(11+(ROW()-7)*7)),"mm/dd/yy")&amp;"-"&amp;TEXT(INDIRECT("B"&amp;MIN(11+(ROW()-7)*7+6,370)),"mm/dd/yy")),"")</f>
        <v/>
      </c>
      <c r="K341" s="73"/>
    </row>
    <row r="342" spans="2:11" x14ac:dyDescent="0.3">
      <c r="B342" s="149">
        <f t="shared" ca="1" si="24"/>
        <v>46533</v>
      </c>
      <c r="C342" s="73" t="str">
        <f t="shared" ca="1" si="22"/>
        <v>Wednesday</v>
      </c>
      <c r="G342" s="73">
        <f t="shared" si="23"/>
        <v>0</v>
      </c>
      <c r="H342" s="73" t="str">
        <f t="shared" si="21"/>
        <v>0h0</v>
      </c>
      <c r="J342" s="73" t="str" cm="1">
        <f t="array" aca="1" ref="J342" ca="1">IFERROR(IF(11+(ROW()-7)*7&gt;370,"",TEXT(INDIRECT("B"&amp;(11+(ROW()-7)*7)),"mm/dd/yy")&amp;"-"&amp;TEXT(INDIRECT("B"&amp;MIN(11+(ROW()-7)*7+6,370)),"mm/dd/yy")),"")</f>
        <v/>
      </c>
      <c r="K342" s="73"/>
    </row>
    <row r="343" spans="2:11" x14ac:dyDescent="0.3">
      <c r="B343" s="149">
        <f t="shared" ca="1" si="24"/>
        <v>46534</v>
      </c>
      <c r="C343" s="73" t="str">
        <f t="shared" ca="1" si="22"/>
        <v>Thursday</v>
      </c>
      <c r="G343" s="73">
        <f t="shared" si="23"/>
        <v>0</v>
      </c>
      <c r="H343" s="73" t="str">
        <f t="shared" si="21"/>
        <v>0h0</v>
      </c>
      <c r="J343" s="73" t="str" cm="1">
        <f t="array" aca="1" ref="J343" ca="1">IFERROR(IF(11+(ROW()-7)*7&gt;370,"",TEXT(INDIRECT("B"&amp;(11+(ROW()-7)*7)),"mm/dd/yy")&amp;"-"&amp;TEXT(INDIRECT("B"&amp;MIN(11+(ROW()-7)*7+6,370)),"mm/dd/yy")),"")</f>
        <v/>
      </c>
      <c r="K343" s="73"/>
    </row>
    <row r="344" spans="2:11" x14ac:dyDescent="0.3">
      <c r="B344" s="149">
        <f t="shared" ca="1" si="24"/>
        <v>46535</v>
      </c>
      <c r="C344" s="73" t="str">
        <f t="shared" ca="1" si="22"/>
        <v>Friday</v>
      </c>
      <c r="G344" s="73">
        <f t="shared" si="23"/>
        <v>0</v>
      </c>
      <c r="H344" s="73" t="str">
        <f t="shared" si="21"/>
        <v>0h0</v>
      </c>
      <c r="J344" s="73" t="str" cm="1">
        <f t="array" aca="1" ref="J344" ca="1">IFERROR(IF(11+(ROW()-7)*7&gt;370,"",TEXT(INDIRECT("B"&amp;(11+(ROW()-7)*7)),"mm/dd/yy")&amp;"-"&amp;TEXT(INDIRECT("B"&amp;MIN(11+(ROW()-7)*7+6,370)),"mm/dd/yy")),"")</f>
        <v/>
      </c>
      <c r="K344" s="73"/>
    </row>
    <row r="345" spans="2:11" x14ac:dyDescent="0.3">
      <c r="B345" s="149">
        <f t="shared" ca="1" si="24"/>
        <v>46536</v>
      </c>
      <c r="C345" s="73" t="str">
        <f t="shared" ca="1" si="22"/>
        <v>Saturday</v>
      </c>
      <c r="G345" s="73">
        <f t="shared" si="23"/>
        <v>0</v>
      </c>
      <c r="H345" s="73" t="str">
        <f t="shared" si="21"/>
        <v>0h0</v>
      </c>
      <c r="J345" s="73" t="str" cm="1">
        <f t="array" aca="1" ref="J345" ca="1">IFERROR(IF(11+(ROW()-7)*7&gt;370,"",TEXT(INDIRECT("B"&amp;(11+(ROW()-7)*7)),"mm/dd/yy")&amp;"-"&amp;TEXT(INDIRECT("B"&amp;MIN(11+(ROW()-7)*7+6,370)),"mm/dd/yy")),"")</f>
        <v/>
      </c>
      <c r="K345" s="73"/>
    </row>
    <row r="346" spans="2:11" x14ac:dyDescent="0.3">
      <c r="B346" s="149">
        <f t="shared" ca="1" si="24"/>
        <v>46537</v>
      </c>
      <c r="C346" s="73" t="str">
        <f t="shared" ca="1" si="22"/>
        <v>Sunday</v>
      </c>
      <c r="G346" s="73">
        <f t="shared" si="23"/>
        <v>0</v>
      </c>
      <c r="H346" s="73" t="str">
        <f t="shared" si="21"/>
        <v>0h0</v>
      </c>
      <c r="J346" s="73" t="str" cm="1">
        <f t="array" aca="1" ref="J346" ca="1">IFERROR(IF(11+(ROW()-7)*7&gt;370,"",TEXT(INDIRECT("B"&amp;(11+(ROW()-7)*7)),"mm/dd/yy")&amp;"-"&amp;TEXT(INDIRECT("B"&amp;MIN(11+(ROW()-7)*7+6,370)),"mm/dd/yy")),"")</f>
        <v/>
      </c>
      <c r="K346" s="73"/>
    </row>
    <row r="347" spans="2:11" x14ac:dyDescent="0.3">
      <c r="B347" s="149">
        <f t="shared" ca="1" si="24"/>
        <v>46538</v>
      </c>
      <c r="C347" s="73" t="str">
        <f t="shared" ca="1" si="22"/>
        <v>Monday</v>
      </c>
      <c r="G347" s="73">
        <f t="shared" si="23"/>
        <v>0</v>
      </c>
      <c r="H347" s="73" t="str">
        <f t="shared" si="21"/>
        <v>0h0</v>
      </c>
      <c r="J347" s="73" t="str" cm="1">
        <f t="array" aca="1" ref="J347" ca="1">IFERROR(IF(11+(ROW()-7)*7&gt;370,"",TEXT(INDIRECT("B"&amp;(11+(ROW()-7)*7)),"mm/dd/yy")&amp;"-"&amp;TEXT(INDIRECT("B"&amp;MIN(11+(ROW()-7)*7+6,370)),"mm/dd/yy")),"")</f>
        <v/>
      </c>
      <c r="K347" s="73"/>
    </row>
    <row r="348" spans="2:11" x14ac:dyDescent="0.3">
      <c r="B348" s="149">
        <f t="shared" ca="1" si="24"/>
        <v>46539</v>
      </c>
      <c r="C348" s="73" t="str">
        <f t="shared" ca="1" si="22"/>
        <v>Tuesday</v>
      </c>
      <c r="G348" s="73">
        <f t="shared" si="23"/>
        <v>0</v>
      </c>
      <c r="H348" s="73" t="str">
        <f t="shared" si="21"/>
        <v>0h0</v>
      </c>
      <c r="J348" s="73" t="str" cm="1">
        <f t="array" aca="1" ref="J348" ca="1">IFERROR(IF(11+(ROW()-7)*7&gt;370,"",TEXT(INDIRECT("B"&amp;(11+(ROW()-7)*7)),"mm/dd/yy")&amp;"-"&amp;TEXT(INDIRECT("B"&amp;MIN(11+(ROW()-7)*7+6,370)),"mm/dd/yy")),"")</f>
        <v/>
      </c>
      <c r="K348" s="73"/>
    </row>
    <row r="349" spans="2:11" x14ac:dyDescent="0.3">
      <c r="B349" s="149">
        <f t="shared" ca="1" si="24"/>
        <v>46540</v>
      </c>
      <c r="C349" s="73" t="str">
        <f t="shared" ca="1" si="22"/>
        <v>Wednesday</v>
      </c>
      <c r="G349" s="73">
        <f t="shared" si="23"/>
        <v>0</v>
      </c>
      <c r="H349" s="73" t="str">
        <f t="shared" si="21"/>
        <v>0h0</v>
      </c>
      <c r="J349" s="73" t="str" cm="1">
        <f t="array" aca="1" ref="J349" ca="1">IFERROR(IF(11+(ROW()-7)*7&gt;370,"",TEXT(INDIRECT("B"&amp;(11+(ROW()-7)*7)),"mm/dd/yy")&amp;"-"&amp;TEXT(INDIRECT("B"&amp;MIN(11+(ROW()-7)*7+6,370)),"mm/dd/yy")),"")</f>
        <v/>
      </c>
      <c r="K349" s="73"/>
    </row>
    <row r="350" spans="2:11" x14ac:dyDescent="0.3">
      <c r="B350" s="149">
        <f t="shared" ca="1" si="24"/>
        <v>46541</v>
      </c>
      <c r="C350" s="73" t="str">
        <f t="shared" ca="1" si="22"/>
        <v>Thursday</v>
      </c>
      <c r="G350" s="73">
        <f t="shared" si="23"/>
        <v>0</v>
      </c>
      <c r="H350" s="73" t="str">
        <f t="shared" si="21"/>
        <v>0h0</v>
      </c>
      <c r="J350" s="73" t="str" cm="1">
        <f t="array" aca="1" ref="J350" ca="1">IFERROR(IF(11+(ROW()-7)*7&gt;370,"",TEXT(INDIRECT("B"&amp;(11+(ROW()-7)*7)),"mm/dd/yy")&amp;"-"&amp;TEXT(INDIRECT("B"&amp;MIN(11+(ROW()-7)*7+6,370)),"mm/dd/yy")),"")</f>
        <v/>
      </c>
      <c r="K350" s="73"/>
    </row>
    <row r="351" spans="2:11" x14ac:dyDescent="0.3">
      <c r="B351" s="149">
        <f t="shared" ca="1" si="24"/>
        <v>46542</v>
      </c>
      <c r="C351" s="73" t="str">
        <f t="shared" ca="1" si="22"/>
        <v>Friday</v>
      </c>
      <c r="G351" s="73">
        <f t="shared" si="23"/>
        <v>0</v>
      </c>
      <c r="H351" s="73" t="str">
        <f t="shared" si="21"/>
        <v>0h0</v>
      </c>
      <c r="J351" s="73" t="str" cm="1">
        <f t="array" aca="1" ref="J351" ca="1">IFERROR(IF(11+(ROW()-7)*7&gt;370,"",TEXT(INDIRECT("B"&amp;(11+(ROW()-7)*7)),"mm/dd/yy")&amp;"-"&amp;TEXT(INDIRECT("B"&amp;MIN(11+(ROW()-7)*7+6,370)),"mm/dd/yy")),"")</f>
        <v/>
      </c>
      <c r="K351" s="73"/>
    </row>
    <row r="352" spans="2:11" x14ac:dyDescent="0.3">
      <c r="B352" s="149">
        <f t="shared" ca="1" si="24"/>
        <v>46543</v>
      </c>
      <c r="C352" s="73" t="str">
        <f t="shared" ca="1" si="22"/>
        <v>Saturday</v>
      </c>
      <c r="G352" s="73">
        <f t="shared" si="23"/>
        <v>0</v>
      </c>
      <c r="H352" s="73" t="str">
        <f t="shared" si="21"/>
        <v>0h0</v>
      </c>
      <c r="J352" s="73" t="str" cm="1">
        <f t="array" aca="1" ref="J352" ca="1">IFERROR(IF(11+(ROW()-7)*7&gt;370,"",TEXT(INDIRECT("B"&amp;(11+(ROW()-7)*7)),"mm/dd/yy")&amp;"-"&amp;TEXT(INDIRECT("B"&amp;MIN(11+(ROW()-7)*7+6,370)),"mm/dd/yy")),"")</f>
        <v/>
      </c>
      <c r="K352" s="73"/>
    </row>
    <row r="353" spans="2:11" x14ac:dyDescent="0.3">
      <c r="B353" s="149">
        <f t="shared" ca="1" si="24"/>
        <v>46544</v>
      </c>
      <c r="C353" s="73" t="str">
        <f t="shared" ca="1" si="22"/>
        <v>Sunday</v>
      </c>
      <c r="G353" s="73">
        <f t="shared" si="23"/>
        <v>0</v>
      </c>
      <c r="H353" s="73" t="str">
        <f t="shared" si="21"/>
        <v>0h0</v>
      </c>
      <c r="J353" s="73" t="str" cm="1">
        <f t="array" aca="1" ref="J353" ca="1">IFERROR(IF(11+(ROW()-7)*7&gt;370,"",TEXT(INDIRECT("B"&amp;(11+(ROW()-7)*7)),"mm/dd/yy")&amp;"-"&amp;TEXT(INDIRECT("B"&amp;MIN(11+(ROW()-7)*7+6,370)),"mm/dd/yy")),"")</f>
        <v/>
      </c>
      <c r="K353" s="73"/>
    </row>
    <row r="354" spans="2:11" x14ac:dyDescent="0.3">
      <c r="B354" s="149">
        <f t="shared" ca="1" si="24"/>
        <v>46545</v>
      </c>
      <c r="C354" s="73" t="str">
        <f t="shared" ca="1" si="22"/>
        <v>Monday</v>
      </c>
      <c r="G354" s="73">
        <f t="shared" si="23"/>
        <v>0</v>
      </c>
      <c r="H354" s="73" t="str">
        <f t="shared" si="21"/>
        <v>0h0</v>
      </c>
      <c r="J354" s="73" t="str" cm="1">
        <f t="array" aca="1" ref="J354" ca="1">IFERROR(IF(11+(ROW()-7)*7&gt;370,"",TEXT(INDIRECT("B"&amp;(11+(ROW()-7)*7)),"mm/dd/yy")&amp;"-"&amp;TEXT(INDIRECT("B"&amp;MIN(11+(ROW()-7)*7+6,370)),"mm/dd/yy")),"")</f>
        <v/>
      </c>
      <c r="K354" s="73"/>
    </row>
    <row r="355" spans="2:11" x14ac:dyDescent="0.3">
      <c r="B355" s="149">
        <f t="shared" ca="1" si="24"/>
        <v>46546</v>
      </c>
      <c r="C355" s="73" t="str">
        <f t="shared" ca="1" si="22"/>
        <v>Tuesday</v>
      </c>
      <c r="G355" s="73">
        <f t="shared" si="23"/>
        <v>0</v>
      </c>
      <c r="H355" s="73" t="str">
        <f t="shared" si="21"/>
        <v>0h0</v>
      </c>
      <c r="J355" s="73" t="str" cm="1">
        <f t="array" aca="1" ref="J355" ca="1">IFERROR(IF(11+(ROW()-7)*7&gt;370,"",TEXT(INDIRECT("B"&amp;(11+(ROW()-7)*7)),"mm/dd/yy")&amp;"-"&amp;TEXT(INDIRECT("B"&amp;MIN(11+(ROW()-7)*7+6,370)),"mm/dd/yy")),"")</f>
        <v/>
      </c>
      <c r="K355" s="73"/>
    </row>
    <row r="356" spans="2:11" x14ac:dyDescent="0.3">
      <c r="B356" s="149">
        <f t="shared" ca="1" si="24"/>
        <v>46547</v>
      </c>
      <c r="C356" s="73" t="str">
        <f t="shared" ca="1" si="22"/>
        <v>Wednesday</v>
      </c>
      <c r="G356" s="73">
        <f t="shared" si="23"/>
        <v>0</v>
      </c>
      <c r="H356" s="73" t="str">
        <f t="shared" si="21"/>
        <v>0h0</v>
      </c>
      <c r="J356" s="73" t="str" cm="1">
        <f t="array" aca="1" ref="J356" ca="1">IFERROR(IF(11+(ROW()-7)*7&gt;370,"",TEXT(INDIRECT("B"&amp;(11+(ROW()-7)*7)),"mm/dd/yy")&amp;"-"&amp;TEXT(INDIRECT("B"&amp;MIN(11+(ROW()-7)*7+6,370)),"mm/dd/yy")),"")</f>
        <v/>
      </c>
      <c r="K356" s="73"/>
    </row>
    <row r="357" spans="2:11" x14ac:dyDescent="0.3">
      <c r="B357" s="149">
        <f t="shared" ca="1" si="24"/>
        <v>46548</v>
      </c>
      <c r="C357" s="73" t="str">
        <f t="shared" ca="1" si="22"/>
        <v>Thursday</v>
      </c>
      <c r="G357" s="73">
        <f t="shared" si="23"/>
        <v>0</v>
      </c>
      <c r="H357" s="73" t="str">
        <f t="shared" si="21"/>
        <v>0h0</v>
      </c>
      <c r="J357" s="73" t="str" cm="1">
        <f t="array" aca="1" ref="J357" ca="1">IFERROR(IF(11+(ROW()-7)*7&gt;370,"",TEXT(INDIRECT("B"&amp;(11+(ROW()-7)*7)),"mm/dd/yy")&amp;"-"&amp;TEXT(INDIRECT("B"&amp;MIN(11+(ROW()-7)*7+6,370)),"mm/dd/yy")),"")</f>
        <v/>
      </c>
      <c r="K357" s="73"/>
    </row>
    <row r="358" spans="2:11" x14ac:dyDescent="0.3">
      <c r="B358" s="149">
        <f t="shared" ca="1" si="24"/>
        <v>46549</v>
      </c>
      <c r="C358" s="73" t="str">
        <f t="shared" ca="1" si="22"/>
        <v>Friday</v>
      </c>
      <c r="G358" s="73">
        <f t="shared" si="23"/>
        <v>0</v>
      </c>
      <c r="H358" s="73" t="str">
        <f t="shared" si="21"/>
        <v>0h0</v>
      </c>
      <c r="J358" s="73" t="str" cm="1">
        <f t="array" aca="1" ref="J358" ca="1">IFERROR(IF(11+(ROW()-7)*7&gt;370,"",TEXT(INDIRECT("B"&amp;(11+(ROW()-7)*7)),"mm/dd/yy")&amp;"-"&amp;TEXT(INDIRECT("B"&amp;MIN(11+(ROW()-7)*7+6,370)),"mm/dd/yy")),"")</f>
        <v/>
      </c>
      <c r="K358" s="73"/>
    </row>
    <row r="359" spans="2:11" x14ac:dyDescent="0.3">
      <c r="B359" s="149">
        <f t="shared" ca="1" si="24"/>
        <v>46550</v>
      </c>
      <c r="C359" s="73" t="str">
        <f t="shared" ca="1" si="22"/>
        <v>Saturday</v>
      </c>
      <c r="G359" s="73">
        <f t="shared" si="23"/>
        <v>0</v>
      </c>
      <c r="H359" s="73" t="str">
        <f t="shared" si="21"/>
        <v>0h0</v>
      </c>
      <c r="J359" s="73" t="str" cm="1">
        <f t="array" aca="1" ref="J359" ca="1">IFERROR(IF(11+(ROW()-7)*7&gt;370,"",TEXT(INDIRECT("B"&amp;(11+(ROW()-7)*7)),"mm/dd/yy")&amp;"-"&amp;TEXT(INDIRECT("B"&amp;MIN(11+(ROW()-7)*7+6,370)),"mm/dd/yy")),"")</f>
        <v/>
      </c>
      <c r="K359" s="73"/>
    </row>
    <row r="360" spans="2:11" x14ac:dyDescent="0.3">
      <c r="B360" s="149">
        <f t="shared" ca="1" si="24"/>
        <v>46551</v>
      </c>
      <c r="C360" s="73" t="str">
        <f t="shared" ca="1" si="22"/>
        <v>Sunday</v>
      </c>
      <c r="G360" s="73">
        <f t="shared" si="23"/>
        <v>0</v>
      </c>
      <c r="H360" s="73" t="str">
        <f t="shared" si="21"/>
        <v>0h0</v>
      </c>
      <c r="J360" s="73" t="str" cm="1">
        <f t="array" aca="1" ref="J360" ca="1">IFERROR(IF(11+(ROW()-7)*7&gt;370,"",TEXT(INDIRECT("B"&amp;(11+(ROW()-7)*7)),"mm/dd/yy")&amp;"-"&amp;TEXT(INDIRECT("B"&amp;MIN(11+(ROW()-7)*7+6,370)),"mm/dd/yy")),"")</f>
        <v/>
      </c>
      <c r="K360" s="73"/>
    </row>
    <row r="361" spans="2:11" x14ac:dyDescent="0.3">
      <c r="B361" s="149">
        <f t="shared" ca="1" si="24"/>
        <v>46552</v>
      </c>
      <c r="C361" s="73" t="str">
        <f t="shared" ca="1" si="22"/>
        <v>Monday</v>
      </c>
      <c r="G361" s="73">
        <f t="shared" si="23"/>
        <v>0</v>
      </c>
      <c r="H361" s="73" t="str">
        <f t="shared" si="21"/>
        <v>0h0</v>
      </c>
      <c r="J361" s="73" t="str" cm="1">
        <f t="array" aca="1" ref="J361" ca="1">IFERROR(IF(11+(ROW()-7)*7&gt;370,"",TEXT(INDIRECT("B"&amp;(11+(ROW()-7)*7)),"mm/dd/yy")&amp;"-"&amp;TEXT(INDIRECT("B"&amp;MIN(11+(ROW()-7)*7+6,370)),"mm/dd/yy")),"")</f>
        <v/>
      </c>
      <c r="K361" s="73"/>
    </row>
    <row r="362" spans="2:11" x14ac:dyDescent="0.3">
      <c r="B362" s="149">
        <f t="shared" ca="1" si="24"/>
        <v>46553</v>
      </c>
      <c r="C362" s="73" t="str">
        <f t="shared" ca="1" si="22"/>
        <v>Tuesday</v>
      </c>
      <c r="G362" s="73">
        <f t="shared" si="23"/>
        <v>0</v>
      </c>
      <c r="H362" s="73" t="str">
        <f t="shared" si="21"/>
        <v>0h0</v>
      </c>
      <c r="J362" s="73" t="str" cm="1">
        <f t="array" aca="1" ref="J362" ca="1">IFERROR(IF(11+(ROW()-7)*7&gt;370,"",TEXT(INDIRECT("B"&amp;(11+(ROW()-7)*7)),"mm/dd/yy")&amp;"-"&amp;TEXT(INDIRECT("B"&amp;MIN(11+(ROW()-7)*7+6,370)),"mm/dd/yy")),"")</f>
        <v/>
      </c>
      <c r="K362" s="73"/>
    </row>
    <row r="363" spans="2:11" x14ac:dyDescent="0.3">
      <c r="B363" s="149">
        <f t="shared" ca="1" si="24"/>
        <v>46554</v>
      </c>
      <c r="C363" s="73" t="str">
        <f t="shared" ca="1" si="22"/>
        <v>Wednesday</v>
      </c>
      <c r="G363" s="73">
        <f t="shared" si="23"/>
        <v>0</v>
      </c>
      <c r="H363" s="73" t="str">
        <f t="shared" si="21"/>
        <v>0h0</v>
      </c>
      <c r="J363" s="73" t="str" cm="1">
        <f t="array" aca="1" ref="J363" ca="1">IFERROR(IF(11+(ROW()-7)*7&gt;370,"",TEXT(INDIRECT("B"&amp;(11+(ROW()-7)*7)),"mm/dd/yy")&amp;"-"&amp;TEXT(INDIRECT("B"&amp;MIN(11+(ROW()-7)*7+6,370)),"mm/dd/yy")),"")</f>
        <v/>
      </c>
      <c r="K363" s="73"/>
    </row>
    <row r="364" spans="2:11" x14ac:dyDescent="0.3">
      <c r="B364" s="149">
        <f t="shared" ca="1" si="24"/>
        <v>46555</v>
      </c>
      <c r="C364" s="73" t="str">
        <f t="shared" ca="1" si="22"/>
        <v>Thursday</v>
      </c>
      <c r="G364" s="73">
        <f t="shared" si="23"/>
        <v>0</v>
      </c>
      <c r="H364" s="73" t="str">
        <f t="shared" si="21"/>
        <v>0h0</v>
      </c>
      <c r="J364" s="73" t="str" cm="1">
        <f t="array" aca="1" ref="J364" ca="1">IFERROR(IF(11+(ROW()-7)*7&gt;370,"",TEXT(INDIRECT("B"&amp;(11+(ROW()-7)*7)),"mm/dd/yy")&amp;"-"&amp;TEXT(INDIRECT("B"&amp;MIN(11+(ROW()-7)*7+6,370)),"mm/dd/yy")),"")</f>
        <v/>
      </c>
      <c r="K364" s="73"/>
    </row>
    <row r="365" spans="2:11" x14ac:dyDescent="0.3">
      <c r="B365" s="149">
        <f t="shared" ca="1" si="24"/>
        <v>46556</v>
      </c>
      <c r="C365" s="73" t="str">
        <f t="shared" ca="1" si="22"/>
        <v>Friday</v>
      </c>
      <c r="G365" s="73">
        <f t="shared" si="23"/>
        <v>0</v>
      </c>
      <c r="H365" s="73" t="str">
        <f t="shared" si="21"/>
        <v>0h0</v>
      </c>
      <c r="J365" s="73" t="str" cm="1">
        <f t="array" aca="1" ref="J365" ca="1">IFERROR(IF(11+(ROW()-7)*7&gt;370,"",TEXT(INDIRECT("B"&amp;(11+(ROW()-7)*7)),"mm/dd/yy")&amp;"-"&amp;TEXT(INDIRECT("B"&amp;MIN(11+(ROW()-7)*7+6,370)),"mm/dd/yy")),"")</f>
        <v/>
      </c>
      <c r="K365" s="73"/>
    </row>
    <row r="366" spans="2:11" x14ac:dyDescent="0.3">
      <c r="B366" s="149">
        <f t="shared" ca="1" si="24"/>
        <v>46557</v>
      </c>
      <c r="C366" s="73" t="str">
        <f t="shared" ca="1" si="22"/>
        <v>Saturday</v>
      </c>
      <c r="G366" s="73">
        <f t="shared" si="23"/>
        <v>0</v>
      </c>
      <c r="H366" s="73" t="str">
        <f t="shared" si="21"/>
        <v>0h0</v>
      </c>
      <c r="J366" s="73" t="str" cm="1">
        <f t="array" aca="1" ref="J366" ca="1">IFERROR(IF(11+(ROW()-7)*7&gt;370,"",TEXT(INDIRECT("B"&amp;(11+(ROW()-7)*7)),"mm/dd/yy")&amp;"-"&amp;TEXT(INDIRECT("B"&amp;MIN(11+(ROW()-7)*7+6,370)),"mm/dd/yy")),"")</f>
        <v/>
      </c>
      <c r="K366" s="73"/>
    </row>
    <row r="367" spans="2:11" x14ac:dyDescent="0.3">
      <c r="B367" s="149">
        <f t="shared" ca="1" si="24"/>
        <v>46558</v>
      </c>
      <c r="C367" s="73" t="str">
        <f t="shared" ca="1" si="22"/>
        <v>Sunday</v>
      </c>
      <c r="G367" s="73">
        <f t="shared" si="23"/>
        <v>0</v>
      </c>
      <c r="H367" s="73" t="str">
        <f t="shared" si="21"/>
        <v>0h0</v>
      </c>
      <c r="J367" s="73" t="str" cm="1">
        <f t="array" aca="1" ref="J367" ca="1">IFERROR(IF(11+(ROW()-7)*7&gt;370,"",TEXT(INDIRECT("B"&amp;(11+(ROW()-7)*7)),"mm/dd/yy")&amp;"-"&amp;TEXT(INDIRECT("B"&amp;MIN(11+(ROW()-7)*7+6,370)),"mm/dd/yy")),"")</f>
        <v/>
      </c>
      <c r="K367" s="73"/>
    </row>
    <row r="368" spans="2:11" x14ac:dyDescent="0.3">
      <c r="B368" s="149">
        <f t="shared" ca="1" si="24"/>
        <v>46559</v>
      </c>
      <c r="C368" s="73" t="str">
        <f t="shared" ca="1" si="22"/>
        <v>Monday</v>
      </c>
      <c r="G368" s="73">
        <f t="shared" si="23"/>
        <v>0</v>
      </c>
      <c r="H368" s="73" t="str">
        <f t="shared" si="21"/>
        <v>0h0</v>
      </c>
      <c r="J368" s="73" t="str" cm="1">
        <f t="array" aca="1" ref="J368" ca="1">IFERROR(IF(11+(ROW()-7)*7&gt;370,"",TEXT(INDIRECT("B"&amp;(11+(ROW()-7)*7)),"mm/dd/yy")&amp;"-"&amp;TEXT(INDIRECT("B"&amp;MIN(11+(ROW()-7)*7+6,370)),"mm/dd/yy")),"")</f>
        <v/>
      </c>
      <c r="K368" s="73"/>
    </row>
    <row r="369" spans="2:11" x14ac:dyDescent="0.3">
      <c r="B369" s="149">
        <f t="shared" ca="1" si="24"/>
        <v>46560</v>
      </c>
      <c r="C369" s="73" t="str">
        <f t="shared" ca="1" si="22"/>
        <v>Tuesday</v>
      </c>
      <c r="G369" s="73">
        <f t="shared" si="23"/>
        <v>0</v>
      </c>
      <c r="H369" s="73" t="str">
        <f t="shared" si="21"/>
        <v>0h0</v>
      </c>
      <c r="J369" s="73" t="str" cm="1">
        <f t="array" aca="1" ref="J369" ca="1">IFERROR(IF(11+(ROW()-7)*7&gt;370,"",TEXT(INDIRECT("B"&amp;(11+(ROW()-7)*7)),"mm/dd/yy")&amp;"-"&amp;TEXT(INDIRECT("B"&amp;MIN(11+(ROW()-7)*7+6,370)),"mm/dd/yy")),"")</f>
        <v/>
      </c>
      <c r="K369" s="73"/>
    </row>
    <row r="370" spans="2:11" x14ac:dyDescent="0.3">
      <c r="B370" s="149">
        <f t="shared" ca="1" si="24"/>
        <v>46561</v>
      </c>
      <c r="C370" s="73" t="str">
        <f t="shared" ca="1" si="22"/>
        <v>Wednesday</v>
      </c>
      <c r="G370" s="73">
        <f t="shared" si="23"/>
        <v>0</v>
      </c>
      <c r="H370" s="73" t="str">
        <f t="shared" si="21"/>
        <v>0h0</v>
      </c>
      <c r="J370" s="73" t="str" cm="1">
        <f t="array" aca="1" ref="J370" ca="1">IFERROR(IF(11+(ROW()-7)*7&gt;370,"",TEXT(INDIRECT("B"&amp;(11+(ROW()-7)*7)),"mm/dd/yy")&amp;"-"&amp;TEXT(INDIRECT("B"&amp;MIN(11+(ROW()-7)*7+6,370)),"mm/dd/yy")),"")</f>
        <v/>
      </c>
      <c r="K370" s="73"/>
    </row>
    <row r="371" spans="2:11" x14ac:dyDescent="0.3">
      <c r="J371" s="73" t="str" cm="1">
        <f t="array" aca="1" ref="J371" ca="1">IFERROR(IF(11+(ROW()-7)*7&gt;370,"",TEXT(INDIRECT("B"&amp;(11+(ROW()-7)*7)),"mm/dd/yy")&amp;"-"&amp;TEXT(INDIRECT("B"&amp;MIN(11+(ROW()-7)*7+6,370)),"mm/dd/yy")),"")</f>
        <v/>
      </c>
      <c r="K371" s="73"/>
    </row>
  </sheetData>
  <mergeCells count="36">
    <mergeCell ref="J4:K4"/>
    <mergeCell ref="CI2:CK2"/>
    <mergeCell ref="CL2:CN2"/>
    <mergeCell ref="CO2:CQ2"/>
    <mergeCell ref="CR2:CT2"/>
    <mergeCell ref="AP2:AR2"/>
    <mergeCell ref="AS2:AU2"/>
    <mergeCell ref="AV2:AX2"/>
    <mergeCell ref="AY2:BA2"/>
    <mergeCell ref="BK2:BM2"/>
    <mergeCell ref="FV2:FX2"/>
    <mergeCell ref="FS2:FU2"/>
    <mergeCell ref="BB2:BD2"/>
    <mergeCell ref="BE2:BG2"/>
    <mergeCell ref="BH2:BJ2"/>
    <mergeCell ref="BZ2:CB2"/>
    <mergeCell ref="BN2:BP2"/>
    <mergeCell ref="BQ2:BS2"/>
    <mergeCell ref="BT2:BV2"/>
    <mergeCell ref="BW2:BY2"/>
    <mergeCell ref="CU2:CW2"/>
    <mergeCell ref="CX2:CZ2"/>
    <mergeCell ref="DA2:DC2"/>
    <mergeCell ref="DD2:DF2"/>
    <mergeCell ref="CC2:CE2"/>
    <mergeCell ref="CF2:CH2"/>
    <mergeCell ref="AM2:AO2"/>
    <mergeCell ref="U2:W2"/>
    <mergeCell ref="L2:N2"/>
    <mergeCell ref="O2:Q2"/>
    <mergeCell ref="R2:T2"/>
    <mergeCell ref="X2:Z2"/>
    <mergeCell ref="AA2:AC2"/>
    <mergeCell ref="AD2:AF2"/>
    <mergeCell ref="AG2:AI2"/>
    <mergeCell ref="AJ2:AL2"/>
  </mergeCells>
  <conditionalFormatting sqref="H5:H370">
    <cfRule type="expression" priority="3" stopIfTrue="1">
      <formula>IF(D5="Deutsch", FALSE, TRUE)</formula>
    </cfRule>
    <cfRule type="expression" dxfId="7" priority="4" stopIfTrue="1">
      <formula>IF(OR(C5="Tuesday", C5="Wednesday"), IF(ROUNDDOWN(G5/60,0)&gt;=2,TRUE,FALSE),IF(ROUNDDOWN(G5/60,0)&gt;=3,TRUE,FALSE))</formula>
    </cfRule>
    <cfRule type="expression" dxfId="6" priority="5">
      <formula>TRUE</formula>
    </cfRule>
  </conditionalFormatting>
  <conditionalFormatting sqref="K6">
    <cfRule type="expression" dxfId="3" priority="6">
      <formula>ROUNDDOWN(SUM($G$5:$G$10)/60,0)&gt;=21</formula>
    </cfRule>
  </conditionalFormatting>
  <conditionalFormatting sqref="K6">
    <cfRule type="expression" dxfId="2" priority="7">
      <formula>TRUE</formula>
    </cfRule>
  </conditionalFormatting>
  <conditionalFormatting sqref="K7:K58">
    <cfRule type="expression" dxfId="1" priority="8">
      <formula>ROUNDDOWN(SUM(OFFSET($G$11,(ROW()-7)*7,0,7,1))/60,0)&gt;=21</formula>
    </cfRule>
  </conditionalFormatting>
  <conditionalFormatting sqref="K7:K58">
    <cfRule type="expression" dxfId="0" priority="9">
      <formula>TRUE</formula>
    </cfRule>
  </conditionalFormatting>
  <dataValidations count="1">
    <dataValidation type="list" allowBlank="1" showInputMessage="1" showErrorMessage="1" sqref="D5:D7" xr:uid="{12A080B4-C744-4A3C-8050-5762A2A8EA78}">
      <formula1>"---None---, Deutsch, Deutsch: Flashcards, AWS Certification"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64" t="s">
        <v>16</v>
      </c>
      <c r="C2" s="164"/>
      <c r="D2" s="164"/>
      <c r="F2" s="164" t="s">
        <v>17</v>
      </c>
      <c r="G2" s="164"/>
      <c r="H2" s="164"/>
    </row>
    <row r="3" spans="2:8" x14ac:dyDescent="0.3">
      <c r="B3" s="76" t="s">
        <v>131</v>
      </c>
      <c r="C3" s="76" t="s">
        <v>132</v>
      </c>
      <c r="D3" s="78" t="s">
        <v>133</v>
      </c>
      <c r="F3" s="76" t="s">
        <v>131</v>
      </c>
      <c r="G3" s="76" t="s">
        <v>132</v>
      </c>
      <c r="H3" s="77" t="s">
        <v>133</v>
      </c>
    </row>
    <row r="4" spans="2:8" ht="57.6" x14ac:dyDescent="0.3">
      <c r="B4" s="3">
        <v>15</v>
      </c>
      <c r="C4" s="3" t="s">
        <v>129</v>
      </c>
      <c r="D4" s="79" t="s">
        <v>137</v>
      </c>
      <c r="F4" s="3">
        <v>15</v>
      </c>
      <c r="G4" s="3" t="s">
        <v>140</v>
      </c>
      <c r="H4" s="82" t="s">
        <v>142</v>
      </c>
    </row>
    <row r="5" spans="2:8" ht="158.4" x14ac:dyDescent="0.3">
      <c r="B5" s="3">
        <v>60</v>
      </c>
      <c r="C5" s="3" t="s">
        <v>130</v>
      </c>
      <c r="D5" s="79" t="s">
        <v>136</v>
      </c>
      <c r="F5" s="3">
        <v>15</v>
      </c>
      <c r="G5" s="3" t="s">
        <v>141</v>
      </c>
      <c r="H5" s="82" t="s">
        <v>143</v>
      </c>
    </row>
    <row r="6" spans="2:8" ht="43.2" x14ac:dyDescent="0.3">
      <c r="B6" s="3">
        <v>45</v>
      </c>
      <c r="C6" s="3" t="s">
        <v>138</v>
      </c>
      <c r="D6" s="79" t="s">
        <v>135</v>
      </c>
    </row>
    <row r="7" spans="2:8" ht="29.4" thickBot="1" x14ac:dyDescent="0.35">
      <c r="B7" s="80">
        <v>15</v>
      </c>
      <c r="C7" s="80" t="s">
        <v>139</v>
      </c>
      <c r="D7" s="81" t="s">
        <v>134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Study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2026-06-23T20:41:08Z</dcterms:modified>
</cp:coreProperties>
</file>