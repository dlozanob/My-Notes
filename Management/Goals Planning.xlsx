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2383DBDE-F4D8-487D-BB63-8BC13CB61C11}" xr6:coauthVersionLast="47" xr6:coauthVersionMax="47" xr10:uidLastSave="{00000000-0000-0000-0000-000000000000}"/>
  <bookViews>
    <workbookView xWindow="-120" yWindow="-120" windowWidth="20730" windowHeight="11760" firstSheet="2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To-Do List" sheetId="5" r:id="rId4"/>
    <sheet name="Logbook" sheetId="1" r:id="rId5"/>
    <sheet name="Calisthenics Routine" sheetId="6" r:id="rId6"/>
    <sheet name="Recurrent Tasks Trac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2" l="1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6" i="7"/>
  <c r="D7" i="7"/>
  <c r="D11" i="7"/>
  <c r="J23" i="2" l="1"/>
  <c r="K23" i="2" s="1"/>
  <c r="D15" i="7"/>
  <c r="D10" i="7" l="1"/>
  <c r="D12" i="7"/>
  <c r="D17" i="7"/>
  <c r="D5" i="7"/>
  <c r="D9" i="7"/>
  <c r="D8" i="7"/>
  <c r="D4" i="7"/>
  <c r="D3" i="7"/>
  <c r="D13" i="7"/>
  <c r="D14" i="7"/>
  <c r="D16" i="7"/>
  <c r="I24" i="2" l="1"/>
  <c r="E28" i="2"/>
  <c r="F4" i="5"/>
  <c r="F20" i="5"/>
  <c r="F14" i="5"/>
  <c r="F6" i="5"/>
  <c r="F27" i="5"/>
  <c r="F26" i="5"/>
  <c r="F25" i="5"/>
  <c r="F24" i="5"/>
  <c r="F19" i="5"/>
  <c r="F18" i="5"/>
  <c r="F17" i="5"/>
  <c r="F13" i="5"/>
  <c r="F16" i="5"/>
  <c r="F21" i="5"/>
  <c r="F7" i="5"/>
  <c r="F12" i="5"/>
  <c r="F28" i="5"/>
  <c r="F9" i="5"/>
  <c r="F11" i="5"/>
  <c r="F23" i="5"/>
  <c r="F8" i="5"/>
  <c r="F10" i="5"/>
  <c r="F3" i="5"/>
  <c r="F5" i="5"/>
  <c r="F22" i="5"/>
  <c r="F15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<sst xmlns="http://schemas.openxmlformats.org/spreadsheetml/2006/main" count="632" uniqueCount="224">
  <si>
    <t>German</t>
  </si>
  <si>
    <t>French</t>
  </si>
  <si>
    <t>Gym</t>
  </si>
  <si>
    <t>Calisthenics</t>
  </si>
  <si>
    <t>Book (5 pgs)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</si>
  <si>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</si>
  <si>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</si>
  <si>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</si>
  <si>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</si>
  <si>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</si>
  <si>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</si>
  <si>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</si>
  <si>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</si>
  <si>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</si>
  <si>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</si>
  <si>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</si>
  <si>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</si>
  <si>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</si>
  <si>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</si>
  <si>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</si>
  <si>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</si>
  <si>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</si>
  <si>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</si>
  <si>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</si>
  <si>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</si>
  <si>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</si>
  <si>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</si>
  <si>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</si>
  <si>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</si>
  <si>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</si>
  <si>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</si>
  <si>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</si>
  <si>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</si>
  <si>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</si>
  <si>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</si>
  <si>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</si>
  <si>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</si>
  <si>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</si>
  <si>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</si>
  <si>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</si>
  <si>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</si>
  <si>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</si>
  <si>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</si>
  <si>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</si>
  <si>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</si>
  <si>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</si>
  <si>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</si>
  <si>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</si>
  <si>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</si>
  <si>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</si>
  <si>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</si>
  <si>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</si>
  <si>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</si>
  <si>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</si>
  <si>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</si>
  <si>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</si>
  <si>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</si>
  <si>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</si>
  <si>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</si>
  <si>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</si>
  <si>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</si>
  <si>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</si>
  <si>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</si>
  <si>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</si>
  <si>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</si>
  <si>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</si>
  <si>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</si>
  <si>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</si>
  <si>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</si>
  <si>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</si>
  <si>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</si>
  <si>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</si>
  <si>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</si>
  <si>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</si>
  <si>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</si>
  <si>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</si>
  <si>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</si>
  <si>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</si>
  <si>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</si>
  <si>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</si>
  <si>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</si>
  <si>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</si>
  <si>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</si>
  <si>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</si>
  <si>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</si>
  <si>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</si>
  <si>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</si>
  <si>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</si>
  <si>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</si>
  <si>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</si>
  <si>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Goethe-Zertifikat-B2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</si>
  <si>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</si>
  <si>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</si>
  <si>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</si>
  <si>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</si>
  <si>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</si>
  <si>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</si>
  <si>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</si>
  <si>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</si>
  <si>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</si>
  <si>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</si>
  <si>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</si>
  <si>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</si>
  <si>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</si>
  <si>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</si>
  <si>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</si>
  <si>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</si>
  <si>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</si>
  <si>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</si>
  <si>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</si>
  <si>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</si>
  <si>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</si>
  <si>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</si>
  <si>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</si>
  <si>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</si>
  <si>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</si>
  <si>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</si>
  <si>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</si>
  <si>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</si>
  <si>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</si>
  <si>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</si>
  <si>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</si>
  <si>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</si>
  <si>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</si>
  <si>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</si>
  <si>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</si>
  <si>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</si>
  <si>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</si>
  <si>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</si>
  <si>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</si>
  <si>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</si>
  <si>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</si>
  <si>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</si>
  <si>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</si>
  <si>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</si>
  <si>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</si>
  <si>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</si>
  <si>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</si>
  <si>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</si>
  <si>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</si>
  <si>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</si>
  <si>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</si>
  <si>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</si>
  <si>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</si>
  <si>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</si>
  <si>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</si>
  <si>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</si>
  <si>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</si>
  <si>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</si>
  <si>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</si>
  <si>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</si>
  <si>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</si>
  <si>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</si>
  <si>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</si>
  <si>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</si>
  <si>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</si>
  <si>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</si>
  <si>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</si>
  <si>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</si>
  <si>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</si>
  <si>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</si>
  <si>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</si>
  <si>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</si>
  <si>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</si>
  <si>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</si>
  <si>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</si>
  <si>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</si>
  <si>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Cita de Limpieza Dental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</si>
  <si>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</si>
  <si>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</si>
  <si>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</si>
  <si>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</si>
  <si>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</si>
  <si>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</si>
  <si>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</si>
  <si>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</si>
  <si>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</si>
  <si>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</si>
  <si>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</si>
  <si>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</si>
  <si>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</si>
  <si>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</si>
  <si>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</si>
  <si>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</si>
  <si>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</si>
  <si>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</si>
  <si>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</si>
  <si>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</si>
  <si>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16th of the month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</si>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</sst>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</cellStyleXfs>
  <cellXfs count="129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16" fontId="7" fillId="11" borderId="1" xfId="1" applyNumberFormat="1" applyBorder="1"/>
    <xf numFmtId="0" fontId="7" fillId="11" borderId="1" xfId="1" applyBorder="1"/>
    <xf numFmtId="2" fontId="0" fillId="0" borderId="0" xfId="0" applyNumberFormat="1"/>
    <xf numFmtId="0" fontId="0" fillId="0" borderId="0" xfId="0" applyFill="1" applyBorder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ont="1" applyFill="1" applyBorder="1"/>
    <xf numFmtId="0" fontId="0" fillId="0" borderId="47" xfId="0" applyFont="1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9" fillId="16" borderId="1" xfId="2" applyFont="1" applyFill="1" applyBorder="1"/>
    <xf numFmtId="16" fontId="9" fillId="16" borderId="1" xfId="2" applyNumberFormat="1" applyFont="1" applyFill="1" applyBorder="1"/>
    <xf numFmtId="0" fontId="4" fillId="16" borderId="1" xfId="2" applyFill="1" applyBorder="1"/>
    <xf numFmtId="16" fontId="4" fillId="16" borderId="1" xfId="2" applyNumberFormat="1" applyFill="1" applyBorder="1"/>
    <xf numFmtId="0" fontId="0" fillId="10" borderId="0" xfId="0" applyFill="1"/>
    <xf numFmtId="0" fontId="7" fillId="11" borderId="20" xfId="1" applyBorder="1"/>
    <xf numFmtId="16" fontId="7" fillId="11" borderId="20" xfId="1" applyNumberFormat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4" fillId="10" borderId="8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</cellXfs>
  <cellStyles count="3">
    <cellStyle name="Check Cell" xfId="2" builtinId="23"/>
    <cellStyle name="Good" xfId="1" builtinId="26"/>
    <cellStyle name="Normal" xfId="0" builtinId="0"/>
  </cellStyles>
  <dxfs count="51"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0" headerRowBorderDxfId="49" tableBorderDxfId="48" totalsRowBorderDxfId="47">
  <autoFilter ref="B4:K7" xr:uid="{A0D32330-27B6-422A-9D1F-1FC5BAE5E4DB}"/>
  <tableColumns count="10">
    <tableColumn id="1" xr3:uid="{19F98066-679F-4EEC-9A8C-22860A587D58}" name="Language" dataDxfId="46"/>
    <tableColumn id="2" xr3:uid="{9BE73F99-3CBD-49DC-86AA-136DA5596E56}" name="Current Level" dataDxfId="45"/>
    <tableColumn id="3" xr3:uid="{D1CA6F26-E592-4F65-8835-ED17E93DB151}" name="Objective" dataDxfId="44"/>
    <tableColumn id="4" xr3:uid="{F859D955-4AE2-43E1-84D7-DDB739CAE75B}" name="Daily Intensity [h]" dataDxfId="43"/>
    <tableColumn id="5" xr3:uid="{D6D3DADB-90B1-49DA-9D0F-69E54089656D}" name="Estimated Time (Best) [months]" dataDxfId="42" dataCellStyle="Good"/>
    <tableColumn id="6" xr3:uid="{7BF26971-99B7-4341-9936-055654ADE3C7}" name="Estimated Time (Expected) [months]" dataDxfId="41" dataCellStyle="Good"/>
    <tableColumn id="7" xr3:uid="{2E85D0AD-3119-4874-89FE-74923BCA0E5B}" name="Actual Average Daily Intensity [h]" dataDxfId="40" dataCellStyle="Good"/>
    <tableColumn id="8" xr3:uid="{2E862DF0-5B48-469F-9CE4-BDBEF11C9796}" name="Actual Weekly Intensity [h]" dataDxfId="39" dataCellStyle="Good"/>
    <tableColumn id="9" xr3:uid="{E007EA51-E3B8-4B5E-B04D-776D525232C7}" name="Termination Date (Best)" dataDxfId="38" dataCellStyle="Good">
      <calculatedColumnFormula>EDATE(Logbook!$C$3,'Detailed Planning'!F5)</calculatedColumnFormula>
    </tableColumn>
    <tableColumn id="10" xr3:uid="{71F0CAF6-D6C3-43DE-A41C-85D4DA3C78E2}" name="Termination Date (Expected)" dataDxfId="37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F11:H13" totalsRowShown="0" headerRowDxfId="36">
  <autoFilter ref="F11:H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8" totalsRowShown="0" headerRowDxfId="34" dataDxfId="33">
  <autoFilter ref="B2:G28" xr:uid="{6D30F8FA-BB4E-4693-A0C5-CD0454701FBA}"/>
  <sortState xmlns:xlrd2="http://schemas.microsoft.com/office/spreadsheetml/2017/richdata2" ref="B3:G28">
    <sortCondition descending="1" ref="F2:F28"/>
  </sortState>
  <tableColumns count="6">
    <tableColumn id="1" xr3:uid="{05477FFA-5BEC-45BA-8CF7-36BEDCF32429}" name="Task" dataDxfId="32"/>
    <tableColumn id="2" xr3:uid="{0BA13A88-2DB2-42F4-9C09-E56CF8590AED}" name="Importance (1-5)" dataDxfId="31"/>
    <tableColumn id="3" xr3:uid="{1A6917C2-468C-48ED-9177-AA8E25AD4AF8}" name="Deadline" dataDxfId="30"/>
    <tableColumn id="4" xr3:uid="{FEAE9DBB-3AC6-424C-9191-E939A3B53451}" name="Progress (1-5)" dataDxfId="29"/>
    <tableColumn id="5" xr3:uid="{999FE4F4-1750-4966-B8AA-6A4C8C62DCC5}" name="Priority" dataDxfId="28">
      <calculatedColumnFormula>C3 + MAX(0, (30-_xlfn.DAYS(D3, TODAY()))) + (10-E3)</calculatedColumnFormula>
    </tableColumn>
    <tableColumn id="6" xr3:uid="{75E8F6A4-CE29-4B38-8EFC-46F951A46AE3}" name="Status Description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8" headerRowBorderDxfId="17" tableBorderDxfId="16" totalsRowBorderDxfId="15">
  <autoFilter ref="B3:D7" xr:uid="{6A82D3A0-C9C6-4CC5-93AF-387804D1534E}"/>
  <tableColumns count="3">
    <tableColumn id="2" xr3:uid="{C82188A7-91BB-4892-990F-80EEDD116086}" name="Duration [min]" dataDxfId="14"/>
    <tableColumn id="3" xr3:uid="{257FEA3E-E906-47EB-888B-4DEEEF6D8878}" name="Block" dataDxfId="13"/>
    <tableColumn id="4" xr3:uid="{527EA0BB-9801-4FAC-8F42-CA26BDEE1F3B}" name="Description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1" headerRowBorderDxfId="10" tableBorderDxfId="9" totalsRowBorderDxfId="8">
  <autoFilter ref="F3:H5" xr:uid="{8364237B-DD86-44AF-942F-8B66E19DA637}"/>
  <tableColumns count="3">
    <tableColumn id="1" xr3:uid="{62BF850A-C29F-410C-A5B4-15F22457F59F}" name="Duration [min]" dataDxfId="7"/>
    <tableColumn id="2" xr3:uid="{3C68A4B7-0799-4829-93E5-5A00844CC609}" name="Block" dataDxfId="6"/>
    <tableColumn id="3" xr3:uid="{B46AE227-4594-4C8D-9283-576CF7CBEDA5}" name="Description" dataDxf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4" dataDxfId="3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2"/>
    <tableColumn id="2" xr3:uid="{01AABBA1-86AF-4CDD-8059-B6B90931FA25}" name="Frequency" dataDxfId="1"/>
    <tableColumn id="3" xr3:uid="{FF1D2EE6-735A-4AB4-9038-F2B4580252C7}" name="Next Check" dataDxfId="0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15" t="s">
        <v>81</v>
      </c>
      <c r="C2" s="116"/>
      <c r="D2" s="116"/>
      <c r="E2" s="116"/>
      <c r="F2" s="116"/>
      <c r="G2" s="116"/>
      <c r="H2" s="116"/>
      <c r="I2" s="116"/>
      <c r="J2" s="116"/>
      <c r="K2" s="116"/>
      <c r="L2" s="117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8</v>
      </c>
      <c r="E6" s="32"/>
      <c r="F6" s="32"/>
      <c r="G6" s="38" t="s">
        <v>75</v>
      </c>
      <c r="H6" s="32"/>
      <c r="I6" s="32"/>
      <c r="J6" s="38" t="s">
        <v>9</v>
      </c>
      <c r="K6" s="32"/>
      <c r="L6" s="34"/>
    </row>
    <row r="7" spans="2:12" x14ac:dyDescent="0.25">
      <c r="B7" s="33"/>
      <c r="C7" s="32"/>
      <c r="D7" s="32" t="s">
        <v>55</v>
      </c>
      <c r="E7" s="32"/>
      <c r="F7" s="32"/>
      <c r="G7" s="32" t="s">
        <v>72</v>
      </c>
      <c r="H7" s="32"/>
      <c r="I7" s="32"/>
      <c r="J7" s="32" t="s">
        <v>58</v>
      </c>
      <c r="K7" s="32"/>
      <c r="L7" s="34"/>
    </row>
    <row r="8" spans="2:12" x14ac:dyDescent="0.25">
      <c r="B8" s="33"/>
      <c r="C8" s="32"/>
      <c r="D8" s="32" t="s">
        <v>56</v>
      </c>
      <c r="E8" s="32"/>
      <c r="F8" s="32"/>
      <c r="G8" s="32" t="s">
        <v>73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57</v>
      </c>
      <c r="E9" s="32"/>
      <c r="F9" s="32"/>
      <c r="G9" s="32" t="s">
        <v>74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76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77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78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79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11</v>
      </c>
      <c r="E16" s="32"/>
      <c r="F16" s="32"/>
      <c r="G16" s="38" t="s">
        <v>60</v>
      </c>
      <c r="H16" s="32"/>
      <c r="I16" s="32"/>
      <c r="J16" s="39" t="s">
        <v>61</v>
      </c>
      <c r="K16" s="32"/>
      <c r="L16" s="34"/>
    </row>
    <row r="17" spans="2:12" x14ac:dyDescent="0.25">
      <c r="B17" s="33"/>
      <c r="C17" s="32"/>
      <c r="D17" s="32" t="s">
        <v>59</v>
      </c>
      <c r="E17" s="32"/>
      <c r="F17" s="32"/>
      <c r="G17" s="32" t="s">
        <v>62</v>
      </c>
      <c r="H17" s="32"/>
      <c r="I17" s="32"/>
      <c r="J17" s="32" t="s">
        <v>63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66</v>
      </c>
      <c r="H18" s="32"/>
      <c r="I18" s="32"/>
      <c r="J18" s="32" t="s">
        <v>64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67</v>
      </c>
      <c r="H19" s="32"/>
      <c r="I19" s="32"/>
      <c r="J19" s="32" t="s">
        <v>65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68</v>
      </c>
      <c r="H20" s="32"/>
      <c r="I20" s="32"/>
      <c r="J20" s="32" t="s">
        <v>80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69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70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71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44"/>
  <sheetViews>
    <sheetView topLeftCell="F1" zoomScale="85" workbookViewId="0">
      <selection activeCell="I5" sqref="I5"/>
    </sheetView>
  </sheetViews>
  <sheetFormatPr defaultColWidth="11.5703125" defaultRowHeight="15" x14ac:dyDescent="0.25"/>
  <cols>
    <col min="2" max="2" width="27" bestFit="1" customWidth="1"/>
    <col min="3" max="3" width="15" customWidth="1"/>
    <col min="4" max="4" width="11.7109375" customWidth="1"/>
    <col min="5" max="5" width="31.140625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106" t="s">
        <v>43</v>
      </c>
      <c r="C4" s="107" t="s">
        <v>49</v>
      </c>
      <c r="D4" s="108" t="s">
        <v>44</v>
      </c>
      <c r="E4" s="108" t="s">
        <v>216</v>
      </c>
      <c r="F4" s="108" t="s">
        <v>45</v>
      </c>
      <c r="G4" s="108" t="s">
        <v>46</v>
      </c>
      <c r="H4" s="108" t="s">
        <v>217</v>
      </c>
      <c r="I4" s="108" t="s">
        <v>218</v>
      </c>
      <c r="J4" s="108" t="s">
        <v>47</v>
      </c>
      <c r="K4" s="108" t="s">
        <v>48</v>
      </c>
    </row>
    <row r="5" spans="2:11" x14ac:dyDescent="0.25">
      <c r="B5" s="26" t="s">
        <v>0</v>
      </c>
      <c r="C5" s="25" t="s">
        <v>50</v>
      </c>
      <c r="D5" s="25" t="s">
        <v>51</v>
      </c>
      <c r="E5" s="103">
        <v>3</v>
      </c>
      <c r="F5">
        <v>4.5</v>
      </c>
      <c r="G5">
        <v>7.5</v>
      </c>
      <c r="H5" s="105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9" t="s">
        <v>1</v>
      </c>
      <c r="C6" s="97" t="s">
        <v>52</v>
      </c>
      <c r="D6" s="97" t="s">
        <v>54</v>
      </c>
      <c r="E6" s="49">
        <v>1</v>
      </c>
      <c r="F6" s="97">
        <v>2</v>
      </c>
      <c r="G6" s="100">
        <v>3</v>
      </c>
      <c r="H6" s="104">
        <v>1</v>
      </c>
      <c r="I6" s="100">
        <v>7</v>
      </c>
      <c r="J6" s="101">
        <f>EDATE(Logbook!$C$3,'Detailed Planning'!F6)</f>
        <v>46081</v>
      </c>
      <c r="K6" s="102">
        <f>EDATE(Logbook!$C$3,'Detailed Planning'!G6)</f>
        <v>46110</v>
      </c>
    </row>
    <row r="7" spans="2:11" x14ac:dyDescent="0.25">
      <c r="B7" s="28" t="s">
        <v>103</v>
      </c>
      <c r="C7" s="29" t="s">
        <v>104</v>
      </c>
      <c r="D7" s="29" t="s">
        <v>108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20" t="s">
        <v>87</v>
      </c>
      <c r="C10" s="120"/>
      <c r="D10" s="120"/>
      <c r="F10" s="118" t="s">
        <v>192</v>
      </c>
      <c r="G10" s="118"/>
      <c r="H10" s="118"/>
    </row>
    <row r="11" spans="2:11" ht="15.75" x14ac:dyDescent="0.25">
      <c r="B11" s="49" t="s">
        <v>88</v>
      </c>
      <c r="C11" s="48">
        <v>46024</v>
      </c>
      <c r="D11" s="48">
        <v>7</v>
      </c>
      <c r="E11" s="45"/>
      <c r="F11" s="91" t="s">
        <v>109</v>
      </c>
      <c r="G11" s="91" t="s">
        <v>195</v>
      </c>
      <c r="H11" s="91" t="s">
        <v>196</v>
      </c>
      <c r="I11" s="45"/>
      <c r="J11" s="45"/>
      <c r="K11" s="45"/>
    </row>
    <row r="12" spans="2:11" x14ac:dyDescent="0.25">
      <c r="B12" s="49" t="s">
        <v>84</v>
      </c>
      <c r="C12" s="48">
        <v>15</v>
      </c>
      <c r="D12" s="48">
        <v>22</v>
      </c>
      <c r="E12" s="45"/>
      <c r="F12" t="s">
        <v>194</v>
      </c>
      <c r="G12" t="s">
        <v>197</v>
      </c>
      <c r="H12" s="90"/>
      <c r="I12" s="45"/>
      <c r="J12" s="45"/>
      <c r="K12" s="45"/>
    </row>
    <row r="13" spans="2:11" x14ac:dyDescent="0.25">
      <c r="B13" s="25" t="s">
        <v>85</v>
      </c>
      <c r="C13" s="46">
        <v>23</v>
      </c>
      <c r="D13" s="46">
        <v>46059</v>
      </c>
      <c r="E13" s="45"/>
      <c r="F13" t="s">
        <v>102</v>
      </c>
      <c r="G13" t="s">
        <v>193</v>
      </c>
      <c r="H13" s="90"/>
      <c r="I13" s="45"/>
      <c r="J13" s="45"/>
      <c r="K13" s="45"/>
    </row>
    <row r="14" spans="2:11" x14ac:dyDescent="0.25">
      <c r="B14" s="25" t="s">
        <v>86</v>
      </c>
      <c r="C14" s="46">
        <v>46060</v>
      </c>
      <c r="D14" s="46">
        <v>46060</v>
      </c>
      <c r="E14" s="45"/>
      <c r="I14" s="45"/>
      <c r="J14" s="45"/>
      <c r="K14" s="45"/>
    </row>
    <row r="15" spans="2:11" x14ac:dyDescent="0.25">
      <c r="B15" s="120" t="s">
        <v>99</v>
      </c>
      <c r="C15" s="120"/>
      <c r="D15" s="120"/>
      <c r="E15" s="45"/>
      <c r="F15" s="45"/>
      <c r="G15" s="45"/>
      <c r="H15" s="45"/>
      <c r="I15" s="45"/>
      <c r="J15" s="45"/>
      <c r="K15" s="45"/>
    </row>
    <row r="16" spans="2:11" x14ac:dyDescent="0.25">
      <c r="B16" s="25" t="s">
        <v>83</v>
      </c>
      <c r="C16" s="46" t="s">
        <v>106</v>
      </c>
      <c r="D16" s="46" t="s">
        <v>106</v>
      </c>
      <c r="E16" s="45"/>
      <c r="F16" s="45"/>
      <c r="G16" s="45"/>
      <c r="H16" s="45"/>
      <c r="I16" s="45"/>
      <c r="J16" s="45"/>
      <c r="K16" s="45"/>
    </row>
    <row r="17" spans="2:11" x14ac:dyDescent="0.25">
      <c r="B17" s="25" t="s">
        <v>84</v>
      </c>
      <c r="C17" s="46" t="s">
        <v>106</v>
      </c>
      <c r="D17" s="46" t="s">
        <v>106</v>
      </c>
      <c r="E17" s="45"/>
      <c r="F17" s="45"/>
      <c r="G17" s="45"/>
      <c r="H17" s="45"/>
      <c r="I17" s="45"/>
      <c r="J17" s="45"/>
      <c r="K17" s="45"/>
    </row>
    <row r="18" spans="2:11" x14ac:dyDescent="0.25">
      <c r="B18" s="25" t="s">
        <v>85</v>
      </c>
      <c r="C18" s="46" t="s">
        <v>106</v>
      </c>
      <c r="D18" s="46" t="s">
        <v>106</v>
      </c>
      <c r="E18" s="45"/>
      <c r="F18" s="45"/>
      <c r="G18" s="45"/>
      <c r="H18" s="45"/>
      <c r="I18" s="45"/>
      <c r="J18" s="45"/>
      <c r="K18" s="45"/>
    </row>
    <row r="19" spans="2:11" x14ac:dyDescent="0.25">
      <c r="B19" s="25" t="s">
        <v>86</v>
      </c>
      <c r="C19" s="46" t="s">
        <v>106</v>
      </c>
      <c r="D19" s="46" t="s">
        <v>106</v>
      </c>
      <c r="E19" s="45"/>
      <c r="F19" s="45"/>
      <c r="G19" s="45"/>
      <c r="H19" s="45"/>
      <c r="I19" s="45"/>
      <c r="J19" s="45"/>
      <c r="K19" s="45"/>
    </row>
    <row r="20" spans="2:11" x14ac:dyDescent="0.25">
      <c r="B20" s="120" t="s">
        <v>90</v>
      </c>
      <c r="C20" s="120"/>
      <c r="D20" s="120"/>
      <c r="E20" s="45"/>
      <c r="F20" s="45"/>
      <c r="G20" s="45"/>
      <c r="H20" s="45"/>
      <c r="I20" s="45"/>
      <c r="J20" s="45"/>
      <c r="K20" s="45"/>
    </row>
    <row r="21" spans="2:11" x14ac:dyDescent="0.25">
      <c r="B21" s="49" t="s">
        <v>91</v>
      </c>
      <c r="C21" s="48">
        <v>46024</v>
      </c>
      <c r="D21" s="48">
        <v>46066</v>
      </c>
      <c r="E21" s="45"/>
      <c r="F21" s="45"/>
      <c r="G21" s="45"/>
      <c r="H21" s="45"/>
      <c r="I21" s="45"/>
      <c r="J21" s="45"/>
      <c r="K21" s="45"/>
    </row>
    <row r="22" spans="2:11" x14ac:dyDescent="0.25">
      <c r="B22" s="49" t="s">
        <v>92</v>
      </c>
      <c r="C22" s="48">
        <v>46067</v>
      </c>
      <c r="D22" s="48">
        <v>46080</v>
      </c>
      <c r="E22" s="45"/>
      <c r="F22" s="45"/>
      <c r="G22" s="45"/>
      <c r="H22" s="45"/>
      <c r="I22" s="45"/>
      <c r="J22" s="45"/>
      <c r="K22" s="45"/>
    </row>
    <row r="23" spans="2:11" x14ac:dyDescent="0.25">
      <c r="B23" s="49" t="s">
        <v>93</v>
      </c>
      <c r="C23" s="48">
        <v>46081</v>
      </c>
      <c r="D23" s="48">
        <v>46094</v>
      </c>
      <c r="E23" s="45"/>
      <c r="F23" s="45"/>
      <c r="G23" s="45"/>
      <c r="H23" s="45"/>
      <c r="I23" s="45"/>
      <c r="J23" s="45"/>
      <c r="K23" s="45"/>
    </row>
    <row r="24" spans="2:11" x14ac:dyDescent="0.25">
      <c r="B24" s="120" t="s">
        <v>89</v>
      </c>
      <c r="C24" s="120"/>
      <c r="D24" s="120"/>
      <c r="E24" s="45"/>
      <c r="F24" s="45"/>
      <c r="G24" s="45"/>
      <c r="H24" s="45"/>
      <c r="I24" s="45"/>
      <c r="J24" s="45"/>
      <c r="K24" s="45"/>
    </row>
    <row r="25" spans="2:11" x14ac:dyDescent="0.25">
      <c r="B25" s="25" t="s">
        <v>91</v>
      </c>
      <c r="C25" s="46"/>
      <c r="D25" s="46"/>
      <c r="E25" s="45"/>
      <c r="F25" s="45"/>
      <c r="G25" s="45"/>
      <c r="H25" s="45"/>
      <c r="I25" s="45"/>
      <c r="J25" s="45"/>
      <c r="K25" s="45"/>
    </row>
    <row r="26" spans="2:11" x14ac:dyDescent="0.25">
      <c r="B26" s="25" t="s">
        <v>92</v>
      </c>
      <c r="C26" s="46"/>
      <c r="D26" s="46"/>
      <c r="E26" s="45"/>
      <c r="F26" s="45"/>
      <c r="G26" s="45"/>
      <c r="H26" s="45"/>
      <c r="I26" s="45"/>
      <c r="J26" s="45"/>
      <c r="K26" s="45"/>
    </row>
    <row r="27" spans="2:11" x14ac:dyDescent="0.25">
      <c r="B27" s="92" t="s">
        <v>95</v>
      </c>
      <c r="C27" s="93">
        <v>46146</v>
      </c>
      <c r="D27" s="93">
        <v>46148</v>
      </c>
      <c r="E27" s="45"/>
      <c r="F27" s="45"/>
      <c r="G27" s="45"/>
      <c r="H27" s="45"/>
      <c r="I27" s="45"/>
      <c r="J27" s="45"/>
      <c r="K27" s="45"/>
    </row>
    <row r="28" spans="2:11" x14ac:dyDescent="0.25">
      <c r="B28" s="92" t="s">
        <v>96</v>
      </c>
      <c r="C28" s="93">
        <v>46169</v>
      </c>
      <c r="D28" s="93">
        <v>46169</v>
      </c>
      <c r="E28" s="45"/>
      <c r="F28" s="45"/>
      <c r="G28" s="45"/>
      <c r="H28" s="45"/>
      <c r="I28" s="45"/>
      <c r="J28" s="45"/>
      <c r="K28" s="45"/>
    </row>
    <row r="29" spans="2:11" x14ac:dyDescent="0.25">
      <c r="B29" s="25" t="s">
        <v>98</v>
      </c>
      <c r="C29" s="46">
        <v>46174</v>
      </c>
      <c r="D29" s="46">
        <v>46176</v>
      </c>
      <c r="E29" s="45"/>
      <c r="F29" s="45"/>
      <c r="G29" s="45"/>
      <c r="H29" s="45"/>
      <c r="I29" s="45"/>
      <c r="J29" s="45"/>
      <c r="K29" s="45"/>
    </row>
    <row r="30" spans="2:11" x14ac:dyDescent="0.25">
      <c r="B30" s="25" t="s">
        <v>97</v>
      </c>
      <c r="C30" s="46">
        <v>46197</v>
      </c>
      <c r="D30" s="46">
        <v>46197</v>
      </c>
    </row>
    <row r="31" spans="2:11" x14ac:dyDescent="0.25">
      <c r="B31" s="120" t="s">
        <v>54</v>
      </c>
      <c r="C31" s="120"/>
      <c r="D31" s="120"/>
    </row>
    <row r="32" spans="2:11" x14ac:dyDescent="0.25">
      <c r="B32" s="49" t="s">
        <v>94</v>
      </c>
      <c r="C32" s="48">
        <v>46024</v>
      </c>
      <c r="D32" s="48">
        <v>31</v>
      </c>
    </row>
    <row r="33" spans="2:4" x14ac:dyDescent="0.25">
      <c r="B33" s="49" t="s">
        <v>92</v>
      </c>
      <c r="C33" s="48">
        <v>31</v>
      </c>
      <c r="D33" s="48">
        <v>46098</v>
      </c>
    </row>
    <row r="34" spans="2:4" x14ac:dyDescent="0.25">
      <c r="B34" s="49" t="s">
        <v>95</v>
      </c>
      <c r="C34" s="48">
        <v>46041</v>
      </c>
      <c r="D34" s="48">
        <v>46069</v>
      </c>
    </row>
    <row r="35" spans="2:4" x14ac:dyDescent="0.25">
      <c r="B35" s="97" t="s">
        <v>96</v>
      </c>
      <c r="C35" s="98">
        <v>46100</v>
      </c>
      <c r="D35" s="98">
        <v>46100</v>
      </c>
    </row>
    <row r="36" spans="2:4" x14ac:dyDescent="0.25">
      <c r="B36" s="92" t="s">
        <v>98</v>
      </c>
      <c r="C36" s="93">
        <v>46139</v>
      </c>
      <c r="D36" s="93">
        <v>46165</v>
      </c>
    </row>
    <row r="37" spans="2:4" x14ac:dyDescent="0.25">
      <c r="B37" s="94" t="s">
        <v>97</v>
      </c>
      <c r="C37" s="95">
        <v>46191</v>
      </c>
      <c r="D37" s="95">
        <v>46191</v>
      </c>
    </row>
    <row r="38" spans="2:4" x14ac:dyDescent="0.25">
      <c r="B38" s="119" t="s">
        <v>105</v>
      </c>
      <c r="C38" s="119"/>
      <c r="D38" s="119"/>
    </row>
    <row r="39" spans="2:4" x14ac:dyDescent="0.25">
      <c r="B39" s="25" t="s">
        <v>91</v>
      </c>
      <c r="C39" s="46"/>
      <c r="D39" s="46"/>
    </row>
    <row r="40" spans="2:4" x14ac:dyDescent="0.25">
      <c r="B40" s="25" t="s">
        <v>92</v>
      </c>
      <c r="C40" s="46"/>
      <c r="D40" s="46"/>
    </row>
    <row r="41" spans="2:4" x14ac:dyDescent="0.25">
      <c r="B41" s="25" t="s">
        <v>95</v>
      </c>
      <c r="C41" s="46"/>
      <c r="D41" s="46"/>
    </row>
    <row r="42" spans="2:4" x14ac:dyDescent="0.25">
      <c r="B42" s="25" t="s">
        <v>96</v>
      </c>
      <c r="C42" s="46"/>
      <c r="D42" s="46"/>
    </row>
    <row r="43" spans="2:4" x14ac:dyDescent="0.25">
      <c r="B43" s="25" t="s">
        <v>98</v>
      </c>
      <c r="C43" s="46"/>
      <c r="D43" s="46"/>
    </row>
    <row r="44" spans="2:4" x14ac:dyDescent="0.25">
      <c r="B44" s="25" t="s">
        <v>97</v>
      </c>
      <c r="C44" s="46"/>
      <c r="D44" s="46"/>
    </row>
  </sheetData>
  <mergeCells count="7">
    <mergeCell ref="F10:H10"/>
    <mergeCell ref="B38:D38"/>
    <mergeCell ref="B10:D10"/>
    <mergeCell ref="B15:D15"/>
    <mergeCell ref="B20:D20"/>
    <mergeCell ref="B24:D24"/>
    <mergeCell ref="B31:D31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6" sqref="I16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8" t="s">
        <v>18</v>
      </c>
      <c r="J3" s="121" t="s">
        <v>35</v>
      </c>
      <c r="K3" s="122"/>
    </row>
    <row r="4" spans="3:11" ht="42" x14ac:dyDescent="0.25">
      <c r="C4" s="16" t="s">
        <v>215</v>
      </c>
      <c r="D4" s="22" t="s">
        <v>215</v>
      </c>
      <c r="E4" s="22" t="s">
        <v>215</v>
      </c>
      <c r="F4" s="22" t="s">
        <v>215</v>
      </c>
      <c r="G4" s="22" t="s">
        <v>215</v>
      </c>
      <c r="H4" s="22" t="s">
        <v>215</v>
      </c>
      <c r="I4" s="17" t="s">
        <v>215</v>
      </c>
      <c r="J4" s="59"/>
      <c r="K4" s="60"/>
    </row>
    <row r="5" spans="3:11" ht="42" x14ac:dyDescent="0.25">
      <c r="C5" s="12" t="s">
        <v>19</v>
      </c>
      <c r="D5" s="18" t="s">
        <v>19</v>
      </c>
      <c r="E5" s="13" t="s">
        <v>19</v>
      </c>
      <c r="F5" s="13" t="s">
        <v>19</v>
      </c>
      <c r="G5" s="13" t="s">
        <v>19</v>
      </c>
      <c r="H5" s="13" t="s">
        <v>19</v>
      </c>
      <c r="I5" s="40" t="s">
        <v>19</v>
      </c>
      <c r="J5" s="61"/>
      <c r="K5" s="62"/>
    </row>
    <row r="6" spans="3:11" ht="58.5" x14ac:dyDescent="0.25">
      <c r="C6" s="4" t="s">
        <v>36</v>
      </c>
      <c r="D6" s="19" t="s">
        <v>20</v>
      </c>
      <c r="E6" s="2" t="s">
        <v>20</v>
      </c>
      <c r="F6" s="2" t="s">
        <v>36</v>
      </c>
      <c r="G6" s="2" t="s">
        <v>36</v>
      </c>
      <c r="H6" s="3" t="s">
        <v>170</v>
      </c>
      <c r="I6" s="41" t="s">
        <v>21</v>
      </c>
      <c r="J6" s="61"/>
      <c r="K6" s="62"/>
    </row>
    <row r="7" spans="3:11" ht="42.75" x14ac:dyDescent="0.25">
      <c r="C7" s="14" t="s">
        <v>37</v>
      </c>
      <c r="D7" s="20" t="s">
        <v>22</v>
      </c>
      <c r="E7" s="15" t="s">
        <v>22</v>
      </c>
      <c r="F7" s="15" t="s">
        <v>37</v>
      </c>
      <c r="G7" s="15" t="s">
        <v>37</v>
      </c>
      <c r="H7" s="15" t="s">
        <v>82</v>
      </c>
      <c r="I7" s="42" t="s">
        <v>172</v>
      </c>
      <c r="J7" s="61"/>
      <c r="K7" s="62"/>
    </row>
    <row r="8" spans="3:11" ht="42.75" x14ac:dyDescent="0.25">
      <c r="C8" s="5" t="s">
        <v>38</v>
      </c>
      <c r="D8" s="21" t="s">
        <v>205</v>
      </c>
      <c r="E8" s="3" t="s">
        <v>205</v>
      </c>
      <c r="F8" s="3" t="s">
        <v>38</v>
      </c>
      <c r="G8" s="3" t="s">
        <v>38</v>
      </c>
      <c r="H8" s="3" t="s">
        <v>40</v>
      </c>
      <c r="I8" s="41" t="s">
        <v>173</v>
      </c>
      <c r="J8" s="61"/>
      <c r="K8" s="62"/>
    </row>
    <row r="9" spans="3:11" ht="42.75" x14ac:dyDescent="0.25">
      <c r="C9" s="14" t="s">
        <v>39</v>
      </c>
      <c r="D9" s="20" t="s">
        <v>206</v>
      </c>
      <c r="E9" s="20" t="s">
        <v>206</v>
      </c>
      <c r="F9" s="15" t="s">
        <v>39</v>
      </c>
      <c r="G9" s="15" t="s">
        <v>39</v>
      </c>
      <c r="H9" s="15" t="s">
        <v>41</v>
      </c>
      <c r="I9" s="42" t="s">
        <v>174</v>
      </c>
      <c r="J9" s="61"/>
      <c r="K9" s="62"/>
    </row>
    <row r="10" spans="3:11" ht="42.75" x14ac:dyDescent="0.25">
      <c r="C10" s="5" t="s">
        <v>179</v>
      </c>
      <c r="D10" s="21" t="s">
        <v>207</v>
      </c>
      <c r="E10" s="21" t="s">
        <v>207</v>
      </c>
      <c r="F10" s="3" t="s">
        <v>179</v>
      </c>
      <c r="G10" s="3" t="s">
        <v>179</v>
      </c>
      <c r="H10" s="3" t="s">
        <v>169</v>
      </c>
      <c r="I10" s="41" t="s">
        <v>23</v>
      </c>
      <c r="J10" s="61"/>
      <c r="K10" s="62"/>
    </row>
    <row r="11" spans="3:11" ht="42.75" x14ac:dyDescent="0.25">
      <c r="C11" s="109" t="s">
        <v>200</v>
      </c>
      <c r="D11" s="15" t="s">
        <v>208</v>
      </c>
      <c r="E11" s="15" t="s">
        <v>208</v>
      </c>
      <c r="F11" s="15" t="s">
        <v>200</v>
      </c>
      <c r="G11" s="15" t="s">
        <v>200</v>
      </c>
      <c r="H11" s="15" t="s">
        <v>25</v>
      </c>
      <c r="I11" s="40" t="s">
        <v>24</v>
      </c>
      <c r="J11" s="61"/>
      <c r="K11" s="62"/>
    </row>
    <row r="12" spans="3:11" ht="42.75" x14ac:dyDescent="0.25">
      <c r="C12" s="5" t="s">
        <v>198</v>
      </c>
      <c r="D12" s="3" t="s">
        <v>209</v>
      </c>
      <c r="E12" s="3" t="s">
        <v>209</v>
      </c>
      <c r="F12" s="23" t="s">
        <v>198</v>
      </c>
      <c r="G12" s="23" t="s">
        <v>198</v>
      </c>
      <c r="H12" s="3" t="s">
        <v>26</v>
      </c>
      <c r="I12" s="41" t="s">
        <v>25</v>
      </c>
      <c r="J12" s="61"/>
      <c r="K12" s="62"/>
    </row>
    <row r="13" spans="3:11" ht="42.75" x14ac:dyDescent="0.25">
      <c r="C13" s="14" t="s">
        <v>25</v>
      </c>
      <c r="D13" s="20" t="s">
        <v>25</v>
      </c>
      <c r="E13" s="20" t="s">
        <v>25</v>
      </c>
      <c r="F13" s="15" t="s">
        <v>25</v>
      </c>
      <c r="G13" s="15" t="s">
        <v>25</v>
      </c>
      <c r="H13" s="15" t="s">
        <v>219</v>
      </c>
      <c r="I13" s="42" t="s">
        <v>26</v>
      </c>
      <c r="J13" s="61"/>
      <c r="K13" s="62"/>
    </row>
    <row r="14" spans="3:11" ht="42.75" x14ac:dyDescent="0.25">
      <c r="C14" s="5" t="s">
        <v>199</v>
      </c>
      <c r="D14" s="3" t="s">
        <v>199</v>
      </c>
      <c r="E14" s="3" t="s">
        <v>199</v>
      </c>
      <c r="F14" s="3" t="s">
        <v>199</v>
      </c>
      <c r="G14" s="3" t="s">
        <v>199</v>
      </c>
      <c r="H14" s="3" t="s">
        <v>220</v>
      </c>
      <c r="I14" s="110" t="s">
        <v>219</v>
      </c>
      <c r="J14" s="61"/>
      <c r="K14" s="62"/>
    </row>
    <row r="15" spans="3:11" ht="42.75" x14ac:dyDescent="0.25">
      <c r="C15" s="14" t="s">
        <v>202</v>
      </c>
      <c r="D15" s="15" t="s">
        <v>210</v>
      </c>
      <c r="E15" s="15" t="s">
        <v>210</v>
      </c>
      <c r="F15" s="15" t="s">
        <v>201</v>
      </c>
      <c r="G15" s="15" t="s">
        <v>202</v>
      </c>
      <c r="H15" s="15" t="s">
        <v>203</v>
      </c>
      <c r="I15" s="15" t="s">
        <v>220</v>
      </c>
      <c r="J15" s="61"/>
      <c r="K15" s="62"/>
    </row>
    <row r="16" spans="3:11" ht="42.75" x14ac:dyDescent="0.25">
      <c r="C16" s="5" t="s">
        <v>203</v>
      </c>
      <c r="D16" s="3" t="s">
        <v>211</v>
      </c>
      <c r="E16" s="3" t="s">
        <v>213</v>
      </c>
      <c r="F16" s="3" t="s">
        <v>27</v>
      </c>
      <c r="G16" s="3" t="s">
        <v>203</v>
      </c>
      <c r="H16" s="3" t="s">
        <v>29</v>
      </c>
      <c r="I16" s="3" t="s">
        <v>203</v>
      </c>
      <c r="J16" s="61"/>
      <c r="K16" s="62"/>
    </row>
    <row r="17" spans="2:11" ht="42.75" x14ac:dyDescent="0.25">
      <c r="C17" s="14" t="s">
        <v>29</v>
      </c>
      <c r="D17" s="15" t="s">
        <v>30</v>
      </c>
      <c r="E17" s="15" t="s">
        <v>214</v>
      </c>
      <c r="F17" s="15" t="s">
        <v>28</v>
      </c>
      <c r="G17" s="15" t="s">
        <v>29</v>
      </c>
      <c r="H17" s="10"/>
      <c r="I17" s="15" t="s">
        <v>29</v>
      </c>
      <c r="J17" s="61"/>
      <c r="K17" s="62"/>
    </row>
    <row r="18" spans="2:11" ht="42.75" x14ac:dyDescent="0.25">
      <c r="C18" s="9"/>
      <c r="D18" s="3" t="s">
        <v>31</v>
      </c>
      <c r="E18" s="3" t="s">
        <v>171</v>
      </c>
      <c r="F18" s="3" t="s">
        <v>30</v>
      </c>
      <c r="G18" s="10"/>
      <c r="H18" s="10"/>
      <c r="I18" s="43"/>
      <c r="J18" s="61"/>
      <c r="K18" s="62"/>
    </row>
    <row r="19" spans="2:11" ht="63" customHeight="1" x14ac:dyDescent="0.25">
      <c r="C19" s="9"/>
      <c r="D19" s="15" t="s">
        <v>32</v>
      </c>
      <c r="E19" s="10"/>
      <c r="F19" s="15" t="s">
        <v>31</v>
      </c>
      <c r="G19" s="10"/>
      <c r="H19" s="10"/>
      <c r="I19" s="11"/>
      <c r="J19" s="61"/>
      <c r="K19" s="62"/>
    </row>
    <row r="20" spans="2:11" ht="66.75" customHeight="1" thickBot="1" x14ac:dyDescent="0.3">
      <c r="C20" s="9"/>
      <c r="D20" s="10"/>
      <c r="E20" s="10"/>
      <c r="F20" s="53" t="s">
        <v>32</v>
      </c>
      <c r="G20" s="10"/>
      <c r="H20" s="10"/>
      <c r="I20" s="10"/>
      <c r="J20" s="61"/>
      <c r="K20" s="62"/>
    </row>
    <row r="21" spans="2:11" ht="21" x14ac:dyDescent="0.25">
      <c r="B21" s="111" t="s">
        <v>0</v>
      </c>
      <c r="C21" s="71" t="str">
        <f>ROUND(3,3)&amp;" (3h)"</f>
        <v>3 (3h)</v>
      </c>
      <c r="D21" s="54" t="str">
        <f>ROUND(2,3)&amp;" (2h)"</f>
        <v>2 (2h)</v>
      </c>
      <c r="E21" s="54" t="str">
        <f>ROUND(2,3)&amp;" (2h)"</f>
        <v>2 (2h)</v>
      </c>
      <c r="F21" s="54" t="str">
        <f>ROUND(3,3)&amp;" (3h)"</f>
        <v>3 (3h)</v>
      </c>
      <c r="G21" s="54" t="str">
        <f>ROUND(3,3)&amp;" (3h)"</f>
        <v>3 (3h)</v>
      </c>
      <c r="H21" s="54" t="str">
        <f>ROUND(4,3)&amp;" (4h)"</f>
        <v>4 (4h)</v>
      </c>
      <c r="I21" s="64" t="str">
        <f>ROUND(4,3)&amp;" (4h)"</f>
        <v>4 (4h)</v>
      </c>
      <c r="J21" s="67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5" t="str">
        <f t="shared" ref="K21" si="1">ROUNDDOWN(J21,0)&amp;"h"&amp;ROUND((J21-ROUNDDOWN(J21,0))*60,0)</f>
        <v>21h0</v>
      </c>
    </row>
    <row r="22" spans="2:11" ht="21" x14ac:dyDescent="0.25">
      <c r="B22" s="112" t="s">
        <v>2</v>
      </c>
      <c r="C22" s="72" t="str">
        <f>ROUND(95/60,3)&amp;" (1h35)"</f>
        <v>1,583 (1h35)</v>
      </c>
      <c r="D22" s="52" t="str">
        <f>ROUND(50/60,3)&amp;" (0h50)"</f>
        <v>0,833 (0h50)</v>
      </c>
      <c r="E22" s="52" t="str">
        <f>ROUND(50/60,3)&amp;" (0h55)"</f>
        <v>0,833 (0h55)</v>
      </c>
      <c r="F22" s="52" t="str">
        <f>ROUND(95/60,3)&amp;" (1h35)"</f>
        <v>1,583 (1h35)</v>
      </c>
      <c r="G22" s="52" t="str">
        <f t="shared" ref="G22" si="2">ROUND(95/60,3)&amp;" (1h35)"</f>
        <v>1,583 (1h35)</v>
      </c>
      <c r="H22" s="52" t="str">
        <f>ROUND(0,3)&amp;" (0h)"</f>
        <v>0 (0h)</v>
      </c>
      <c r="I22" s="65" t="str">
        <f>ROUND(0,3)&amp;" (0h)"</f>
        <v>0 (0h)</v>
      </c>
      <c r="J22" s="68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6" t="str">
        <f>ROUNDDOWN(J22,0)&amp;"h"&amp;ROUND((J22-ROUNDDOWN(J22,0))*60,0)</f>
        <v>6h25</v>
      </c>
    </row>
    <row r="23" spans="2:11" ht="21" x14ac:dyDescent="0.25">
      <c r="B23" s="112" t="s">
        <v>212</v>
      </c>
      <c r="C23" s="72" t="str">
        <f>ROUND(3,3)&amp;" (3h)"</f>
        <v>3 (3h)</v>
      </c>
      <c r="D23" s="72" t="str">
        <f>ROUND(5.5,3)&amp;" (5h30)"</f>
        <v>5,5 (5h30)</v>
      </c>
      <c r="E23" s="72" t="str">
        <f>ROUND(5.5,3)&amp;" (5h30)"</f>
        <v>5,5 (5h30)</v>
      </c>
      <c r="F23" s="72" t="str">
        <f>ROUND(3,3)&amp;" (3h)"</f>
        <v>3 (3h)</v>
      </c>
      <c r="G23" s="72" t="str">
        <f>ROUND(3,3)&amp;" (3h)"</f>
        <v>3 (3h)</v>
      </c>
      <c r="H23" s="72" t="str">
        <f t="shared" ref="C23:I28" si="3">ROUND(0,3)&amp;" (0h)"</f>
        <v>0 (0h)</v>
      </c>
      <c r="I23" s="72" t="str">
        <f t="shared" si="3"/>
        <v>0 (0h)</v>
      </c>
      <c r="J23" s="68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6" t="str">
        <f>ROUNDDOWN(J23,0)&amp;"h"&amp;ROUND((J23-ROUNDDOWN(J23,0))*60,0)</f>
        <v>20h0</v>
      </c>
    </row>
    <row r="24" spans="2:11" ht="21" x14ac:dyDescent="0.25">
      <c r="B24" s="112" t="s">
        <v>3</v>
      </c>
      <c r="C24" s="72" t="str">
        <f t="shared" si="3"/>
        <v>0 (0h)</v>
      </c>
      <c r="D24" s="52" t="str">
        <f t="shared" si="3"/>
        <v>0 (0h)</v>
      </c>
      <c r="E24" s="52" t="str">
        <f t="shared" si="3"/>
        <v>0 (0h)</v>
      </c>
      <c r="F24" s="52" t="str">
        <f t="shared" si="3"/>
        <v>0 (0h)</v>
      </c>
      <c r="G24" s="52" t="str">
        <f t="shared" si="3"/>
        <v>0 (0h)</v>
      </c>
      <c r="H24" s="52" t="str">
        <f>ROUND(2,3)&amp;" (2h)"</f>
        <v>2 (2h)</v>
      </c>
      <c r="I24" s="65" t="str">
        <f>ROUND(1,3)&amp;" (1h)"</f>
        <v>1 (1h)</v>
      </c>
      <c r="J24" s="68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6" t="str">
        <f>ROUNDDOWN(J24,0)&amp;"h"&amp;ROUND((J24-ROUNDDOWN(J24,0))*60,0)</f>
        <v>3h0</v>
      </c>
    </row>
    <row r="25" spans="2:11" ht="21" x14ac:dyDescent="0.25">
      <c r="B25" s="112" t="s">
        <v>221</v>
      </c>
      <c r="C25" s="72" t="str">
        <f t="shared" si="3"/>
        <v>0 (0h)</v>
      </c>
      <c r="D25" s="52" t="str">
        <f>ROUND(2.5,3)&amp;" (2h30)"</f>
        <v>2,5 (2h30)</v>
      </c>
      <c r="E25" s="52" t="str">
        <f t="shared" si="3"/>
        <v>0 (0h)</v>
      </c>
      <c r="F25" s="52" t="str">
        <f>ROUND(2.5,3)&amp;" (2h30)"</f>
        <v>2,5 (2h30)</v>
      </c>
      <c r="G25" s="52" t="str">
        <f t="shared" si="3"/>
        <v>0 (0h)</v>
      </c>
      <c r="H25" s="52" t="str">
        <f t="shared" si="3"/>
        <v>0 (0h)</v>
      </c>
      <c r="I25" s="65" t="str">
        <f>ROUND(1.5,3)&amp;" (1h30)"</f>
        <v>1,5 (1h30)</v>
      </c>
      <c r="J25" s="68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6" t="str">
        <f>ROUNDDOWN(J25,0)&amp;"h"&amp;ROUND((J25-ROUNDDOWN(J25,0))*60,0)</f>
        <v>6h30</v>
      </c>
    </row>
    <row r="26" spans="2:11" ht="21" x14ac:dyDescent="0.25">
      <c r="B26" s="112" t="s">
        <v>10</v>
      </c>
      <c r="C26" s="72" t="str">
        <f t="shared" si="3"/>
        <v>0 (0h)</v>
      </c>
      <c r="D26" s="52" t="str">
        <f t="shared" si="3"/>
        <v>0 (0h)</v>
      </c>
      <c r="E26" s="52" t="str">
        <f t="shared" si="3"/>
        <v>0 (0h)</v>
      </c>
      <c r="F26" s="52" t="str">
        <f t="shared" si="3"/>
        <v>0 (0h)</v>
      </c>
      <c r="G26" s="52" t="str">
        <f t="shared" si="3"/>
        <v>0 (0h)</v>
      </c>
      <c r="H26" s="52" t="str">
        <f>ROUND(2,3)&amp;" (2h)"</f>
        <v>2 (2h)</v>
      </c>
      <c r="I26" s="65" t="str">
        <f>ROUND(2,3)&amp;" (2h)"</f>
        <v>2 (2h)</v>
      </c>
      <c r="J26" s="68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6" t="str">
        <f t="shared" ref="K26:K27" si="5">ROUNDDOWN(J26,0)&amp;"h"&amp;ROUND((J26-ROUNDDOWN(J26,0))*60,0)</f>
        <v>4h0</v>
      </c>
    </row>
    <row r="27" spans="2:11" ht="21" x14ac:dyDescent="0.25">
      <c r="B27" s="112" t="s">
        <v>34</v>
      </c>
      <c r="C27" s="72" t="str">
        <f>ROUND(3,3)&amp;" (3h)"</f>
        <v>3 (3h)</v>
      </c>
      <c r="D27" s="52" t="str">
        <f>ROUND(0,3)&amp;" (0h)"</f>
        <v>0 (0h)</v>
      </c>
      <c r="E27" s="52" t="str">
        <f>ROUND(0,3)&amp;" (0h)"</f>
        <v>0 (0h)</v>
      </c>
      <c r="F27" s="52" t="str">
        <f>ROUND(2.5,3)&amp;" (2h30)"</f>
        <v>2,5 (2h30)</v>
      </c>
      <c r="G27" s="72" t="str">
        <f>ROUND(3,3)&amp;" (3h)"</f>
        <v>3 (3h)</v>
      </c>
      <c r="H27" s="52" t="str">
        <f>ROUND(125/60,3)&amp;" (2h5)"</f>
        <v>2,083 (2h5)</v>
      </c>
      <c r="I27" s="65" t="str">
        <f>ROUND(0,3)&amp;" (0h)"</f>
        <v>0 (0h)</v>
      </c>
      <c r="J27" s="68">
        <f t="shared" si="4"/>
        <v>10.583</v>
      </c>
      <c r="K27" s="56" t="str">
        <f t="shared" si="5"/>
        <v>10h35</v>
      </c>
    </row>
    <row r="28" spans="2:11" ht="21" x14ac:dyDescent="0.25">
      <c r="B28" s="113" t="s">
        <v>107</v>
      </c>
      <c r="C28" s="72" t="str">
        <f>ROUND(2,3)&amp;" (2h)"</f>
        <v>2 (2h)</v>
      </c>
      <c r="D28" s="52" t="str">
        <f>ROUND(0,3)&amp;" (0h)"</f>
        <v>0 (0h)</v>
      </c>
      <c r="E28" s="52" t="str">
        <f>ROUND(1.5,3)&amp;" (1h30)"</f>
        <v>1,5 (1h30)</v>
      </c>
      <c r="F28" s="52" t="str">
        <f t="shared" si="3"/>
        <v>0 (0h)</v>
      </c>
      <c r="G28" s="52" t="str">
        <f>ROUND(2,3)&amp;" (2h)"</f>
        <v>2 (2h)</v>
      </c>
      <c r="H28" s="52" t="str">
        <f>ROUND(3.5,3)&amp;" (3h30)"</f>
        <v>3,5 (3h30)</v>
      </c>
      <c r="I28" s="52" t="str">
        <f>ROUND(3.5,3)&amp;" (3h30)"</f>
        <v>3,5 (3h30)</v>
      </c>
      <c r="J28" s="69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3" t="str">
        <f>ROUNDDOWN(J28,0)&amp;"h"&amp;ROUND((J28-ROUNDDOWN(J28,0))*60,0)</f>
        <v>12h30</v>
      </c>
    </row>
    <row r="29" spans="2:11" ht="21.75" thickBot="1" x14ac:dyDescent="0.3">
      <c r="B29" s="114" t="s">
        <v>204</v>
      </c>
      <c r="C29" s="73" t="str">
        <f>ROUND(7.5,3)&amp;" (7h30)"</f>
        <v>7,5 (7h30)</v>
      </c>
      <c r="D29" s="57" t="str">
        <f t="shared" ref="D29:I29" si="6">ROUND(7.5,3)&amp;" (7h30)"</f>
        <v>7,5 (7h30)</v>
      </c>
      <c r="E29" s="57" t="str">
        <f t="shared" si="6"/>
        <v>7,5 (7h30)</v>
      </c>
      <c r="F29" s="57" t="str">
        <f t="shared" si="6"/>
        <v>7,5 (7h30)</v>
      </c>
      <c r="G29" s="57" t="str">
        <f t="shared" si="6"/>
        <v>7,5 (7h30)</v>
      </c>
      <c r="H29" s="57" t="str">
        <f t="shared" si="6"/>
        <v>7,5 (7h30)</v>
      </c>
      <c r="I29" s="66" t="str">
        <f t="shared" si="6"/>
        <v>7,5 (7h30)</v>
      </c>
      <c r="J29" s="70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8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8"/>
  <sheetViews>
    <sheetView topLeftCell="B1"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4" t="s">
        <v>109</v>
      </c>
      <c r="C2" s="74" t="s">
        <v>110</v>
      </c>
      <c r="D2" s="74" t="s">
        <v>111</v>
      </c>
      <c r="E2" s="74" t="s">
        <v>112</v>
      </c>
      <c r="F2" s="74" t="s">
        <v>113</v>
      </c>
      <c r="G2" s="74" t="s">
        <v>152</v>
      </c>
    </row>
    <row r="3" spans="2:7" x14ac:dyDescent="0.25">
      <c r="B3" s="75" t="s">
        <v>117</v>
      </c>
      <c r="C3" s="75">
        <v>4</v>
      </c>
      <c r="D3" s="76">
        <v>46116</v>
      </c>
      <c r="E3" s="75">
        <v>1</v>
      </c>
      <c r="F3" s="75">
        <f ca="1">C3 + MAX(0, (30-_xlfn.DAYS(D3, TODAY()))) + (10-E3)</f>
        <v>39</v>
      </c>
      <c r="G3" s="86"/>
    </row>
    <row r="4" spans="2:7" x14ac:dyDescent="0.25">
      <c r="B4" s="75" t="s">
        <v>167</v>
      </c>
      <c r="C4" s="77">
        <v>3</v>
      </c>
      <c r="D4" s="76">
        <v>46116</v>
      </c>
      <c r="E4" s="77">
        <v>0</v>
      </c>
      <c r="F4" s="75">
        <f ca="1">C4 + MAX(0, (30-_xlfn.DAYS(D4, TODAY()))) + (10-E4)</f>
        <v>39</v>
      </c>
      <c r="G4" s="86"/>
    </row>
    <row r="5" spans="2:7" x14ac:dyDescent="0.25">
      <c r="B5" s="75" t="s">
        <v>116</v>
      </c>
      <c r="C5" s="75">
        <v>4</v>
      </c>
      <c r="D5" s="76">
        <v>46116</v>
      </c>
      <c r="E5" s="75">
        <v>3</v>
      </c>
      <c r="F5" s="75">
        <f ca="1">C5 + MAX(0, (30-_xlfn.DAYS(D5, TODAY()))) + (10-E5)</f>
        <v>37</v>
      </c>
      <c r="G5" s="86"/>
    </row>
    <row r="6" spans="2:7" x14ac:dyDescent="0.25">
      <c r="B6" s="75" t="s">
        <v>151</v>
      </c>
      <c r="C6" s="77">
        <v>3</v>
      </c>
      <c r="D6" s="76">
        <v>46116</v>
      </c>
      <c r="E6" s="77">
        <v>3</v>
      </c>
      <c r="F6" s="75">
        <f ca="1">C6 + MAX(0, (30-_xlfn.DAYS(D6, TODAY()))) + (10-E6)</f>
        <v>36</v>
      </c>
      <c r="G6" s="86"/>
    </row>
    <row r="7" spans="2:7" x14ac:dyDescent="0.25">
      <c r="B7" s="75" t="s">
        <v>125</v>
      </c>
      <c r="C7" s="75">
        <v>3</v>
      </c>
      <c r="D7" s="76">
        <v>46116</v>
      </c>
      <c r="E7" s="75">
        <v>3</v>
      </c>
      <c r="F7" s="75">
        <f ca="1">C7 + MAX(0, (30-_xlfn.DAYS(D7, TODAY()))) + (10-E7)</f>
        <v>36</v>
      </c>
      <c r="G7" s="86"/>
    </row>
    <row r="8" spans="2:7" x14ac:dyDescent="0.25">
      <c r="B8" s="75" t="s">
        <v>119</v>
      </c>
      <c r="C8" s="75">
        <v>3</v>
      </c>
      <c r="D8" s="76">
        <v>46123</v>
      </c>
      <c r="E8" s="75">
        <v>0</v>
      </c>
      <c r="F8" s="75">
        <f ca="1">C8 + MAX(0, (30-_xlfn.DAYS(D8, TODAY()))) + (10-E8)</f>
        <v>32</v>
      </c>
      <c r="G8" s="86"/>
    </row>
    <row r="9" spans="2:7" x14ac:dyDescent="0.25">
      <c r="B9" s="75" t="s">
        <v>122</v>
      </c>
      <c r="C9" s="75">
        <v>3</v>
      </c>
      <c r="D9" s="76">
        <v>46123</v>
      </c>
      <c r="E9" s="75">
        <v>0</v>
      </c>
      <c r="F9" s="75">
        <f ca="1">C9 + MAX(0, (30-_xlfn.DAYS(D9, TODAY()))) + (10-E9)</f>
        <v>32</v>
      </c>
      <c r="G9" s="86"/>
    </row>
    <row r="10" spans="2:7" x14ac:dyDescent="0.25">
      <c r="B10" s="75" t="s">
        <v>118</v>
      </c>
      <c r="C10" s="75">
        <v>2</v>
      </c>
      <c r="D10" s="76">
        <v>46123</v>
      </c>
      <c r="E10" s="75">
        <v>0</v>
      </c>
      <c r="F10" s="75">
        <f ca="1">C10 + MAX(0, (30-_xlfn.DAYS(D10, TODAY()))) + (10-E10)</f>
        <v>31</v>
      </c>
      <c r="G10" s="86"/>
    </row>
    <row r="11" spans="2:7" x14ac:dyDescent="0.25">
      <c r="B11" s="75" t="s">
        <v>121</v>
      </c>
      <c r="C11" s="75">
        <v>3</v>
      </c>
      <c r="D11" s="76">
        <v>46130</v>
      </c>
      <c r="E11" s="75">
        <v>0</v>
      </c>
      <c r="F11" s="75">
        <f ca="1">C11 + MAX(0, (30-_xlfn.DAYS(D11, TODAY()))) + (10-E11)</f>
        <v>25</v>
      </c>
      <c r="G11" s="86"/>
    </row>
    <row r="12" spans="2:7" x14ac:dyDescent="0.25">
      <c r="B12" s="75" t="s">
        <v>124</v>
      </c>
      <c r="C12" s="75">
        <v>3</v>
      </c>
      <c r="D12" s="76">
        <v>46137</v>
      </c>
      <c r="E12" s="75">
        <v>0</v>
      </c>
      <c r="F12" s="75">
        <f ca="1">C12 + MAX(0, (30-_xlfn.DAYS(D12, TODAY()))) + (10-E12)</f>
        <v>18</v>
      </c>
      <c r="G12" s="86"/>
    </row>
    <row r="13" spans="2:7" x14ac:dyDescent="0.25">
      <c r="B13" s="75" t="s">
        <v>127</v>
      </c>
      <c r="C13" s="75">
        <v>3</v>
      </c>
      <c r="D13" s="76">
        <v>46137</v>
      </c>
      <c r="E13" s="75">
        <v>0</v>
      </c>
      <c r="F13" s="75">
        <f ca="1">C13 + MAX(0, (30-_xlfn.DAYS(D13, TODAY()))) + (10-E13)</f>
        <v>18</v>
      </c>
      <c r="G13" s="86"/>
    </row>
    <row r="14" spans="2:7" x14ac:dyDescent="0.25">
      <c r="B14" s="75" t="s">
        <v>165</v>
      </c>
      <c r="C14" s="77">
        <v>3</v>
      </c>
      <c r="D14" s="76">
        <v>46137</v>
      </c>
      <c r="E14" s="77">
        <v>0</v>
      </c>
      <c r="F14" s="75">
        <f ca="1">C14 + MAX(0, (30-_xlfn.DAYS(D14, TODAY()))) + (10-E14)</f>
        <v>18</v>
      </c>
      <c r="G14" s="86"/>
    </row>
    <row r="15" spans="2:7" x14ac:dyDescent="0.25">
      <c r="B15" s="75" t="s">
        <v>114</v>
      </c>
      <c r="C15" s="75">
        <v>2</v>
      </c>
      <c r="D15" s="76">
        <v>46137</v>
      </c>
      <c r="E15" s="75">
        <v>0</v>
      </c>
      <c r="F15" s="75">
        <f ca="1">C15 + MAX(0, (30-_xlfn.DAYS(D15, TODAY()))) + (10-E15)</f>
        <v>17</v>
      </c>
      <c r="G15" s="86"/>
    </row>
    <row r="16" spans="2:7" x14ac:dyDescent="0.25">
      <c r="B16" s="75" t="s">
        <v>126</v>
      </c>
      <c r="C16" s="75">
        <v>2</v>
      </c>
      <c r="D16" s="76">
        <v>46137</v>
      </c>
      <c r="E16" s="75">
        <v>0</v>
      </c>
      <c r="F16" s="75">
        <f ca="1">C16 + MAX(0, (30-_xlfn.DAYS(D16, TODAY()))) + (10-E16)</f>
        <v>17</v>
      </c>
      <c r="G16" s="86"/>
    </row>
    <row r="17" spans="2:7" x14ac:dyDescent="0.25">
      <c r="B17" s="75" t="s">
        <v>128</v>
      </c>
      <c r="C17" s="75">
        <v>1</v>
      </c>
      <c r="D17" s="76">
        <v>46137</v>
      </c>
      <c r="E17" s="75">
        <v>0</v>
      </c>
      <c r="F17" s="75">
        <f ca="1">C17 + MAX(0, (30-_xlfn.DAYS(D17, TODAY()))) + (10-E17)</f>
        <v>16</v>
      </c>
      <c r="G17" s="86"/>
    </row>
    <row r="18" spans="2:7" x14ac:dyDescent="0.25">
      <c r="B18" s="75" t="s">
        <v>129</v>
      </c>
      <c r="C18" s="75">
        <v>1</v>
      </c>
      <c r="D18" s="76">
        <v>46137</v>
      </c>
      <c r="E18" s="75">
        <v>0</v>
      </c>
      <c r="F18" s="75">
        <f ca="1">C18 + MAX(0, (30-_xlfn.DAYS(D18, TODAY()))) + (10-E18)</f>
        <v>16</v>
      </c>
      <c r="G18" s="86"/>
    </row>
    <row r="19" spans="2:7" x14ac:dyDescent="0.25">
      <c r="B19" s="75" t="s">
        <v>130</v>
      </c>
      <c r="C19" s="75">
        <v>1</v>
      </c>
      <c r="D19" s="76">
        <v>46137</v>
      </c>
      <c r="E19" s="75">
        <v>0</v>
      </c>
      <c r="F19" s="75">
        <f ca="1">C19 + MAX(0, (30-_xlfn.DAYS(D19, TODAY()))) + (10-E19)</f>
        <v>16</v>
      </c>
      <c r="G19" s="86"/>
    </row>
    <row r="20" spans="2:7" x14ac:dyDescent="0.25">
      <c r="B20" s="75" t="s">
        <v>166</v>
      </c>
      <c r="C20" s="77">
        <v>3</v>
      </c>
      <c r="D20" s="76">
        <v>46144</v>
      </c>
      <c r="E20" s="77">
        <v>0</v>
      </c>
      <c r="F20" s="75">
        <f ca="1">C20 + MAX(0, (30-_xlfn.DAYS(D20, TODAY()))) + (10-E20)</f>
        <v>13</v>
      </c>
      <c r="G20" s="86"/>
    </row>
    <row r="21" spans="2:7" x14ac:dyDescent="0.25">
      <c r="B21" s="75" t="s">
        <v>135</v>
      </c>
      <c r="C21" s="75">
        <v>3</v>
      </c>
      <c r="D21" s="76">
        <v>46144</v>
      </c>
      <c r="E21" s="75">
        <v>0</v>
      </c>
      <c r="F21" s="75">
        <f ca="1">C21 + MAX(0, (30-_xlfn.DAYS(D21, TODAY()))) + (10-E21)</f>
        <v>13</v>
      </c>
      <c r="G21" s="86"/>
    </row>
    <row r="22" spans="2:7" x14ac:dyDescent="0.25">
      <c r="B22" s="75" t="s">
        <v>115</v>
      </c>
      <c r="C22" s="75">
        <v>2</v>
      </c>
      <c r="D22" s="76">
        <v>46137</v>
      </c>
      <c r="E22" s="75">
        <v>4</v>
      </c>
      <c r="F22" s="75">
        <f ca="1">C22 + MAX(0, (30-_xlfn.DAYS(D22, TODAY()))) + (10-E22)</f>
        <v>13</v>
      </c>
      <c r="G22" s="86"/>
    </row>
    <row r="23" spans="2:7" x14ac:dyDescent="0.25">
      <c r="B23" s="75" t="s">
        <v>120</v>
      </c>
      <c r="C23" s="75">
        <v>2</v>
      </c>
      <c r="D23" s="76">
        <v>46144</v>
      </c>
      <c r="E23" s="75">
        <v>0</v>
      </c>
      <c r="F23" s="75">
        <f ca="1">C23 + MAX(0, (30-_xlfn.DAYS(D23, TODAY()))) + (10-E23)</f>
        <v>12</v>
      </c>
      <c r="G23" s="86"/>
    </row>
    <row r="24" spans="2:7" x14ac:dyDescent="0.25">
      <c r="B24" s="75" t="s">
        <v>131</v>
      </c>
      <c r="C24" s="77">
        <v>1</v>
      </c>
      <c r="D24" s="76">
        <v>46143</v>
      </c>
      <c r="E24" s="77">
        <v>0</v>
      </c>
      <c r="F24" s="75">
        <f ca="1">C24 + MAX(0, (30-_xlfn.DAYS(D24, TODAY()))) + (10-E24)</f>
        <v>11</v>
      </c>
      <c r="G24" s="86"/>
    </row>
    <row r="25" spans="2:7" x14ac:dyDescent="0.25">
      <c r="B25" s="75" t="s">
        <v>132</v>
      </c>
      <c r="C25" s="77">
        <v>1</v>
      </c>
      <c r="D25" s="76">
        <v>46143</v>
      </c>
      <c r="E25" s="77">
        <v>0</v>
      </c>
      <c r="F25" s="75">
        <f ca="1">C25 + MAX(0, (30-_xlfn.DAYS(D25, TODAY()))) + (10-E25)</f>
        <v>11</v>
      </c>
      <c r="G25" s="86"/>
    </row>
    <row r="26" spans="2:7" x14ac:dyDescent="0.25">
      <c r="B26" s="75" t="s">
        <v>133</v>
      </c>
      <c r="C26" s="77">
        <v>1</v>
      </c>
      <c r="D26" s="76">
        <v>46143</v>
      </c>
      <c r="E26" s="77">
        <v>0</v>
      </c>
      <c r="F26" s="75">
        <f ca="1">C26 + MAX(0, (30-_xlfn.DAYS(D26, TODAY()))) + (10-E26)</f>
        <v>11</v>
      </c>
      <c r="G26" s="86"/>
    </row>
    <row r="27" spans="2:7" x14ac:dyDescent="0.25">
      <c r="B27" s="75" t="s">
        <v>134</v>
      </c>
      <c r="C27" s="77">
        <v>1</v>
      </c>
      <c r="D27" s="76">
        <v>46143</v>
      </c>
      <c r="E27" s="77">
        <v>0</v>
      </c>
      <c r="F27" s="75">
        <f ca="1">C27 + MAX(0, (30-_xlfn.DAYS(D27, TODAY()))) + (10-E27)</f>
        <v>11</v>
      </c>
      <c r="G27" s="86"/>
    </row>
    <row r="28" spans="2:7" x14ac:dyDescent="0.25">
      <c r="B28" s="75" t="s">
        <v>123</v>
      </c>
      <c r="C28" s="75">
        <v>1</v>
      </c>
      <c r="D28" s="76">
        <v>46143</v>
      </c>
      <c r="E28" s="75">
        <v>0</v>
      </c>
      <c r="F28" s="75">
        <f ca="1">C28 + MAX(0, (30-_xlfn.DAYS(D28, TODAY()))) + (10-E28)</f>
        <v>11</v>
      </c>
      <c r="G28" s="86"/>
    </row>
  </sheetData>
  <conditionalFormatting sqref="F3:G2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1"/>
  <sheetViews>
    <sheetView tabSelected="1" zoomScale="108" workbookViewId="0">
      <pane xSplit="2" ySplit="4" topLeftCell="CH5" activePane="bottomRight" state="frozen"/>
      <selection pane="topRight" activeCell="C1" sqref="C1"/>
      <selection pane="bottomLeft" activeCell="A5" sqref="A5"/>
      <selection pane="bottomRight" activeCell="CO10" sqref="CO10"/>
    </sheetView>
  </sheetViews>
  <sheetFormatPr defaultColWidth="13.7109375" defaultRowHeight="15" x14ac:dyDescent="0.25"/>
  <cols>
    <col min="2" max="2" width="19.5703125" bestFit="1" customWidth="1"/>
    <col min="3" max="3" width="18" bestFit="1" customWidth="1"/>
  </cols>
  <sheetData>
    <row r="2" spans="1:367" x14ac:dyDescent="0.25">
      <c r="C2" s="123" t="str">
        <f>"Week "&amp;ROUNDDOWN(C4/7,0)+1</f>
        <v>Week 1</v>
      </c>
      <c r="D2" s="124"/>
      <c r="E2" s="124"/>
      <c r="F2" s="124"/>
      <c r="G2" s="124"/>
      <c r="H2" s="124"/>
      <c r="I2" s="124"/>
      <c r="J2" s="123" t="str">
        <f>"Week "&amp;ROUNDDOWN(J4/7,0)+1</f>
        <v>Week 2</v>
      </c>
      <c r="K2" s="124"/>
      <c r="L2" s="124"/>
      <c r="M2" s="124"/>
      <c r="N2" s="124"/>
      <c r="O2" s="124"/>
      <c r="P2" s="124"/>
      <c r="Q2" s="123" t="str">
        <f>"Week "&amp;ROUNDDOWN(Q4/7,0)+1</f>
        <v>Week 3</v>
      </c>
      <c r="R2" s="124"/>
      <c r="S2" s="124"/>
      <c r="T2" s="124"/>
      <c r="U2" s="124"/>
      <c r="V2" s="124"/>
      <c r="W2" s="124"/>
      <c r="X2" s="123" t="str">
        <f>"Week "&amp;ROUNDDOWN(X4/7,0)+1</f>
        <v>Week 4</v>
      </c>
      <c r="Y2" s="124"/>
      <c r="Z2" s="124"/>
      <c r="AA2" s="124"/>
      <c r="AB2" s="124"/>
      <c r="AC2" s="124"/>
      <c r="AD2" s="124"/>
      <c r="AE2" s="123" t="str">
        <f>"Week "&amp;ROUNDDOWN(AE4/7,0)+1</f>
        <v>Week 5</v>
      </c>
      <c r="AF2" s="124"/>
      <c r="AG2" s="124"/>
      <c r="AH2" s="124"/>
      <c r="AI2" s="124"/>
      <c r="AJ2" s="124"/>
      <c r="AK2" s="124"/>
      <c r="AL2" s="123" t="str">
        <f>"Week "&amp;ROUNDDOWN(AL4/7,0)+1</f>
        <v>Week 6</v>
      </c>
      <c r="AM2" s="124"/>
      <c r="AN2" s="124"/>
      <c r="AO2" s="124"/>
      <c r="AP2" s="124"/>
      <c r="AQ2" s="124"/>
      <c r="AR2" s="124"/>
      <c r="AS2" s="123" t="str">
        <f>"Week "&amp;ROUNDDOWN(AS4/7,0)+1</f>
        <v>Week 7</v>
      </c>
      <c r="AT2" s="124"/>
      <c r="AU2" s="124"/>
      <c r="AV2" s="124"/>
      <c r="AW2" s="124"/>
      <c r="AX2" s="124"/>
      <c r="AY2" s="124"/>
      <c r="AZ2" s="123" t="str">
        <f>"Week "&amp;ROUNDDOWN(AZ4/7,0)+1</f>
        <v>Week 8</v>
      </c>
      <c r="BA2" s="124"/>
      <c r="BB2" s="124"/>
      <c r="BC2" s="124"/>
      <c r="BD2" s="124"/>
      <c r="BE2" s="124"/>
      <c r="BF2" s="124"/>
      <c r="BG2" s="123" t="str">
        <f>"Week "&amp;ROUNDDOWN(BG4/7,0)+1</f>
        <v>Week 9</v>
      </c>
      <c r="BH2" s="124"/>
      <c r="BI2" s="124"/>
      <c r="BJ2" s="124"/>
      <c r="BK2" s="124"/>
      <c r="BL2" s="124"/>
      <c r="BM2" s="124"/>
      <c r="BN2" s="123" t="str">
        <f>"Week "&amp;ROUNDDOWN(BN4/7,0)+1</f>
        <v>Week 10</v>
      </c>
      <c r="BO2" s="124"/>
      <c r="BP2" s="124"/>
      <c r="BQ2" s="124"/>
      <c r="BR2" s="124"/>
      <c r="BS2" s="124"/>
      <c r="BT2" s="124"/>
      <c r="BU2" s="123" t="str">
        <f>"Week "&amp;ROUNDDOWN(BU4/7,0)+1</f>
        <v>Week 11</v>
      </c>
      <c r="BV2" s="124"/>
      <c r="BW2" s="124"/>
      <c r="BX2" s="124"/>
      <c r="BY2" s="124"/>
      <c r="BZ2" s="124"/>
      <c r="CA2" s="124"/>
      <c r="CB2" s="123" t="str">
        <f>"Week "&amp;ROUNDDOWN(CB4/7,0)+1</f>
        <v>Week 12</v>
      </c>
      <c r="CC2" s="124"/>
      <c r="CD2" s="124"/>
      <c r="CE2" s="124"/>
      <c r="CF2" s="124"/>
      <c r="CG2" s="124"/>
      <c r="CH2" s="124"/>
      <c r="CI2" s="123" t="str">
        <f>"Week "&amp;ROUNDDOWN(CI4/7,0)+1</f>
        <v>Week 13</v>
      </c>
      <c r="CJ2" s="124"/>
      <c r="CK2" s="124"/>
      <c r="CL2" s="124"/>
      <c r="CM2" s="124"/>
      <c r="CN2" s="124"/>
      <c r="CO2" s="124"/>
      <c r="CP2" s="123" t="str">
        <f>"Week "&amp;ROUNDDOWN(CP4/7,0)+1</f>
        <v>Week 14</v>
      </c>
      <c r="CQ2" s="124"/>
      <c r="CR2" s="124"/>
      <c r="CS2" s="124"/>
      <c r="CT2" s="124"/>
      <c r="CU2" s="124"/>
      <c r="CV2" s="124"/>
      <c r="CW2" s="123" t="str">
        <f>"Week "&amp;ROUNDDOWN(CW4/7,0)+1</f>
        <v>Week 15</v>
      </c>
      <c r="CX2" s="124"/>
      <c r="CY2" s="124"/>
      <c r="CZ2" s="124"/>
      <c r="DA2" s="124"/>
      <c r="DB2" s="124"/>
      <c r="DC2" s="124"/>
      <c r="DD2" s="123" t="str">
        <f>"Week "&amp;ROUNDDOWN(DD4/7,0)+1</f>
        <v>Week 16</v>
      </c>
      <c r="DE2" s="124"/>
      <c r="DF2" s="124"/>
      <c r="DG2" s="124"/>
      <c r="DH2" s="124"/>
      <c r="DI2" s="124"/>
      <c r="DJ2" s="124"/>
      <c r="DK2" s="123" t="str">
        <f>"Week "&amp;ROUNDDOWN(DK4/7,0)+1</f>
        <v>Week 17</v>
      </c>
      <c r="DL2" s="124"/>
      <c r="DM2" s="124"/>
      <c r="DN2" s="124"/>
      <c r="DO2" s="124"/>
      <c r="DP2" s="124"/>
      <c r="DQ2" s="124"/>
      <c r="DR2" s="123" t="str">
        <f>"Week "&amp;ROUNDDOWN(DR4/7,0)+1</f>
        <v>Week 18</v>
      </c>
      <c r="DS2" s="124"/>
      <c r="DT2" s="124"/>
      <c r="DU2" s="124"/>
      <c r="DV2" s="124"/>
      <c r="DW2" s="124"/>
      <c r="DX2" s="124"/>
      <c r="DY2" s="123" t="str">
        <f>"Week "&amp;ROUNDDOWN(DY4/7,0)+1</f>
        <v>Week 19</v>
      </c>
      <c r="DZ2" s="124"/>
      <c r="EA2" s="124"/>
      <c r="EB2" s="124"/>
      <c r="EC2" s="124"/>
      <c r="ED2" s="124"/>
      <c r="EE2" s="124"/>
      <c r="EF2" s="123" t="str">
        <f>"Week "&amp;ROUNDDOWN(EF4/7,0)+1</f>
        <v>Week 20</v>
      </c>
      <c r="EG2" s="124"/>
      <c r="EH2" s="124"/>
      <c r="EI2" s="124"/>
      <c r="EJ2" s="124"/>
      <c r="EK2" s="124"/>
      <c r="EL2" s="124"/>
      <c r="EM2" s="123" t="str">
        <f>"Week "&amp;ROUNDDOWN(EM4/7,0)+1</f>
        <v>Week 21</v>
      </c>
      <c r="EN2" s="124"/>
      <c r="EO2" s="124"/>
      <c r="EP2" s="124"/>
      <c r="EQ2" s="124"/>
      <c r="ER2" s="124"/>
      <c r="ES2" s="124"/>
      <c r="ET2" s="123" t="str">
        <f>"Week "&amp;ROUNDDOWN(ET4/7,0)+1</f>
        <v>Week 22</v>
      </c>
      <c r="EU2" s="124"/>
      <c r="EV2" s="124"/>
      <c r="EW2" s="124"/>
      <c r="EX2" s="124"/>
      <c r="EY2" s="124"/>
      <c r="EZ2" s="124"/>
      <c r="FA2" s="123" t="str">
        <f>"Week "&amp;ROUNDDOWN(FA4/7,0)+1</f>
        <v>Week 23</v>
      </c>
      <c r="FB2" s="124"/>
      <c r="FC2" s="124"/>
      <c r="FD2" s="124"/>
      <c r="FE2" s="124"/>
      <c r="FF2" s="124"/>
      <c r="FG2" s="124"/>
      <c r="FH2" s="123" t="str">
        <f>"Week "&amp;ROUNDDOWN(FH4/7,0)+1</f>
        <v>Week 24</v>
      </c>
      <c r="FI2" s="124"/>
      <c r="FJ2" s="124"/>
      <c r="FK2" s="124"/>
      <c r="FL2" s="124"/>
      <c r="FM2" s="124"/>
      <c r="FN2" s="124"/>
      <c r="FO2" s="123" t="str">
        <f>"Week "&amp;ROUNDDOWN(FO4/7,0)+1</f>
        <v>Week 25</v>
      </c>
      <c r="FP2" s="124"/>
      <c r="FQ2" s="124"/>
      <c r="FR2" s="124"/>
      <c r="FS2" s="124"/>
      <c r="FT2" s="124"/>
      <c r="FU2" s="124"/>
      <c r="FV2" s="123" t="str">
        <f>"Week "&amp;ROUNDDOWN(FV4/7,0)+1</f>
        <v>Week 26</v>
      </c>
      <c r="FW2" s="124"/>
      <c r="FX2" s="124"/>
      <c r="FY2" s="124"/>
      <c r="FZ2" s="124"/>
      <c r="GA2" s="124"/>
      <c r="GB2" s="124"/>
      <c r="GC2" s="123" t="str">
        <f>"Week "&amp;ROUNDDOWN(GC4/7,0)+1</f>
        <v>Week 27</v>
      </c>
      <c r="GD2" s="124"/>
      <c r="GE2" s="124"/>
      <c r="GF2" s="124"/>
      <c r="GG2" s="124"/>
      <c r="GH2" s="124"/>
      <c r="GI2" s="124"/>
      <c r="GJ2" s="123" t="str">
        <f>"Week "&amp;ROUNDDOWN(GJ4/7,0)+1</f>
        <v>Week 28</v>
      </c>
      <c r="GK2" s="124"/>
      <c r="GL2" s="124"/>
      <c r="GM2" s="124"/>
      <c r="GN2" s="124"/>
      <c r="GO2" s="124"/>
      <c r="GP2" s="124"/>
      <c r="GQ2" s="123" t="str">
        <f>"Week "&amp;ROUNDDOWN(GQ4/7,0)+1</f>
        <v>Week 29</v>
      </c>
      <c r="GR2" s="124"/>
      <c r="GS2" s="124"/>
      <c r="GT2" s="124"/>
      <c r="GU2" s="124"/>
      <c r="GV2" s="124"/>
      <c r="GW2" s="124"/>
      <c r="GX2" s="123" t="str">
        <f>"Week "&amp;ROUNDDOWN(GX4/7,0)+1</f>
        <v>Week 30</v>
      </c>
      <c r="GY2" s="124"/>
      <c r="GZ2" s="124"/>
      <c r="HA2" s="124"/>
      <c r="HB2" s="124"/>
      <c r="HC2" s="124"/>
      <c r="HD2" s="124"/>
      <c r="HE2" s="123" t="str">
        <f>"Week "&amp;ROUNDDOWN(HE4/7,0)+1</f>
        <v>Week 31</v>
      </c>
      <c r="HF2" s="124"/>
      <c r="HG2" s="124"/>
      <c r="HH2" s="124"/>
      <c r="HI2" s="124"/>
      <c r="HJ2" s="124"/>
      <c r="HK2" s="124"/>
      <c r="HL2" s="123" t="str">
        <f>"Week "&amp;ROUNDDOWN(HL4/7,0)+1</f>
        <v>Week 32</v>
      </c>
      <c r="HM2" s="124"/>
      <c r="HN2" s="124"/>
      <c r="HO2" s="124"/>
      <c r="HP2" s="124"/>
      <c r="HQ2" s="124"/>
      <c r="HR2" s="124"/>
      <c r="HS2" s="123" t="str">
        <f>"Week "&amp;ROUNDDOWN(HS4/7,0)+1</f>
        <v>Week 33</v>
      </c>
      <c r="HT2" s="124"/>
      <c r="HU2" s="124"/>
      <c r="HV2" s="124"/>
      <c r="HW2" s="124"/>
      <c r="HX2" s="124"/>
      <c r="HY2" s="124"/>
      <c r="HZ2" s="123" t="str">
        <f>"Week "&amp;ROUNDDOWN(HZ4/7,0)+1</f>
        <v>Week 34</v>
      </c>
      <c r="IA2" s="124"/>
      <c r="IB2" s="124"/>
      <c r="IC2" s="124"/>
      <c r="ID2" s="124"/>
      <c r="IE2" s="124"/>
      <c r="IF2" s="124"/>
      <c r="IG2" s="123" t="str">
        <f>"Week "&amp;ROUNDDOWN(IG4/7,0)+1</f>
        <v>Week 35</v>
      </c>
      <c r="IH2" s="124"/>
      <c r="II2" s="124"/>
      <c r="IJ2" s="124"/>
      <c r="IK2" s="124"/>
      <c r="IL2" s="124"/>
      <c r="IM2" s="124"/>
      <c r="IN2" s="123" t="str">
        <f>"Week "&amp;ROUNDDOWN(IN4/7,0)+1</f>
        <v>Week 36</v>
      </c>
      <c r="IO2" s="124"/>
      <c r="IP2" s="124"/>
      <c r="IQ2" s="124"/>
      <c r="IR2" s="124"/>
      <c r="IS2" s="124"/>
      <c r="IT2" s="124"/>
      <c r="IU2" s="123" t="str">
        <f>"Week "&amp;ROUNDDOWN(IU4/7,0)+1</f>
        <v>Week 37</v>
      </c>
      <c r="IV2" s="124"/>
      <c r="IW2" s="124"/>
      <c r="IX2" s="124"/>
      <c r="IY2" s="124"/>
      <c r="IZ2" s="124"/>
      <c r="JA2" s="124"/>
      <c r="JB2" s="123" t="str">
        <f>"Week "&amp;ROUNDDOWN(JB4/7,0)+1</f>
        <v>Week 38</v>
      </c>
      <c r="JC2" s="124"/>
      <c r="JD2" s="124"/>
      <c r="JE2" s="124"/>
      <c r="JF2" s="124"/>
      <c r="JG2" s="124"/>
      <c r="JH2" s="124"/>
      <c r="JI2" s="123" t="str">
        <f>"Week "&amp;ROUNDDOWN(JI4/7,0)+1</f>
        <v>Week 39</v>
      </c>
      <c r="JJ2" s="124"/>
      <c r="JK2" s="124"/>
      <c r="JL2" s="124"/>
      <c r="JM2" s="124"/>
      <c r="JN2" s="124"/>
      <c r="JO2" s="124"/>
      <c r="JP2" s="123" t="str">
        <f>"Week "&amp;ROUNDDOWN(JP4/7,0)+1</f>
        <v>Week 40</v>
      </c>
      <c r="JQ2" s="124"/>
      <c r="JR2" s="124"/>
      <c r="JS2" s="124"/>
      <c r="JT2" s="124"/>
      <c r="JU2" s="124"/>
      <c r="JV2" s="124"/>
      <c r="JW2" s="123" t="str">
        <f>"Week "&amp;ROUNDDOWN(JW4/7,0)+1</f>
        <v>Week 41</v>
      </c>
      <c r="JX2" s="124"/>
      <c r="JY2" s="124"/>
      <c r="JZ2" s="124"/>
      <c r="KA2" s="124"/>
      <c r="KB2" s="124"/>
      <c r="KC2" s="124"/>
      <c r="KD2" s="123" t="str">
        <f>"Week "&amp;ROUNDDOWN(KD4/7,0)+1</f>
        <v>Week 42</v>
      </c>
      <c r="KE2" s="124"/>
      <c r="KF2" s="124"/>
      <c r="KG2" s="124"/>
      <c r="KH2" s="124"/>
      <c r="KI2" s="124"/>
      <c r="KJ2" s="124"/>
      <c r="KK2" s="123" t="str">
        <f>"Week "&amp;ROUNDDOWN(KK4/7,0)+1</f>
        <v>Week 43</v>
      </c>
      <c r="KL2" s="124"/>
      <c r="KM2" s="124"/>
      <c r="KN2" s="124"/>
      <c r="KO2" s="124"/>
      <c r="KP2" s="124"/>
      <c r="KQ2" s="124"/>
      <c r="KR2" s="123" t="str">
        <f>"Week "&amp;ROUNDDOWN(KR4/7,0)+1</f>
        <v>Week 44</v>
      </c>
      <c r="KS2" s="124"/>
      <c r="KT2" s="124"/>
      <c r="KU2" s="124"/>
      <c r="KV2" s="124"/>
      <c r="KW2" s="124"/>
      <c r="KX2" s="124"/>
      <c r="KY2" s="123" t="str">
        <f>"Week "&amp;ROUNDDOWN(KY4/7,0)+1</f>
        <v>Week 45</v>
      </c>
      <c r="KZ2" s="124"/>
      <c r="LA2" s="124"/>
      <c r="LB2" s="124"/>
      <c r="LC2" s="124"/>
      <c r="LD2" s="124"/>
      <c r="LE2" s="124"/>
      <c r="LF2" s="123" t="str">
        <f>"Week "&amp;ROUNDDOWN(LF4/7,0)+1</f>
        <v>Week 46</v>
      </c>
      <c r="LG2" s="124"/>
      <c r="LH2" s="124"/>
      <c r="LI2" s="124"/>
      <c r="LJ2" s="124"/>
      <c r="LK2" s="124"/>
      <c r="LL2" s="124"/>
      <c r="LM2" s="123" t="str">
        <f>"Week "&amp;ROUNDDOWN(LM4/7,0)+1</f>
        <v>Week 47</v>
      </c>
      <c r="LN2" s="124"/>
      <c r="LO2" s="124"/>
      <c r="LP2" s="124"/>
      <c r="LQ2" s="124"/>
      <c r="LR2" s="124"/>
      <c r="LS2" s="124"/>
      <c r="LT2" s="123" t="str">
        <f>"Week "&amp;ROUNDDOWN(LT4/7,0)+1</f>
        <v>Week 48</v>
      </c>
      <c r="LU2" s="124"/>
      <c r="LV2" s="124"/>
      <c r="LW2" s="124"/>
      <c r="LX2" s="124"/>
      <c r="LY2" s="124"/>
      <c r="LZ2" s="124"/>
      <c r="MA2" s="123" t="str">
        <f>"Week "&amp;ROUNDDOWN(MA4/7,0)+1</f>
        <v>Week 49</v>
      </c>
      <c r="MB2" s="124"/>
      <c r="MC2" s="124"/>
      <c r="MD2" s="124"/>
      <c r="ME2" s="124"/>
      <c r="MF2" s="124"/>
      <c r="MG2" s="124"/>
      <c r="MH2" s="123" t="str">
        <f>"Week "&amp;ROUNDDOWN(MH4/7,0)+1</f>
        <v>Week 50</v>
      </c>
      <c r="MI2" s="124"/>
      <c r="MJ2" s="124"/>
      <c r="MK2" s="124"/>
      <c r="ML2" s="124"/>
      <c r="MM2" s="124"/>
      <c r="MN2" s="124"/>
      <c r="MO2" s="123" t="str">
        <f>"Week "&amp;ROUNDDOWN(MO4/7,0)+1</f>
        <v>Week 51</v>
      </c>
      <c r="MP2" s="124"/>
      <c r="MQ2" s="124"/>
      <c r="MR2" s="124"/>
      <c r="MS2" s="124"/>
      <c r="MT2" s="124"/>
      <c r="MU2" s="124"/>
      <c r="MV2" s="123" t="str">
        <f>"Week "&amp;ROUNDDOWN(MV4/7,0)+1</f>
        <v>Week 52</v>
      </c>
      <c r="MW2" s="124"/>
      <c r="MX2" s="124"/>
      <c r="MY2" s="124"/>
      <c r="MZ2" s="124"/>
      <c r="NA2" s="124"/>
      <c r="NB2" s="124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28.5" x14ac:dyDescent="0.25">
      <c r="A5" s="44" t="s">
        <v>8</v>
      </c>
      <c r="B5" s="24" t="s">
        <v>7</v>
      </c>
      <c r="C5" t="s">
        <v>33</v>
      </c>
      <c r="D5" t="s">
        <v>33</v>
      </c>
      <c r="E5" t="s">
        <v>33</v>
      </c>
      <c r="F5" t="s">
        <v>53</v>
      </c>
      <c r="G5" t="s">
        <v>33</v>
      </c>
      <c r="H5" t="s">
        <v>33</v>
      </c>
      <c r="I5" t="s">
        <v>53</v>
      </c>
      <c r="J5" t="s">
        <v>33</v>
      </c>
      <c r="K5" t="s">
        <v>33</v>
      </c>
      <c r="L5" t="s">
        <v>33</v>
      </c>
      <c r="M5" t="s">
        <v>33</v>
      </c>
      <c r="N5" t="s">
        <v>42</v>
      </c>
      <c r="O5" t="s">
        <v>33</v>
      </c>
      <c r="P5" t="s">
        <v>42</v>
      </c>
      <c r="Q5" t="s">
        <v>33</v>
      </c>
      <c r="R5" t="s">
        <v>33</v>
      </c>
      <c r="S5" t="s">
        <v>33</v>
      </c>
      <c r="T5" t="s">
        <v>42</v>
      </c>
      <c r="U5" t="s">
        <v>53</v>
      </c>
      <c r="V5" t="s">
        <v>53</v>
      </c>
      <c r="W5" t="s">
        <v>53</v>
      </c>
      <c r="X5" t="s">
        <v>53</v>
      </c>
      <c r="Y5" t="s">
        <v>53</v>
      </c>
      <c r="Z5" t="s">
        <v>53</v>
      </c>
      <c r="AA5" t="s">
        <v>53</v>
      </c>
      <c r="AB5" t="s">
        <v>42</v>
      </c>
      <c r="AC5" t="s">
        <v>33</v>
      </c>
      <c r="AD5" t="s">
        <v>53</v>
      </c>
      <c r="AE5" t="s">
        <v>33</v>
      </c>
      <c r="AF5" t="s">
        <v>33</v>
      </c>
      <c r="AG5" t="s">
        <v>42</v>
      </c>
      <c r="AH5" t="s">
        <v>42</v>
      </c>
      <c r="AI5" t="s">
        <v>33</v>
      </c>
      <c r="AJ5" t="s">
        <v>42</v>
      </c>
      <c r="AK5" t="s">
        <v>42</v>
      </c>
      <c r="AL5" t="s">
        <v>33</v>
      </c>
      <c r="AM5" t="s">
        <v>33</v>
      </c>
      <c r="AN5" t="s">
        <v>33</v>
      </c>
      <c r="AO5" t="s">
        <v>42</v>
      </c>
      <c r="AP5" t="s">
        <v>33</v>
      </c>
      <c r="AQ5" t="s">
        <v>42</v>
      </c>
      <c r="AR5" t="s">
        <v>53</v>
      </c>
      <c r="AS5" t="s">
        <v>42</v>
      </c>
      <c r="AT5" t="s">
        <v>33</v>
      </c>
      <c r="AU5" t="s">
        <v>33</v>
      </c>
      <c r="AV5" t="s">
        <v>33</v>
      </c>
      <c r="AW5" t="s">
        <v>33</v>
      </c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t="s">
        <v>33</v>
      </c>
      <c r="CO5" t="s">
        <v>33</v>
      </c>
    </row>
    <row r="6" spans="1:367" ht="40.5" customHeight="1" x14ac:dyDescent="0.25">
      <c r="A6" s="125" t="s">
        <v>100</v>
      </c>
      <c r="B6" s="24" t="s">
        <v>101</v>
      </c>
      <c r="C6" t="s">
        <v>33</v>
      </c>
      <c r="D6" t="s">
        <v>33</v>
      </c>
      <c r="E6" t="s">
        <v>33</v>
      </c>
      <c r="F6" t="s">
        <v>53</v>
      </c>
      <c r="G6" t="s">
        <v>53</v>
      </c>
      <c r="H6" t="s">
        <v>53</v>
      </c>
      <c r="I6" t="s">
        <v>53</v>
      </c>
      <c r="J6" t="s">
        <v>42</v>
      </c>
      <c r="K6" t="s">
        <v>53</v>
      </c>
      <c r="L6" t="s">
        <v>33</v>
      </c>
      <c r="M6" t="s">
        <v>53</v>
      </c>
      <c r="N6" t="s">
        <v>42</v>
      </c>
      <c r="O6" t="s">
        <v>42</v>
      </c>
      <c r="P6" t="s">
        <v>42</v>
      </c>
      <c r="Q6" t="s">
        <v>33</v>
      </c>
      <c r="R6" t="s">
        <v>53</v>
      </c>
      <c r="S6" t="s">
        <v>53</v>
      </c>
      <c r="T6" t="s">
        <v>33</v>
      </c>
      <c r="U6" t="s">
        <v>33</v>
      </c>
      <c r="V6" t="s">
        <v>42</v>
      </c>
      <c r="W6" t="s">
        <v>53</v>
      </c>
      <c r="X6" t="s">
        <v>33</v>
      </c>
      <c r="Y6" t="s">
        <v>53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53</v>
      </c>
      <c r="AF6" t="s">
        <v>53</v>
      </c>
      <c r="AG6" t="s">
        <v>53</v>
      </c>
      <c r="AH6" t="s">
        <v>42</v>
      </c>
      <c r="AI6" t="s">
        <v>33</v>
      </c>
      <c r="AJ6" t="s">
        <v>42</v>
      </c>
      <c r="AK6" t="s">
        <v>42</v>
      </c>
      <c r="AL6" t="s">
        <v>33</v>
      </c>
      <c r="AM6" t="s">
        <v>53</v>
      </c>
      <c r="AN6" t="s">
        <v>53</v>
      </c>
      <c r="AO6" t="s">
        <v>33</v>
      </c>
      <c r="AP6" t="s">
        <v>33</v>
      </c>
      <c r="AQ6" t="s">
        <v>33</v>
      </c>
      <c r="AR6" t="s">
        <v>33</v>
      </c>
      <c r="AS6" t="s">
        <v>33</v>
      </c>
      <c r="AT6" t="s">
        <v>53</v>
      </c>
      <c r="AU6" t="s">
        <v>33</v>
      </c>
      <c r="AV6" t="s">
        <v>33</v>
      </c>
      <c r="AW6" t="s">
        <v>33</v>
      </c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96"/>
      <c r="BQ6" s="96"/>
      <c r="BR6" s="96"/>
      <c r="BS6" s="96"/>
      <c r="BT6" s="96"/>
      <c r="BU6" s="96"/>
      <c r="BV6" s="96"/>
      <c r="BW6" s="96"/>
      <c r="BX6" s="96"/>
      <c r="BY6" s="96"/>
      <c r="BZ6" s="96"/>
      <c r="CA6" s="96"/>
      <c r="CB6" s="96"/>
      <c r="CC6" s="96"/>
      <c r="CD6" s="96"/>
      <c r="CE6" s="96"/>
      <c r="CF6" s="96"/>
      <c r="CG6" s="96"/>
      <c r="CH6" s="96"/>
      <c r="CI6" s="96"/>
      <c r="CJ6" s="96"/>
      <c r="CK6" s="96"/>
      <c r="CL6" s="96"/>
      <c r="CM6" s="96"/>
      <c r="CN6" t="s">
        <v>33</v>
      </c>
      <c r="CO6" t="s">
        <v>53</v>
      </c>
    </row>
    <row r="7" spans="1:367" ht="44.25" customHeight="1" x14ac:dyDescent="0.25">
      <c r="A7" s="127"/>
      <c r="B7" s="24" t="s">
        <v>223</v>
      </c>
      <c r="C7" t="s">
        <v>33</v>
      </c>
      <c r="D7" t="s">
        <v>33</v>
      </c>
      <c r="E7" t="s">
        <v>33</v>
      </c>
      <c r="F7" t="s">
        <v>53</v>
      </c>
      <c r="G7" t="s">
        <v>53</v>
      </c>
      <c r="H7" t="s">
        <v>53</v>
      </c>
      <c r="I7" t="s">
        <v>33</v>
      </c>
      <c r="J7" t="s">
        <v>33</v>
      </c>
      <c r="K7" t="s">
        <v>33</v>
      </c>
      <c r="L7" t="s">
        <v>33</v>
      </c>
      <c r="M7" t="s">
        <v>53</v>
      </c>
      <c r="N7" t="s">
        <v>42</v>
      </c>
      <c r="O7" t="s">
        <v>42</v>
      </c>
      <c r="P7" t="s">
        <v>42</v>
      </c>
      <c r="Q7" t="s">
        <v>33</v>
      </c>
      <c r="R7" t="s">
        <v>53</v>
      </c>
      <c r="S7" t="s">
        <v>53</v>
      </c>
      <c r="T7" t="s">
        <v>33</v>
      </c>
      <c r="U7" t="s">
        <v>33</v>
      </c>
      <c r="V7" t="s">
        <v>42</v>
      </c>
      <c r="W7" t="s">
        <v>53</v>
      </c>
      <c r="X7" t="s">
        <v>53</v>
      </c>
      <c r="Y7" t="s">
        <v>53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33</v>
      </c>
      <c r="AF7" t="s">
        <v>53</v>
      </c>
      <c r="AG7" t="s">
        <v>53</v>
      </c>
      <c r="AH7" t="s">
        <v>42</v>
      </c>
      <c r="AI7" t="s">
        <v>33</v>
      </c>
      <c r="AJ7" t="s">
        <v>42</v>
      </c>
      <c r="AK7" t="s">
        <v>42</v>
      </c>
      <c r="AL7" t="s">
        <v>33</v>
      </c>
      <c r="AM7" t="s">
        <v>53</v>
      </c>
      <c r="AN7" t="s">
        <v>53</v>
      </c>
      <c r="AO7" t="s">
        <v>33</v>
      </c>
      <c r="AP7" t="s">
        <v>53</v>
      </c>
      <c r="AQ7" t="s">
        <v>53</v>
      </c>
      <c r="AR7" t="s">
        <v>53</v>
      </c>
      <c r="AS7" t="s">
        <v>53</v>
      </c>
      <c r="AT7" t="s">
        <v>53</v>
      </c>
      <c r="AU7" t="s">
        <v>53</v>
      </c>
      <c r="AV7" t="s">
        <v>53</v>
      </c>
      <c r="AW7" t="s">
        <v>53</v>
      </c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t="s">
        <v>33</v>
      </c>
    </row>
    <row r="8" spans="1:367" ht="21.75" customHeight="1" x14ac:dyDescent="0.25">
      <c r="A8" s="125" t="s">
        <v>9</v>
      </c>
      <c r="B8" s="24" t="s">
        <v>6</v>
      </c>
      <c r="C8" t="s">
        <v>33</v>
      </c>
      <c r="D8" t="s">
        <v>33</v>
      </c>
      <c r="E8" t="s">
        <v>53</v>
      </c>
      <c r="F8" t="s">
        <v>33</v>
      </c>
      <c r="G8" t="s">
        <v>33</v>
      </c>
      <c r="H8" t="s">
        <v>42</v>
      </c>
      <c r="I8" t="s">
        <v>42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s="51" t="s">
        <v>33</v>
      </c>
      <c r="P8" s="51" t="s">
        <v>42</v>
      </c>
      <c r="Q8" s="51" t="s">
        <v>33</v>
      </c>
      <c r="R8" s="51" t="s">
        <v>33</v>
      </c>
      <c r="S8" s="51" t="s">
        <v>33</v>
      </c>
      <c r="T8" s="51" t="s">
        <v>42</v>
      </c>
      <c r="U8" s="51" t="s">
        <v>42</v>
      </c>
      <c r="V8" s="51" t="s">
        <v>33</v>
      </c>
      <c r="W8" s="51" t="s">
        <v>33</v>
      </c>
      <c r="X8" s="51" t="s">
        <v>33</v>
      </c>
      <c r="Y8" s="51" t="s">
        <v>33</v>
      </c>
      <c r="Z8" s="51" t="s">
        <v>33</v>
      </c>
      <c r="AA8" s="51" t="s">
        <v>42</v>
      </c>
      <c r="AB8" s="51" t="s">
        <v>42</v>
      </c>
      <c r="AC8" s="51" t="s">
        <v>42</v>
      </c>
      <c r="AD8" s="51" t="s">
        <v>42</v>
      </c>
      <c r="AE8" s="51" t="s">
        <v>33</v>
      </c>
      <c r="AF8" s="51" t="s">
        <v>33</v>
      </c>
      <c r="AG8" s="51" t="s">
        <v>33</v>
      </c>
      <c r="AH8" s="51" t="s">
        <v>33</v>
      </c>
      <c r="AI8" s="51" t="s">
        <v>33</v>
      </c>
      <c r="AJ8" s="51" t="s">
        <v>42</v>
      </c>
      <c r="AK8" s="51" t="s">
        <v>42</v>
      </c>
      <c r="AL8" s="51" t="s">
        <v>33</v>
      </c>
      <c r="AM8" s="51" t="s">
        <v>33</v>
      </c>
      <c r="AN8" s="51" t="s">
        <v>33</v>
      </c>
      <c r="AO8" s="51" t="s">
        <v>42</v>
      </c>
      <c r="AP8" s="51" t="s">
        <v>42</v>
      </c>
      <c r="AQ8" s="51" t="s">
        <v>33</v>
      </c>
      <c r="AR8" s="51" t="s">
        <v>33</v>
      </c>
      <c r="AS8" s="51" t="s">
        <v>33</v>
      </c>
      <c r="AT8" s="51" t="s">
        <v>33</v>
      </c>
      <c r="AU8" s="51" t="s">
        <v>33</v>
      </c>
      <c r="AV8" s="51" t="s">
        <v>33</v>
      </c>
      <c r="AW8" s="51" t="s">
        <v>42</v>
      </c>
      <c r="AX8" s="96"/>
      <c r="AY8" s="96"/>
      <c r="AZ8" s="96"/>
      <c r="BA8" s="96"/>
      <c r="BB8" s="96"/>
      <c r="BC8" s="96"/>
      <c r="BD8" s="96"/>
      <c r="BE8" s="96"/>
      <c r="BF8" s="96"/>
      <c r="BG8" s="96"/>
      <c r="BH8" s="96"/>
      <c r="BI8" s="96"/>
      <c r="BJ8" s="96"/>
      <c r="BK8" s="96"/>
      <c r="BL8" s="96"/>
      <c r="BM8" s="96"/>
      <c r="BN8" s="96"/>
      <c r="BO8" s="96"/>
      <c r="BP8" s="96"/>
      <c r="BQ8" s="96"/>
      <c r="BR8" s="96"/>
      <c r="BS8" s="96"/>
      <c r="BT8" s="96"/>
      <c r="BU8" s="96"/>
      <c r="BV8" s="96"/>
      <c r="BW8" s="96"/>
      <c r="BX8" s="96"/>
      <c r="BY8" s="96"/>
      <c r="BZ8" s="96"/>
      <c r="CA8" s="96"/>
      <c r="CB8" s="96"/>
      <c r="CC8" s="96"/>
      <c r="CD8" s="96"/>
      <c r="CE8" s="96"/>
      <c r="CF8" s="96"/>
      <c r="CG8" s="96"/>
      <c r="CH8" s="96"/>
      <c r="CI8" s="96"/>
      <c r="CJ8" s="96"/>
      <c r="CK8" s="96"/>
      <c r="CL8" s="96"/>
      <c r="CM8" s="96"/>
      <c r="CN8" s="51" t="s">
        <v>42</v>
      </c>
      <c r="CO8" t="s">
        <v>33</v>
      </c>
    </row>
    <row r="9" spans="1:367" ht="19.5" customHeight="1" x14ac:dyDescent="0.25">
      <c r="A9" s="126"/>
      <c r="B9" s="24" t="s">
        <v>5</v>
      </c>
      <c r="C9" t="s">
        <v>33</v>
      </c>
      <c r="D9" t="s">
        <v>33</v>
      </c>
      <c r="E9" t="s">
        <v>53</v>
      </c>
      <c r="F9" t="s">
        <v>42</v>
      </c>
      <c r="G9" t="s">
        <v>33</v>
      </c>
      <c r="H9" t="s">
        <v>42</v>
      </c>
      <c r="I9" t="s">
        <v>42</v>
      </c>
      <c r="J9" t="s">
        <v>42</v>
      </c>
      <c r="K9" t="s">
        <v>42</v>
      </c>
      <c r="L9" t="s">
        <v>42</v>
      </c>
      <c r="M9" t="s">
        <v>42</v>
      </c>
      <c r="N9" t="s">
        <v>42</v>
      </c>
      <c r="O9" s="51" t="s">
        <v>42</v>
      </c>
      <c r="P9" s="51" t="s">
        <v>42</v>
      </c>
      <c r="Q9" s="51" t="s">
        <v>42</v>
      </c>
      <c r="R9" s="51" t="s">
        <v>33</v>
      </c>
      <c r="S9" s="51" t="s">
        <v>33</v>
      </c>
      <c r="T9" s="51" t="s">
        <v>42</v>
      </c>
      <c r="U9" s="51" t="s">
        <v>42</v>
      </c>
      <c r="V9" s="51" t="s">
        <v>42</v>
      </c>
      <c r="W9" s="51" t="s">
        <v>42</v>
      </c>
      <c r="X9" s="51" t="s">
        <v>42</v>
      </c>
      <c r="Y9" s="51" t="s">
        <v>33</v>
      </c>
      <c r="Z9" s="51" t="s">
        <v>33</v>
      </c>
      <c r="AA9" s="51" t="s">
        <v>42</v>
      </c>
      <c r="AB9" s="51" t="s">
        <v>42</v>
      </c>
      <c r="AC9" s="51" t="s">
        <v>42</v>
      </c>
      <c r="AD9" s="51" t="s">
        <v>42</v>
      </c>
      <c r="AE9" s="51" t="s">
        <v>42</v>
      </c>
      <c r="AF9" s="51" t="s">
        <v>33</v>
      </c>
      <c r="AG9" s="51" t="s">
        <v>33</v>
      </c>
      <c r="AH9" s="51" t="s">
        <v>42</v>
      </c>
      <c r="AI9" s="51" t="s">
        <v>42</v>
      </c>
      <c r="AJ9" s="51" t="s">
        <v>42</v>
      </c>
      <c r="AK9" s="51" t="s">
        <v>42</v>
      </c>
      <c r="AL9" s="51" t="s">
        <v>42</v>
      </c>
      <c r="AM9" s="51" t="s">
        <v>33</v>
      </c>
      <c r="AN9" s="51" t="s">
        <v>33</v>
      </c>
      <c r="AO9" s="51" t="s">
        <v>42</v>
      </c>
      <c r="AP9" s="51" t="s">
        <v>42</v>
      </c>
      <c r="AQ9" s="51" t="s">
        <v>42</v>
      </c>
      <c r="AR9" s="51" t="s">
        <v>42</v>
      </c>
      <c r="AS9" s="51" t="s">
        <v>42</v>
      </c>
      <c r="AT9" s="51" t="s">
        <v>33</v>
      </c>
      <c r="AU9" s="51" t="s">
        <v>33</v>
      </c>
      <c r="AV9" s="51" t="s">
        <v>33</v>
      </c>
      <c r="AW9" s="51" t="s">
        <v>42</v>
      </c>
      <c r="AX9" s="96"/>
      <c r="AY9" s="96"/>
      <c r="AZ9" s="96"/>
      <c r="BA9" s="96"/>
      <c r="BB9" s="96"/>
      <c r="BC9" s="96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51" t="s">
        <v>42</v>
      </c>
      <c r="CO9" s="51" t="s">
        <v>42</v>
      </c>
    </row>
    <row r="10" spans="1:367" ht="19.5" customHeight="1" x14ac:dyDescent="0.25">
      <c r="A10" s="127"/>
      <c r="B10" s="24" t="s">
        <v>4</v>
      </c>
      <c r="C10" t="s">
        <v>42</v>
      </c>
      <c r="D10" t="s">
        <v>42</v>
      </c>
      <c r="E10" t="s">
        <v>53</v>
      </c>
      <c r="F10" t="s">
        <v>42</v>
      </c>
      <c r="G10" t="s">
        <v>42</v>
      </c>
      <c r="H10" t="s">
        <v>42</v>
      </c>
      <c r="I10" t="s">
        <v>42</v>
      </c>
      <c r="J10" t="s">
        <v>42</v>
      </c>
      <c r="K10" t="s">
        <v>42</v>
      </c>
      <c r="L10" t="s">
        <v>42</v>
      </c>
      <c r="M10" t="s">
        <v>42</v>
      </c>
      <c r="N10" t="s">
        <v>42</v>
      </c>
      <c r="O10" s="51" t="s">
        <v>42</v>
      </c>
      <c r="P10" s="51" t="s">
        <v>42</v>
      </c>
      <c r="Q10" s="51" t="s">
        <v>42</v>
      </c>
      <c r="R10" s="51" t="s">
        <v>33</v>
      </c>
      <c r="S10" s="51" t="s">
        <v>42</v>
      </c>
      <c r="T10" s="51" t="s">
        <v>42</v>
      </c>
      <c r="U10" s="51" t="s">
        <v>42</v>
      </c>
      <c r="V10" s="51" t="s">
        <v>42</v>
      </c>
      <c r="W10" s="51" t="s">
        <v>42</v>
      </c>
      <c r="X10" s="51" t="s">
        <v>42</v>
      </c>
      <c r="Y10" s="51" t="s">
        <v>33</v>
      </c>
      <c r="Z10" s="51" t="s">
        <v>33</v>
      </c>
      <c r="AA10" s="51" t="s">
        <v>42</v>
      </c>
      <c r="AB10" s="51" t="s">
        <v>42</v>
      </c>
      <c r="AC10" s="51" t="s">
        <v>42</v>
      </c>
      <c r="AD10" s="51" t="s">
        <v>42</v>
      </c>
      <c r="AE10" s="51" t="s">
        <v>42</v>
      </c>
      <c r="AF10" s="51" t="s">
        <v>33</v>
      </c>
      <c r="AG10" s="51" t="s">
        <v>33</v>
      </c>
      <c r="AH10" s="51" t="s">
        <v>42</v>
      </c>
      <c r="AI10" s="51" t="s">
        <v>42</v>
      </c>
      <c r="AJ10" s="51" t="s">
        <v>42</v>
      </c>
      <c r="AK10" s="51" t="s">
        <v>42</v>
      </c>
      <c r="AL10" s="51" t="s">
        <v>42</v>
      </c>
      <c r="AM10" s="51" t="s">
        <v>33</v>
      </c>
      <c r="AN10" s="51" t="s">
        <v>33</v>
      </c>
      <c r="AO10" s="51" t="s">
        <v>42</v>
      </c>
      <c r="AP10" s="51" t="s">
        <v>42</v>
      </c>
      <c r="AQ10" s="51" t="s">
        <v>42</v>
      </c>
      <c r="AR10" s="51" t="s">
        <v>42</v>
      </c>
      <c r="AS10" s="51" t="s">
        <v>42</v>
      </c>
      <c r="AT10" s="51" t="s">
        <v>33</v>
      </c>
      <c r="AU10" s="51" t="s">
        <v>33</v>
      </c>
      <c r="AV10" s="51" t="s">
        <v>42</v>
      </c>
      <c r="AW10" s="51" t="s">
        <v>42</v>
      </c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51" t="s">
        <v>42</v>
      </c>
    </row>
    <row r="11" spans="1:367" ht="74.25" x14ac:dyDescent="0.25">
      <c r="A11" s="44" t="s">
        <v>222</v>
      </c>
      <c r="B11" s="44" t="s">
        <v>222</v>
      </c>
      <c r="CN11" s="51" t="s">
        <v>33</v>
      </c>
      <c r="CO11" t="s">
        <v>33</v>
      </c>
    </row>
  </sheetData>
  <mergeCells count="54">
    <mergeCell ref="A8:A10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26" priority="9" operator="equal">
      <formula>"---None---"</formula>
    </cfRule>
    <cfRule type="cellIs" dxfId="25" priority="10" operator="equal">
      <formula>"Not Scheduled"</formula>
    </cfRule>
    <cfRule type="cellIs" dxfId="24" priority="11" operator="equal">
      <formula>"Missed"</formula>
    </cfRule>
    <cfRule type="cellIs" dxfId="23" priority="12" operator="equal">
      <formula>"Done"</formula>
    </cfRule>
  </conditionalFormatting>
  <conditionalFormatting sqref="C11:NC11">
    <cfRule type="cellIs" dxfId="22" priority="1" operator="equal">
      <formula>"---None---"</formula>
    </cfRule>
    <cfRule type="cellIs" dxfId="21" priority="2" operator="equal">
      <formula>"Not Scheduled"</formula>
    </cfRule>
    <cfRule type="cellIs" dxfId="20" priority="3" operator="equal">
      <formula>"Missed"</formula>
    </cfRule>
    <cfRule type="cellIs" dxfId="19" priority="4" operator="equal">
      <formula>"Done"</formula>
    </cfRule>
  </conditionalFormatting>
  <dataValidations count="1">
    <dataValidation type="list" allowBlank="1" showInputMessage="1" showErrorMessage="1" sqref="C5:NC11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28" t="s">
        <v>17</v>
      </c>
      <c r="C2" s="128"/>
      <c r="D2" s="128"/>
      <c r="F2" s="128" t="s">
        <v>18</v>
      </c>
      <c r="G2" s="128"/>
      <c r="H2" s="128"/>
    </row>
    <row r="3" spans="2:8" x14ac:dyDescent="0.25">
      <c r="B3" s="79" t="s">
        <v>138</v>
      </c>
      <c r="C3" s="79" t="s">
        <v>139</v>
      </c>
      <c r="D3" s="81" t="s">
        <v>140</v>
      </c>
      <c r="F3" s="79" t="s">
        <v>138</v>
      </c>
      <c r="G3" s="79" t="s">
        <v>139</v>
      </c>
      <c r="H3" s="80" t="s">
        <v>140</v>
      </c>
    </row>
    <row r="4" spans="2:8" ht="75" x14ac:dyDescent="0.25">
      <c r="B4" s="3">
        <v>15</v>
      </c>
      <c r="C4" s="3" t="s">
        <v>136</v>
      </c>
      <c r="D4" s="82" t="s">
        <v>144</v>
      </c>
      <c r="F4" s="3">
        <v>15</v>
      </c>
      <c r="G4" s="3" t="s">
        <v>147</v>
      </c>
      <c r="H4" s="85" t="s">
        <v>149</v>
      </c>
    </row>
    <row r="5" spans="2:8" ht="180" x14ac:dyDescent="0.25">
      <c r="B5" s="3">
        <v>60</v>
      </c>
      <c r="C5" s="3" t="s">
        <v>137</v>
      </c>
      <c r="D5" s="82" t="s">
        <v>143</v>
      </c>
      <c r="F5" s="3">
        <v>15</v>
      </c>
      <c r="G5" s="3" t="s">
        <v>148</v>
      </c>
      <c r="H5" s="85" t="s">
        <v>150</v>
      </c>
    </row>
    <row r="6" spans="2:8" ht="75" x14ac:dyDescent="0.25">
      <c r="B6" s="3">
        <v>45</v>
      </c>
      <c r="C6" s="3" t="s">
        <v>145</v>
      </c>
      <c r="D6" s="82" t="s">
        <v>142</v>
      </c>
    </row>
    <row r="7" spans="2:8" ht="30.75" thickBot="1" x14ac:dyDescent="0.3">
      <c r="B7" s="83">
        <v>15</v>
      </c>
      <c r="C7" s="83" t="s">
        <v>146</v>
      </c>
      <c r="D7" s="84" t="s">
        <v>141</v>
      </c>
    </row>
    <row r="8" spans="2:8" x14ac:dyDescent="0.25">
      <c r="D8" s="78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/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4" t="s">
        <v>161</v>
      </c>
      <c r="C2" s="74" t="s">
        <v>153</v>
      </c>
      <c r="D2" s="74" t="s">
        <v>183</v>
      </c>
      <c r="F2" s="89"/>
    </row>
    <row r="3" spans="2:6" x14ac:dyDescent="0.25">
      <c r="B3" s="75" t="s">
        <v>156</v>
      </c>
      <c r="C3" s="75" t="s">
        <v>176</v>
      </c>
      <c r="D3" s="76">
        <f ca="1">TODAY()+MOD(6-WEEKDAY(TODAY(),2),7)</f>
        <v>46116</v>
      </c>
    </row>
    <row r="4" spans="2:6" x14ac:dyDescent="0.25">
      <c r="B4" s="75" t="s">
        <v>157</v>
      </c>
      <c r="C4" s="75" t="s">
        <v>176</v>
      </c>
      <c r="D4" s="76">
        <f ca="1">TODAY()+MOD(6-WEEKDAY(TODAY(),2),7)</f>
        <v>46116</v>
      </c>
    </row>
    <row r="5" spans="2:6" x14ac:dyDescent="0.25">
      <c r="B5" s="75" t="s">
        <v>154</v>
      </c>
      <c r="C5" s="75" t="s">
        <v>175</v>
      </c>
      <c r="D5" s="76">
        <f ca="1">$B$1048562+_xlfn.CEILING.MATH((TODAY()-$B$1048562)/5, 1)*5</f>
        <v>46114</v>
      </c>
    </row>
    <row r="6" spans="2:6" x14ac:dyDescent="0.25">
      <c r="B6" s="75" t="s">
        <v>158</v>
      </c>
      <c r="C6" s="75" t="s">
        <v>177</v>
      </c>
      <c r="D6" s="76">
        <f ca="1">$B$1048565+_xlfn.CEILING.MATH((TODAY()-$B$1048565)/14, 1)*14</f>
        <v>46123</v>
      </c>
    </row>
    <row r="7" spans="2:6" x14ac:dyDescent="0.25">
      <c r="B7" s="75" t="s">
        <v>163</v>
      </c>
      <c r="C7" s="75" t="s">
        <v>177</v>
      </c>
      <c r="D7" s="76">
        <f ca="1">$B$1048569+_xlfn.CEILING.MATH((TODAY()-$B$1048569)/14, 1)*14</f>
        <v>46123</v>
      </c>
    </row>
    <row r="8" spans="2:6" x14ac:dyDescent="0.25">
      <c r="B8" s="75" t="s">
        <v>180</v>
      </c>
      <c r="C8" s="75" t="s">
        <v>182</v>
      </c>
      <c r="D8" s="76">
        <f ca="1">TODAY()+MOD(7-WEEKDAY(TODAY(),2),7)</f>
        <v>46117</v>
      </c>
    </row>
    <row r="9" spans="2:6" x14ac:dyDescent="0.25">
      <c r="B9" s="75" t="s">
        <v>181</v>
      </c>
      <c r="C9" s="75" t="s">
        <v>182</v>
      </c>
      <c r="D9" s="76">
        <f ca="1">TODAY()+MOD(7-WEEKDAY(TODAY(),2),7)</f>
        <v>46117</v>
      </c>
    </row>
    <row r="10" spans="2:6" x14ac:dyDescent="0.25">
      <c r="B10" s="75" t="s">
        <v>185</v>
      </c>
      <c r="C10" s="75" t="s">
        <v>189</v>
      </c>
      <c r="D10" s="76">
        <f ca="1">$B$1048576+_xlfn.CEILING.MATH((TODAY()-$B$1048576)/21, 1)*21</f>
        <v>46132</v>
      </c>
    </row>
    <row r="11" spans="2:6" x14ac:dyDescent="0.25">
      <c r="B11" s="75" t="s">
        <v>168</v>
      </c>
      <c r="C11" s="75" t="s">
        <v>191</v>
      </c>
      <c r="D11" s="76">
        <f ca="1">$B$1048571+_xlfn.CEILING.MATH((TODAY()-$B$1048571)/28, 1)*28</f>
        <v>46125</v>
      </c>
    </row>
    <row r="12" spans="2:6" x14ac:dyDescent="0.25">
      <c r="B12" s="75" t="s">
        <v>164</v>
      </c>
      <c r="C12" s="75" t="s">
        <v>187</v>
      </c>
      <c r="D12" s="76">
        <f ca="1">$B$1048570+_xlfn.CEILING.MATH((TODAY()-$B$1048570)/40, 1)*40</f>
        <v>46127</v>
      </c>
      <c r="F12" s="50"/>
    </row>
    <row r="13" spans="2:6" x14ac:dyDescent="0.25">
      <c r="B13" s="75" t="s">
        <v>155</v>
      </c>
      <c r="C13" s="75" t="s">
        <v>178</v>
      </c>
      <c r="D13" s="76">
        <f ca="1">IF(DAY(TODAY())&lt;=15,
   DATE(YEAR(TODAY()),MONTH(TODAY()),15),
   DATE(YEAR(TODAY()),MONTH(TODAY())+1,15))</f>
        <v>46127</v>
      </c>
    </row>
    <row r="14" spans="2:6" x14ac:dyDescent="0.25">
      <c r="B14" s="75" t="s">
        <v>159</v>
      </c>
      <c r="C14" s="75" t="s">
        <v>178</v>
      </c>
      <c r="D14" s="76">
        <f ca="1">IF(DAY(TODAY())&lt;=15,
   DATE(YEAR(TODAY()),MONTH(TODAY()),15),
   DATE(YEAR(TODAY()),MONTH(TODAY())+1,15))</f>
        <v>46127</v>
      </c>
    </row>
    <row r="15" spans="2:6" x14ac:dyDescent="0.25">
      <c r="B15" s="75" t="s">
        <v>162</v>
      </c>
      <c r="C15" s="75" t="s">
        <v>188</v>
      </c>
      <c r="D15" s="76">
        <f ca="1">IF(DAY(TODAY())&lt;=16,
   DATE(YEAR(TODAY()),MONTH(TODAY()),16),
   DATE(YEAR(TODAY()),MONTH(TODAY())+1,16))</f>
        <v>46128</v>
      </c>
    </row>
    <row r="16" spans="2:6" x14ac:dyDescent="0.25">
      <c r="B16" s="75" t="s">
        <v>184</v>
      </c>
      <c r="C16" s="75" t="s">
        <v>190</v>
      </c>
      <c r="D16" s="76">
        <f ca="1">IF(DAY(TODAY())&lt;=20,
   DATE(YEAR(TODAY()),MONTH(TODAY()),20),
   DATE(YEAR(TODAY()),MONTH(TODAY())+1,20))</f>
        <v>46132</v>
      </c>
    </row>
    <row r="17" spans="2:4" x14ac:dyDescent="0.25">
      <c r="B17" s="75" t="s">
        <v>160</v>
      </c>
      <c r="C17" s="75" t="s">
        <v>186</v>
      </c>
      <c r="D17" s="76">
        <f ca="1">$B$1048568+_xlfn.CEILING.MATH((TODAY()-$B$1048568)/90, 1)*90</f>
        <v>46157</v>
      </c>
    </row>
    <row r="1048562" spans="1:2" x14ac:dyDescent="0.25">
      <c r="A1048562" s="87" t="s">
        <v>154</v>
      </c>
      <c r="B1048562" s="76">
        <v>46064</v>
      </c>
    </row>
    <row r="1048563" spans="1:2" x14ac:dyDescent="0.25">
      <c r="A1048563" s="88" t="s">
        <v>155</v>
      </c>
      <c r="B1048563" s="76">
        <v>46042</v>
      </c>
    </row>
    <row r="1048564" spans="1:2" x14ac:dyDescent="0.25">
      <c r="A1048564" s="87" t="s">
        <v>156</v>
      </c>
      <c r="B1048564" s="76" t="s">
        <v>106</v>
      </c>
    </row>
    <row r="1048565" spans="1:2" x14ac:dyDescent="0.25">
      <c r="A1048565" s="88" t="s">
        <v>158</v>
      </c>
      <c r="B1048565" s="76">
        <v>46067</v>
      </c>
    </row>
    <row r="1048566" spans="1:2" x14ac:dyDescent="0.25">
      <c r="A1048566" s="87" t="s">
        <v>157</v>
      </c>
      <c r="B1048566" s="76" t="s">
        <v>106</v>
      </c>
    </row>
    <row r="1048567" spans="1:2" x14ac:dyDescent="0.25">
      <c r="A1048567" s="88" t="s">
        <v>159</v>
      </c>
      <c r="B1048567" s="76" t="s">
        <v>106</v>
      </c>
    </row>
    <row r="1048568" spans="1:2" x14ac:dyDescent="0.25">
      <c r="A1048568" s="87" t="s">
        <v>160</v>
      </c>
      <c r="B1048568" s="76">
        <v>46067</v>
      </c>
    </row>
    <row r="1048569" spans="1:2" x14ac:dyDescent="0.25">
      <c r="A1048569" s="88" t="s">
        <v>163</v>
      </c>
      <c r="B1048569" s="76">
        <v>46067</v>
      </c>
    </row>
    <row r="1048570" spans="1:2" x14ac:dyDescent="0.25">
      <c r="A1048570" s="87" t="s">
        <v>164</v>
      </c>
      <c r="B1048570" s="76">
        <v>46047</v>
      </c>
    </row>
    <row r="1048571" spans="1:2" x14ac:dyDescent="0.25">
      <c r="A1048571" s="88" t="s">
        <v>168</v>
      </c>
      <c r="B1048571" s="76">
        <v>46069</v>
      </c>
    </row>
    <row r="1048572" spans="1:2" x14ac:dyDescent="0.25">
      <c r="A1048572" s="87" t="s">
        <v>180</v>
      </c>
      <c r="B1048572" s="76" t="s">
        <v>106</v>
      </c>
    </row>
    <row r="1048573" spans="1:2" x14ac:dyDescent="0.25">
      <c r="A1048573" s="88" t="s">
        <v>181</v>
      </c>
      <c r="B1048573" s="76" t="s">
        <v>106</v>
      </c>
    </row>
    <row r="1048574" spans="1:2" x14ac:dyDescent="0.25">
      <c r="A1048574" s="87" t="s">
        <v>162</v>
      </c>
      <c r="B1048574" s="76" t="s">
        <v>106</v>
      </c>
    </row>
    <row r="1048575" spans="1:2" x14ac:dyDescent="0.25">
      <c r="A1048575" s="88" t="s">
        <v>184</v>
      </c>
      <c r="B1048575" s="76" t="s">
        <v>106</v>
      </c>
    </row>
    <row r="1048576" spans="1:2" x14ac:dyDescent="0.25">
      <c r="A1048576" s="87" t="s">
        <v>185</v>
      </c>
      <c r="B1048576" s="76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To-Do List</vt:lpstr>
      <vt:lpstr>Logbook</vt:lpstr>
      <vt:lpstr>Calisthenics Routine</vt:lpstr>
      <vt:lpstr>Recurrent Tasks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2026-03-31T01:15:09Z</dcterms:modified>
</cp:coreProperties>
</file>