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ciww-my.sharepoint.com/personal/daniel_lozanobarrero_aciworldwide_com/Documents/Documents/My-Notes/Management/"/>
    </mc:Choice>
  </mc:AlternateContent>
  <xr:revisionPtr revIDLastSave="3" documentId="13_ncr:1_{E3468EE1-EAF2-41EE-A4EB-47E406BF02A8}" xr6:coauthVersionLast="47" xr6:coauthVersionMax="47" xr10:uidLastSave="{B63637E5-8527-445F-B700-C99C97A8DB8A}"/>
  <bookViews>
    <workbookView xWindow="28680" yWindow="-120" windowWidth="29040" windowHeight="15720" activeTab="3" xr2:uid="{F8FCC151-5DC7-4472-A863-0C0A531A258D}"/>
  </bookViews>
  <sheets>
    <sheet name="Main" sheetId="1" r:id="rId1"/>
    <sheet name="Tracker" sheetId="7" r:id="rId2"/>
    <sheet name="Another Expenses" sheetId="2" r:id="rId3"/>
    <sheet name="Debt" sheetId="5" r:id="rId4"/>
    <sheet name="Portfolio" sheetId="6" r:id="rId5"/>
    <sheet name="COP Rates" sheetId="4" r:id="rId6"/>
  </sheets>
  <definedNames>
    <definedName name="ChartAmounts">OFFSET(Tracker!$D$5,MATCH(EOMONTH(TODAY(),-6)+1,Tracker!$B$6:$B$65,1),0,7,1)</definedName>
    <definedName name="ChartDates">OFFSET(Tracker!$B$5,MATCH(EOMONTH(TODAY(),-6)+1,Tracker!$B$6:$B$65,1),0,7,1)</definedName>
    <definedName name="DatosExternos_1" localSheetId="5" hidden="1">'COP Rates'!$A$1:$B$167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C15" i="7" l="1"/>
  <c r="E15" i="7"/>
  <c r="L26" i="6"/>
  <c r="K26" i="6"/>
  <c r="C14" i="7"/>
  <c r="C23" i="1"/>
  <c r="K16" i="1"/>
  <c r="J16" i="1"/>
  <c r="J10" i="1"/>
  <c r="K10" i="1" s="1"/>
  <c r="F63" i="7"/>
  <c r="F62" i="7"/>
  <c r="F61" i="7"/>
  <c r="F47" i="7"/>
  <c r="F46" i="7"/>
  <c r="F30" i="7"/>
  <c r="F29" i="7"/>
  <c r="E13" i="7"/>
  <c r="F13" i="7" s="1"/>
  <c r="C13" i="7"/>
  <c r="C12" i="7"/>
  <c r="M26" i="6"/>
  <c r="N26" i="6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E30" i="7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E47" i="7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E62" i="7"/>
  <c r="E63" i="7"/>
  <c r="E64" i="7"/>
  <c r="F64" i="7" s="1"/>
  <c r="E65" i="7"/>
  <c r="F65" i="7" s="1"/>
  <c r="E7" i="7"/>
  <c r="F7" i="7" s="1"/>
  <c r="D12" i="7"/>
  <c r="D11" i="7"/>
  <c r="D10" i="7"/>
  <c r="D9" i="7"/>
  <c r="D8" i="7"/>
  <c r="D7" i="7"/>
  <c r="D6" i="7"/>
  <c r="C11" i="7"/>
  <c r="E12" i="7" s="1"/>
  <c r="F12" i="7" s="1"/>
  <c r="C10" i="7"/>
  <c r="C9" i="7"/>
  <c r="C8" i="7"/>
  <c r="C7" i="7"/>
  <c r="C6" i="7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M25" i="6"/>
  <c r="N25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24" i="6"/>
  <c r="N24" i="6" s="1"/>
  <c r="D10" i="1"/>
  <c r="D9" i="1"/>
  <c r="I28" i="5"/>
  <c r="D8" i="5"/>
  <c r="G20" i="6"/>
  <c r="G17" i="6"/>
  <c r="F21" i="6"/>
  <c r="G21" i="6" s="1"/>
  <c r="D8" i="1"/>
  <c r="J15" i="1"/>
  <c r="K15" i="1" s="1"/>
  <c r="J17" i="1"/>
  <c r="J18" i="1"/>
  <c r="K18" i="1"/>
  <c r="D29" i="1"/>
  <c r="D28" i="1"/>
  <c r="D12" i="1"/>
  <c r="F15" i="7" l="1"/>
  <c r="E14" i="7"/>
  <c r="E8" i="7"/>
  <c r="F8" i="7" s="1"/>
  <c r="I16" i="7" s="1"/>
  <c r="D14" i="1"/>
  <c r="I7" i="7"/>
  <c r="I11" i="7"/>
  <c r="I8" i="7"/>
  <c r="E11" i="7"/>
  <c r="F11" i="7" s="1"/>
  <c r="D5" i="1"/>
  <c r="I19" i="7"/>
  <c r="E10" i="7"/>
  <c r="F10" i="7" s="1"/>
  <c r="I18" i="7" s="1"/>
  <c r="E9" i="7"/>
  <c r="F9" i="7" s="1"/>
  <c r="I17" i="7" s="1"/>
  <c r="I9" i="7"/>
  <c r="I10" i="7"/>
  <c r="I12" i="7"/>
  <c r="H12" i="7"/>
  <c r="H11" i="7"/>
  <c r="H10" i="7"/>
  <c r="H9" i="7"/>
  <c r="H8" i="7"/>
  <c r="H7" i="7"/>
  <c r="H16" i="7"/>
  <c r="H17" i="7"/>
  <c r="H19" i="7"/>
  <c r="H20" i="7"/>
  <c r="H21" i="7"/>
  <c r="H18" i="7"/>
  <c r="I21" i="7"/>
  <c r="L9" i="1"/>
  <c r="I11" i="1"/>
  <c r="J11" i="1" s="1"/>
  <c r="K11" i="1" s="1"/>
  <c r="D10" i="2"/>
  <c r="D9" i="5"/>
  <c r="D28" i="5" s="1"/>
  <c r="C3" i="5" s="1"/>
  <c r="D33" i="1"/>
  <c r="D11" i="1"/>
  <c r="J12" i="1"/>
  <c r="K12" i="1" s="1"/>
  <c r="J8" i="1"/>
  <c r="K8" i="1" s="1"/>
  <c r="H14" i="1"/>
  <c r="J14" i="1" s="1"/>
  <c r="K14" i="1" s="1"/>
  <c r="H13" i="1"/>
  <c r="J13" i="1" s="1"/>
  <c r="K13" i="1" s="1"/>
  <c r="J9" i="1"/>
  <c r="H5" i="1" l="1"/>
  <c r="H23" i="1"/>
  <c r="K9" i="1"/>
  <c r="J25" i="1"/>
  <c r="D34" i="1"/>
  <c r="D5" i="2"/>
  <c r="D2" i="2"/>
  <c r="D21" i="1" l="1"/>
  <c r="F14" i="7" s="1"/>
  <c r="I20" i="7" s="1"/>
  <c r="E34" i="1"/>
  <c r="F34" i="1" s="1"/>
  <c r="G2" i="2"/>
  <c r="E33" i="1" s="1"/>
  <c r="F3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A7243-D21B-4BDE-9BFB-858CEEF12228}" keepAlive="1" name="Consulta - COP" description="Conexión a la consulta 'COP' en el libro." type="5" refreshedVersion="8" background="1" saveData="1">
    <dbPr connection="Provider=Microsoft.Mashup.OleDb.1;Data Source=$Workbook$;Location=COP;Extended Properties=&quot;&quot;" command="SELECT * FROM [COP]"/>
  </connection>
</connections>
</file>

<file path=xl/sharedStrings.xml><?xml version="1.0" encoding="utf-8"?>
<sst xmlns="http://schemas.openxmlformats.org/spreadsheetml/2006/main" count="488" uniqueCount="305">
  <si>
    <t>Wellbeing Lifestyle</t>
  </si>
  <si>
    <t>Hair salon</t>
  </si>
  <si>
    <t>Kung Fu</t>
  </si>
  <si>
    <t>Pensión</t>
  </si>
  <si>
    <t>Salud</t>
  </si>
  <si>
    <t>Salary</t>
  </si>
  <si>
    <t>Creatine (monthly)</t>
  </si>
  <si>
    <t>Goal</t>
  </si>
  <si>
    <t>Last Updated:</t>
  </si>
  <si>
    <t>GOETHE C1</t>
  </si>
  <si>
    <t>Expense</t>
  </si>
  <si>
    <t>Unit Cost</t>
  </si>
  <si>
    <t>Times/Month</t>
  </si>
  <si>
    <t>Total Cost</t>
  </si>
  <si>
    <t>Pluxee</t>
  </si>
  <si>
    <t>Protein</t>
  </si>
  <si>
    <t>After Benefits</t>
  </si>
  <si>
    <t>Remaining</t>
  </si>
  <si>
    <t>Name</t>
  </si>
  <si>
    <t>Value</t>
  </si>
  <si>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</si>
  <si>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</si>
  <si>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</si>
  <si>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</si>
  <si>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</si>
  <si>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</si>
  <si>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</si>
  <si>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</si>
  <si>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</si>
  <si>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</si>
  <si>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</si>
  <si>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</si>
  <si>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</si>
  <si>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</si>
  <si>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</si>
  <si>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</si>
  <si>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</si>
  <si>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</si>
  <si>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</si>
  <si>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</si>
  <si>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</si>
  <si>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</si>
  <si>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</si>
  <si>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</si>
  <si>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</si>
  <si>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</si>
  <si>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</si>
  <si>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</si>
  <si>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</si>
  <si>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</si>
  <si>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</si>
  <si>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</si>
  <si>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</si>
  <si>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</si>
  <si>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</si>
  <si>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</si>
  <si>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</si>
  <si>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</si>
  <si>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</si>
  <si>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</si>
  <si>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</si>
  <si>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</si>
  <si>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</si>
  <si>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</si>
  <si>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</si>
  <si>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</si>
  <si>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FOK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</si>
  <si>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</si>
  <si>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</si>
  <si>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</si>
  <si>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</si>
  <si>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</si>
  <si>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</si>
  <si>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</si>
  <si>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</si>
  <si>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</si>
  <si>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</si>
  <si>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</si>
  <si>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</si>
  <si>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</si>
  <si>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</si>
  <si>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</si>
  <si>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</si>
  <si>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</si>
  <si>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</si>
  <si>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</si>
  <si>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</si>
  <si>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</si>
  <si>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</si>
  <si>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</si>
  <si>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</si>
  <si>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</si>
  <si>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</si>
  <si>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</si>
  <si>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</si>
  <si>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KID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</si>
  <si>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</si>
  <si>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</si>
  <si>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</si>
  <si>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</si>
  <si>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</si>
  <si>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</si>
  <si>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</si>
  <si>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</si>
  <si>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</si>
  <si>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</si>
  <si>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</si>
  <si>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</si>
  <si>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</si>
  <si>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</si>
  <si>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</si>
  <si>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</si>
  <si>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</si>
  <si>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</si>
  <si>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</si>
  <si>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</si>
  <si>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</si>
  <si>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</si>
  <si>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</si>
  <si>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</si>
  <si>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</si>
  <si>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</si>
  <si>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</si>
  <si>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</si>
  <si>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</si>
  <si>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</si>
  <si>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</si>
  <si>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</si>
  <si>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</si>
  <si>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</si>
  <si>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</si>
  <si>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</si>
  <si>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</si>
  <si>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</si>
  <si>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</si>
  <si>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</si>
  <si>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</si>
  <si>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</si>
  <si>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</si>
  <si>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</si>
  <si>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</si>
  <si>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</si>
  <si>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</si>
  <si>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</si>
  <si>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</si>
  <si>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</si>
  <si>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</si>
  <si>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</si>
  <si>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</si>
  <si>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</si>
  <si>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</si>
  <si>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</si>
  <si>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</si>
  <si>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</si>
  <si>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</si>
  <si>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</si>
  <si>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</si>
  <si>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</si>
  <si>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</si>
  <si>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</si>
  <si>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</si>
  <si>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</si>
  <si>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</si>
  <si>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</si>
  <si>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</si>
  <si>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</si>
  <si>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</si>
  <si>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</si>
  <si>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</si>
  <si>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</si>
  <si>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</si>
  <si>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</si>
  <si>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</si>
  <si>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</si>
  <si>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XCD</t>
  </si>
  <si>
    <t>XCG</t>
  </si>
  <si>
    <t>XDR</t>
  </si>
  <si>
    <t>XOF</t>
  </si>
  <si>
    <t>XPF</t>
  </si>
  <si>
    <t>YER</t>
  </si>
  <si>
    <t>ZAR</t>
  </si>
  <si>
    <t>ZMW</t>
  </si>
  <si>
    <t>ZWL</t>
  </si>
  <si>
    <t>Total Expenses</t>
  </si>
  <si>
    <t>Kung Fu - Maestro Chang</t>
  </si>
  <si>
    <t>Kung Fu - December Promotion</t>
  </si>
  <si>
    <t>Gaming PC</t>
  </si>
  <si>
    <t>Guitarra Módulo PC</t>
  </si>
  <si>
    <t>Bed</t>
  </si>
  <si>
    <t>Mamá</t>
  </si>
  <si>
    <t>Carro</t>
  </si>
  <si>
    <t>CDT (March 1st)</t>
  </si>
  <si>
    <t>Cama</t>
  </si>
  <si>
    <t>TOTAL</t>
  </si>
  <si>
    <t>Regalo Saris</t>
  </si>
  <si>
    <t>Expected Date</t>
  </si>
  <si>
    <t>Date of Creation:</t>
  </si>
  <si>
    <t xml:space="preserve"> </t>
  </si>
  <si>
    <t>Funds for 1 Year</t>
  </si>
  <si>
    <t>Funds for 2 Years</t>
  </si>
  <si>
    <t>Time till Germany (from 05.08.2025) [months]</t>
  </si>
  <si>
    <t>Secondary Phone</t>
  </si>
  <si>
    <t>CDT Finandina</t>
  </si>
  <si>
    <t>Notes</t>
  </si>
  <si>
    <t>Amount</t>
  </si>
  <si>
    <t>Investment</t>
  </si>
  <si>
    <t>(Calculations per last recorded savings)</t>
  </si>
  <si>
    <t>Mobile Plan</t>
  </si>
  <si>
    <t>HiperMarFish</t>
  </si>
  <si>
    <t>Pay Date (day)</t>
  </si>
  <si>
    <t>-</t>
  </si>
  <si>
    <t>Kung Fu Hoodie</t>
  </si>
  <si>
    <t>AWS - CLF-02</t>
  </si>
  <si>
    <t>AWS - SAA-C02</t>
  </si>
  <si>
    <t>Income</t>
  </si>
  <si>
    <t>Pay Date</t>
  </si>
  <si>
    <t>Camarón Grande Precocido</t>
  </si>
  <si>
    <t>2 Lomito de Róbalo 500g</t>
  </si>
  <si>
    <t>DELF B2</t>
  </si>
  <si>
    <t>2-3 days after request</t>
  </si>
  <si>
    <t>Per service</t>
  </si>
  <si>
    <t>5 servings left</t>
  </si>
  <si>
    <t>Amount to Cash Out (monthly)</t>
  </si>
  <si>
    <t>CLF</t>
  </si>
  <si>
    <t>CNH</t>
  </si>
  <si>
    <t>ZWG</t>
  </si>
  <si>
    <t>Rent</t>
  </si>
  <si>
    <t>Additional Information</t>
  </si>
  <si>
    <t>Kung Fu - June Promotion</t>
  </si>
  <si>
    <t>Pedido Temu</t>
  </si>
  <si>
    <t>CDTs</t>
  </si>
  <si>
    <t>Liquidity</t>
  </si>
  <si>
    <t>Stocks</t>
  </si>
  <si>
    <t>Percentage</t>
  </si>
  <si>
    <t>Current Amount</t>
  </si>
  <si>
    <t>Investment Type</t>
  </si>
  <si>
    <t>Odontología</t>
  </si>
  <si>
    <t>Cash out on 2.9.2026</t>
  </si>
  <si>
    <t>Chaqueta</t>
  </si>
  <si>
    <t>Summary</t>
  </si>
  <si>
    <t>Incoming</t>
  </si>
  <si>
    <t>Outcoming</t>
  </si>
  <si>
    <t>Description</t>
  </si>
  <si>
    <t>USD/COP &lt; 3.000</t>
  </si>
  <si>
    <t>USD 20%, CDTs 39%</t>
  </si>
  <si>
    <t>USD/COP &gt; 3.600</t>
  </si>
  <si>
    <t>EUR/COP &lt; 3.300</t>
  </si>
  <si>
    <t>EUR 40%, CDTs 34%</t>
  </si>
  <si>
    <t>EUR/COP &gt; 3.700</t>
  </si>
  <si>
    <t>EUR 40%, USD 20%, CDTs 29%</t>
  </si>
  <si>
    <t>Condition</t>
  </si>
  <si>
    <t>Action</t>
  </si>
  <si>
    <t>% Adjusted</t>
  </si>
  <si>
    <t>No Changes</t>
  </si>
  <si>
    <t>Increase EUR</t>
  </si>
  <si>
    <t>Hold</t>
  </si>
  <si>
    <t>Reallocate 10% from CDTs to EUR</t>
  </si>
  <si>
    <t>Reallocate 5% from CDTs to USD</t>
  </si>
  <si>
    <t>USD &amp; EUR Decrease</t>
  </si>
  <si>
    <t>EUR*</t>
  </si>
  <si>
    <t>Unlock EUR portion</t>
  </si>
  <si>
    <t>EUR = 30%</t>
  </si>
  <si>
    <t>EUR/COP &gt;3800 (90 days)*</t>
  </si>
  <si>
    <t>CDT Banco Santander</t>
  </si>
  <si>
    <t>Monthly Incomes</t>
  </si>
  <si>
    <t>Monthly Outcomes</t>
  </si>
  <si>
    <t>Monthly NET</t>
  </si>
  <si>
    <t>The 2nd every 3 months</t>
  </si>
  <si>
    <t>The 16nd every 3 months</t>
  </si>
  <si>
    <t>Date Bought</t>
  </si>
  <si>
    <t>Date Sold</t>
  </si>
  <si>
    <t>Asset</t>
  </si>
  <si>
    <t>Units</t>
  </si>
  <si>
    <t>Price Buy</t>
  </si>
  <si>
    <t>Price Sell</t>
  </si>
  <si>
    <t>Total Invested (COP)</t>
  </si>
  <si>
    <t>Gain/Loss (COP)</t>
  </si>
  <si>
    <t>% Return</t>
  </si>
  <si>
    <t>AAPL</t>
  </si>
  <si>
    <t>MSTF</t>
  </si>
  <si>
    <t>V</t>
  </si>
  <si>
    <t>JNJ</t>
  </si>
  <si>
    <t>KO</t>
  </si>
  <si>
    <t>Total Value</t>
  </si>
  <si>
    <t>Current: 74% until hitting EUR limit</t>
  </si>
  <si>
    <t>Current: 0% until hitting EUR limit</t>
  </si>
  <si>
    <t>Current: 3.000.000,00. Transfer Pending</t>
  </si>
  <si>
    <t>Pending</t>
  </si>
  <si>
    <t>Date</t>
  </si>
  <si>
    <t>N/A</t>
  </si>
  <si>
    <t>Account Balance</t>
  </si>
  <si>
    <t>Gain/Loss</t>
  </si>
  <si>
    <t>General Balance</t>
  </si>
  <si>
    <t>Difference from Expected Net</t>
  </si>
  <si>
    <t>General Balance Scope</t>
  </si>
  <si>
    <t>Difference from Expected Net Scope</t>
  </si>
  <si>
    <t>Amount for Investment</t>
  </si>
  <si>
    <t>SITP</t>
  </si>
  <si>
    <t>Didi Bike</t>
  </si>
  <si>
    <t>Laptop Drive</t>
  </si>
  <si>
    <t>Look 'My Stats'&gt;Supplements</t>
  </si>
  <si>
    <t>Chaqueta Velez</t>
  </si>
  <si>
    <t>Viaje Cali</t>
  </si>
  <si>
    <t>Monthly Remaining</t>
  </si>
  <si>
    <t>Cash out on 17.01.2027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</si>
</sst>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_([$COP]\ * #,##0.00_);_([$COP]\ * \(#,##0.00\);_([$COP]\ * &quot;-&quot;??_);_(@_)"/>
    <numFmt numFmtId="166" formatCode="_([$COP]\ * #,##0_);_([$COP]\ * \(#,##0\);_([$COP]\ * &quot;-&quot;??_);_(@_)"/>
    <numFmt numFmtId="167" formatCode="_-* #,##0.00\ [$COP]_-;\-* #,##0.00\ [$COP]_-;_-* &quot;-&quot;??\ [$COP]_-;_-@_-"/>
    <numFmt numFmtId="168" formatCode="_-[$$-240A]\ * #,##0.00_-;\-[$$-240A]\ * #,##0.00_-;_-[$$-240A]\ * &quot;-&quot;??_-;_-@_-"/>
    <numFmt numFmtId="169" formatCode="[$-F800]dddd\,\ mmmm\ dd\,\ yyyy"/>
    <numFmt numFmtId="170" formatCode="_-* #,##0.00\ _€_-;\-* #,##0.00\ _€_-;_-* &quot;-&quot;??\ _€_-;_-@_-"/>
    <numFmt numFmtId="171" formatCode="#,##0.00\ [$COP]"/>
    <numFmt numFmtId="172" formatCode="\+\ #.##0\ \C\O\P;\-\ #.##0\ \C\O\P;0\ \C\O\P"/>
    <numFmt numFmtId="173" formatCode="[$COP]\ #,##0.00"/>
    <numFmt numFmtId="174" formatCode="mmmm\ 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  <xf numFmtId="0" fontId="8" fillId="13" borderId="0" applyNumberFormat="0" applyBorder="0" applyAlignment="0" applyProtection="0"/>
    <xf numFmtId="0" fontId="4" fillId="14" borderId="26" applyNumberFormat="0" applyAlignment="0" applyProtection="0"/>
  </cellStyleXfs>
  <cellXfs count="130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14" fontId="0" fillId="2" borderId="0" xfId="0" applyNumberFormat="1" applyFill="1"/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0" fontId="0" fillId="0" borderId="2" xfId="0" applyBorder="1"/>
    <xf numFmtId="167" fontId="0" fillId="0" borderId="0" xfId="0" applyNumberFormat="1"/>
    <xf numFmtId="165" fontId="0" fillId="0" borderId="4" xfId="0" applyNumberFormat="1" applyBorder="1"/>
    <xf numFmtId="165" fontId="0" fillId="7" borderId="9" xfId="0" applyNumberFormat="1" applyFill="1" applyBorder="1"/>
    <xf numFmtId="165" fontId="0" fillId="7" borderId="10" xfId="0" applyNumberFormat="1" applyFill="1" applyBorder="1"/>
    <xf numFmtId="165" fontId="0" fillId="3" borderId="12" xfId="1" applyNumberFormat="1" applyFont="1" applyFill="1" applyBorder="1"/>
    <xf numFmtId="165" fontId="0" fillId="4" borderId="12" xfId="0" applyNumberFormat="1" applyFill="1" applyBorder="1"/>
    <xf numFmtId="0" fontId="3" fillId="0" borderId="11" xfId="0" applyFont="1" applyBorder="1"/>
    <xf numFmtId="0" fontId="3" fillId="0" borderId="0" xfId="0" applyFont="1"/>
    <xf numFmtId="0" fontId="3" fillId="2" borderId="0" xfId="0" applyFont="1" applyFill="1"/>
    <xf numFmtId="165" fontId="0" fillId="12" borderId="12" xfId="0" applyNumberFormat="1" applyFill="1" applyBorder="1"/>
    <xf numFmtId="0" fontId="4" fillId="0" borderId="0" xfId="0" applyFont="1"/>
    <xf numFmtId="0" fontId="5" fillId="0" borderId="13" xfId="0" applyFont="1" applyBorder="1"/>
    <xf numFmtId="166" fontId="0" fillId="0" borderId="10" xfId="0" applyNumberFormat="1" applyBorder="1"/>
    <xf numFmtId="0" fontId="0" fillId="0" borderId="10" xfId="0" applyBorder="1"/>
    <xf numFmtId="169" fontId="0" fillId="0" borderId="10" xfId="0" applyNumberFormat="1" applyBorder="1"/>
    <xf numFmtId="0" fontId="4" fillId="0" borderId="14" xfId="0" applyFont="1" applyBorder="1"/>
    <xf numFmtId="170" fontId="0" fillId="0" borderId="0" xfId="0" applyNumberFormat="1"/>
    <xf numFmtId="168" fontId="0" fillId="0" borderId="0" xfId="0" applyNumberFormat="1"/>
    <xf numFmtId="2" fontId="0" fillId="0" borderId="0" xfId="0" applyNumberFormat="1"/>
    <xf numFmtId="0" fontId="6" fillId="0" borderId="0" xfId="0" applyFont="1"/>
    <xf numFmtId="1" fontId="0" fillId="0" borderId="1" xfId="0" applyNumberFormat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2" fontId="0" fillId="7" borderId="9" xfId="0" applyNumberFormat="1" applyFill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/>
    <xf numFmtId="165" fontId="0" fillId="0" borderId="16" xfId="0" applyNumberFormat="1" applyBorder="1"/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9" borderId="1" xfId="2" applyBorder="1" applyAlignment="1">
      <alignment horizontal="center" vertical="center"/>
    </xf>
    <xf numFmtId="165" fontId="2" fillId="9" borderId="1" xfId="2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9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8" fontId="0" fillId="0" borderId="3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4" xfId="1" applyNumberFormat="1" applyFont="1" applyBorder="1" applyAlignment="1">
      <alignment horizontal="center" vertical="center"/>
    </xf>
    <xf numFmtId="168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164" fontId="0" fillId="0" borderId="0" xfId="1" applyFont="1" applyBorder="1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3" fillId="0" borderId="7" xfId="1" applyFont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5" xfId="1" applyFont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168" fontId="7" fillId="11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0" fillId="8" borderId="9" xfId="0" applyNumberFormat="1" applyFill="1" applyBorder="1" applyAlignment="1">
      <alignment horizontal="center" vertical="center"/>
    </xf>
    <xf numFmtId="167" fontId="0" fillId="5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4" fillId="14" borderId="26" xfId="5" applyAlignment="1">
      <alignment horizontal="center" vertical="center"/>
    </xf>
    <xf numFmtId="171" fontId="4" fillId="14" borderId="26" xfId="5" applyNumberFormat="1" applyAlignment="1">
      <alignment horizontal="center" vertical="center"/>
    </xf>
    <xf numFmtId="9" fontId="4" fillId="14" borderId="26" xfId="5" applyNumberFormat="1" applyAlignment="1">
      <alignment horizontal="center" vertical="center"/>
    </xf>
    <xf numFmtId="0" fontId="4" fillId="14" borderId="26" xfId="5" applyAlignment="1">
      <alignment horizontal="center" vertical="center" wrapText="1"/>
    </xf>
    <xf numFmtId="0" fontId="8" fillId="13" borderId="0" xfId="4" applyAlignment="1">
      <alignment horizontal="center" vertical="center"/>
    </xf>
    <xf numFmtId="9" fontId="8" fillId="13" borderId="0" xfId="4" applyNumberFormat="1" applyAlignment="1">
      <alignment horizontal="center" vertical="center"/>
    </xf>
    <xf numFmtId="171" fontId="8" fillId="13" borderId="0" xfId="4" applyNumberFormat="1" applyAlignment="1">
      <alignment horizontal="center" vertical="center"/>
    </xf>
    <xf numFmtId="0" fontId="7" fillId="14" borderId="26" xfId="5" applyFont="1" applyAlignment="1">
      <alignment horizontal="center" vertical="center"/>
    </xf>
    <xf numFmtId="0" fontId="9" fillId="13" borderId="0" xfId="4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4" xfId="0" applyBorder="1"/>
    <xf numFmtId="164" fontId="0" fillId="0" borderId="1" xfId="1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6" borderId="15" xfId="0" applyFont="1" applyFill="1" applyBorder="1"/>
    <xf numFmtId="171" fontId="4" fillId="17" borderId="12" xfId="0" applyNumberFormat="1" applyFont="1" applyFill="1" applyBorder="1"/>
    <xf numFmtId="1" fontId="0" fillId="0" borderId="0" xfId="0" applyNumberFormat="1"/>
    <xf numFmtId="1" fontId="0" fillId="0" borderId="9" xfId="0" applyNumberFormat="1" applyBorder="1"/>
    <xf numFmtId="173" fontId="4" fillId="14" borderId="26" xfId="5" applyNumberForma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4" fillId="14" borderId="26" xfId="5" applyNumberFormat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8" fontId="0" fillId="0" borderId="2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9" borderId="3" xfId="2" applyBorder="1" applyAlignment="1">
      <alignment horizontal="center" vertical="center"/>
    </xf>
    <xf numFmtId="164" fontId="2" fillId="9" borderId="1" xfId="2" applyNumberFormat="1" applyBorder="1" applyAlignment="1">
      <alignment horizontal="center" vertical="center"/>
    </xf>
    <xf numFmtId="164" fontId="2" fillId="9" borderId="4" xfId="2" applyNumberFormat="1" applyBorder="1" applyAlignment="1">
      <alignment horizontal="center" vertical="center"/>
    </xf>
  </cellXfs>
  <cellStyles count="6">
    <cellStyle name="Check Cell" xfId="5" builtinId="23"/>
    <cellStyle name="Currency" xfId="1" builtinId="4"/>
    <cellStyle name="Good" xfId="2" builtinId="26"/>
    <cellStyle name="Neutral" xfId="4" builtinId="28"/>
    <cellStyle name="Normal" xfId="0" builtinId="0"/>
    <cellStyle name="Percent" xfId="3" builtinId="5"/>
  </cellStyles>
  <dxfs count="80"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72" formatCode="\+\ #.##0\ \C\O\P;\-\ #.##0\ \C\O\P;0\ \C\O\P"/>
      <alignment horizontal="center" vertical="center" textRotation="0" wrapText="0" indent="0" justifyLastLine="0" shrinkToFit="0" readingOrder="0"/>
    </dxf>
    <dxf>
      <numFmt numFmtId="171" formatCode="#,##0.00\ [$COP]"/>
      <alignment horizontal="center" vertical="center" textRotation="0" wrapText="0" indent="0" justifyLastLine="0" shrinkToFit="0" readingOrder="0"/>
    </dxf>
    <dxf>
      <numFmt numFmtId="171" formatCode="#,##0.00\ [$COP]"/>
      <alignment horizontal="center" vertical="center" textRotation="0" wrapText="0" indent="0" justifyLastLine="0" shrinkToFit="0" readingOrder="0"/>
    </dxf>
    <dxf>
      <numFmt numFmtId="173" formatCode="[$COP]\ #,##0.00"/>
      <alignment horizontal="center" vertical="center" textRotation="0" wrapText="0" indent="0" justifyLastLine="0" shrinkToFit="0" readingOrder="0"/>
    </dxf>
    <dxf>
      <numFmt numFmtId="171" formatCode="#,##0.00\ [$COP]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9" formatCode="[$-F800]dddd\,\ mmmm\ dd\,\ yyyy"/>
      <alignment horizontal="center" vertical="center" textRotation="0" wrapText="0" indent="0" justifyLastLine="0" shrinkToFit="0" readingOrder="0"/>
    </dxf>
    <dxf>
      <numFmt numFmtId="169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71" formatCode="#,##0.00\ [$COP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3" formatCode="[$COP]\ #,##0.00"/>
      <alignment horizontal="center" vertical="center" textRotation="0" wrapText="0" indent="0" justifyLastLine="0" shrinkToFit="0" readingOrder="0"/>
    </dxf>
    <dxf>
      <numFmt numFmtId="174" formatCode="m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73" formatCode="[$COP]\ #,##0.00"/>
      <alignment horizontal="center" vertical="center" textRotation="0" wrapText="0" indent="0" justifyLastLine="0" shrinkToFit="0" readingOrder="0"/>
    </dxf>
    <dxf>
      <numFmt numFmtId="174" formatCode="m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3" formatCode="[$COP]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9" formatCode="[$-F800]dddd\,\ mmmm\ dd\,\ 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[$COP]\ * #,##0_);_([$COP]\ * \(#,##0\);_([$COP]\ 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[$COP]\ * #,##0.00_);_([$COP]\ * \(#,##0.00\);_([$COP]\ 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[$COP]\ * #,##0.00_);_([$COP]\ * \(#,##0.00\);_([$COP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COP]\ * #,##0.00_);_([$COP]\ * \(#,##0.00\);_([$COP]\ 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-[$$-240A]\ * #,##0.00_-;\-[$$-240A]\ * #,##0.00_-;_-[$$-240A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Account Balance (Rolling 6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Tracker!$I$6</c:f>
              <c:strCache>
                <c:ptCount val="1"/>
                <c:pt idx="0">
                  <c:v>General Balance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Tracker!$H$7:$H$12</c:f>
              <c:numCache>
                <c:formatCode>mmmm\ yyyy</c:formatCode>
                <c:ptCount val="6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</c:numCache>
            </c:numRef>
          </c:cat>
          <c:val>
            <c:numRef>
              <c:f>Tracker!$I$7:$I$12</c:f>
              <c:numCache>
                <c:formatCode>[$COP]\ #,##0.00</c:formatCode>
                <c:ptCount val="6"/>
                <c:pt idx="0">
                  <c:v>55912013.149999999</c:v>
                </c:pt>
                <c:pt idx="1">
                  <c:v>61491091.960000001</c:v>
                </c:pt>
                <c:pt idx="2">
                  <c:v>64900000</c:v>
                </c:pt>
                <c:pt idx="3">
                  <c:v>65265421.539999999</c:v>
                </c:pt>
                <c:pt idx="4">
                  <c:v>69506976.569999993</c:v>
                </c:pt>
                <c:pt idx="5">
                  <c:v>74189383.569999993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0-4862-8440-BA6831A9F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550415"/>
        <c:axId val="140550895"/>
      </c:barChart>
      <c:dateAx>
        <c:axId val="140550415"/>
        <c:scaling>
          <c:orientation val="minMax"/>
        </c:scaling>
        <c:delete val="0"/>
        <c:axPos val="b"/>
        <c:numFmt formatCode="mmmm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0895"/>
        <c:crosses val="autoZero"/>
        <c:auto val="1"/>
        <c:lblOffset val="100"/>
        <c:baseTimeUnit val="months"/>
      </c:dateAx>
      <c:valAx>
        <c:axId val="14055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CO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04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Gain/Loss (Rolling 6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Tracker!$I$15</c:f>
              <c:strCache>
                <c:ptCount val="1"/>
                <c:pt idx="0">
                  <c:v>Difference from Expected Net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Tracker!$H$16:$H$21</c:f>
              <c:numCache>
                <c:formatCode>mmmm\ yyyy</c:formatCode>
                <c:ptCount val="6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</c:numCache>
            </c:numRef>
          </c:cat>
          <c:val>
            <c:numRef>
              <c:f>Tracker!$I$16:$I$21</c:f>
              <c:numCache>
                <c:formatCode>[$COP]\ #,##0.00</c:formatCode>
                <c:ptCount val="6"/>
                <c:pt idx="0">
                  <c:v>1398761.5899999989</c:v>
                </c:pt>
                <c:pt idx="1">
                  <c:v>-1058940.870000002</c:v>
                </c:pt>
                <c:pt idx="2">
                  <c:v>1111229.9000000013</c:v>
                </c:pt>
                <c:pt idx="3">
                  <c:v>1111029.9400000004</c:v>
                </c:pt>
                <c:pt idx="4">
                  <c:v>156982.9114285782</c:v>
                </c:pt>
                <c:pt idx="5">
                  <c:v>-162269.05999999959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4-4B08-80A0-0962D59FF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7344431"/>
        <c:axId val="388019055"/>
      </c:barChart>
      <c:dateAx>
        <c:axId val="287344431"/>
        <c:scaling>
          <c:orientation val="minMax"/>
        </c:scaling>
        <c:delete val="0"/>
        <c:axPos val="b"/>
        <c:numFmt formatCode="mmmm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9055"/>
        <c:crosses val="autoZero"/>
        <c:auto val="1"/>
        <c:lblOffset val="100"/>
        <c:baseTimeUnit val="months"/>
      </c:dateAx>
      <c:valAx>
        <c:axId val="3880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COP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4443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7E-45E7-ABDF-76F6552DF737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7E-45E7-ABDF-76F6552DF737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7E-45E7-ABDF-76F6552DF737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7E-45E7-ABDF-76F6552DF737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7E-45E7-ABDF-76F6552DF737}"/>
              </c:ext>
            </c:extLst>
          </c:dPt>
          <c:dLbls>
            <c:dLbl>
              <c:idx val="0"/>
              <c:layout>
                <c:manualLayout>
                  <c:x val="-0.10203702437328001"/>
                  <c:y val="0.14306969038003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7E-45E7-ABDF-76F6552DF737}"/>
                </c:ext>
              </c:extLst>
            </c:dLbl>
            <c:dLbl>
              <c:idx val="1"/>
              <c:layout>
                <c:manualLayout>
                  <c:x val="-8.4395581450189827E-2"/>
                  <c:y val="-0.19253460356908633"/>
                </c:manualLayout>
              </c:layout>
              <c:tx>
                <c:rich>
                  <a:bodyPr/>
                  <a:lstStyle/>
                  <a:p>
                    <a:fld id="{FB828A8A-2CE1-4C0E-8F8C-24D612AA7312}" type="CATEGORYNAME">
                      <a:rPr lang="en-US" sz="120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B38CD0A6-0479-4332-90E0-399363384740}" type="PERCENTAGE">
                      <a:rPr lang="en-US" sz="1200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57E-45E7-ABDF-76F6552DF737}"/>
                </c:ext>
              </c:extLst>
            </c:dLbl>
            <c:dLbl>
              <c:idx val="2"/>
              <c:layout>
                <c:manualLayout>
                  <c:x val="-8.973916869527321E-4"/>
                  <c:y val="-0.106488557523040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7E-45E7-ABDF-76F6552DF737}"/>
                </c:ext>
              </c:extLst>
            </c:dLbl>
            <c:dLbl>
              <c:idx val="3"/>
              <c:layout>
                <c:manualLayout>
                  <c:x val="0.11727698630196988"/>
                  <c:y val="3.1594076835456085E-2"/>
                </c:manualLayout>
              </c:layout>
              <c:tx>
                <c:rich>
                  <a:bodyPr/>
                  <a:lstStyle/>
                  <a:p>
                    <a:fld id="{F0500A27-D1A7-4DAD-8AE2-D19497CD9AA2}" type="CATEGORYNAME">
                      <a:rPr lang="en-US" sz="1200"/>
                      <a:pPr/>
                      <a:t>[CATEGORY NAME]</a:t>
                    </a:fld>
                    <a:r>
                      <a:rPr lang="en-US" sz="1200" baseline="0"/>
                      <a:t>
</a:t>
                    </a:r>
                    <a:fld id="{04E40FC7-F920-4193-A562-4E6E7DC9826B}" type="PERCENTAGE">
                      <a:rPr lang="en-US" sz="1200" baseline="0"/>
                      <a:pPr/>
                      <a:t>[PERCENTAGE]</a:t>
                    </a:fld>
                    <a:endParaRPr lang="en-US" sz="12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57E-45E7-ABDF-76F6552DF737}"/>
                </c:ext>
              </c:extLst>
            </c:dLbl>
            <c:dLbl>
              <c:idx val="4"/>
              <c:layout>
                <c:manualLayout>
                  <c:x val="-0.16423022765327097"/>
                  <c:y val="8.38386503009425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3A58309-BCCA-4485-8062-754EC1229672}" type="CATEGORYNAME">
                      <a:rPr lang="en-US" sz="1100">
                        <a:solidFill>
                          <a:schemeClr val="bg1"/>
                        </a:solidFill>
                      </a:rPr>
                      <a:pPr>
                        <a:defRPr sz="1100"/>
                      </a:pPr>
                      <a:t>[CATEGORY NAME]</a:t>
                    </a:fld>
                    <a:r>
                      <a:rPr lang="en-US" sz="1100" baseline="0">
                        <a:solidFill>
                          <a:schemeClr val="bg1"/>
                        </a:solidFill>
                      </a:rPr>
                      <a:t>
</a:t>
                    </a:r>
                    <a:fld id="{529951B3-B228-4E88-9610-E2089964C5D9}" type="PERCENTAGE">
                      <a:rPr lang="en-US" sz="1100" baseline="0">
                        <a:solidFill>
                          <a:schemeClr val="bg1"/>
                        </a:solidFill>
                      </a:rPr>
                      <a:pPr>
                        <a:defRPr sz="1100"/>
                      </a:pPr>
                      <a:t>[PERCENTAGE]</a:t>
                    </a:fld>
                    <a:endParaRPr lang="en-US" sz="11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D57E-45E7-ABDF-76F6552DF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Portfolio!$E$17:$E$21</c:f>
              <c:strCache>
                <c:ptCount val="5"/>
                <c:pt idx="0">
                  <c:v>EUR*</c:v>
                </c:pt>
                <c:pt idx="1">
                  <c:v>USD</c:v>
                </c:pt>
                <c:pt idx="2">
                  <c:v>Liquidity</c:v>
                </c:pt>
                <c:pt idx="3">
                  <c:v>CDTs</c:v>
                </c:pt>
                <c:pt idx="4">
                  <c:v>Stocks</c:v>
                </c:pt>
              </c:strCache>
            </c:strRef>
          </c:cat>
          <c:val>
            <c:numRef>
              <c:f>Portfolio!$F$17:$F$21</c:f>
              <c:numCache>
                <c:formatCode>0%</c:formatCode>
                <c:ptCount val="5"/>
                <c:pt idx="0">
                  <c:v>0.3</c:v>
                </c:pt>
                <c:pt idx="1">
                  <c:v>0.15</c:v>
                </c:pt>
                <c:pt idx="2">
                  <c:v>0.1</c:v>
                </c:pt>
                <c:pt idx="3">
                  <c:v>0.44</c:v>
                </c:pt>
                <c:pt idx="4">
                  <c:v>1.0000000000000009E-2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7-4DFB-8DD4-ED0D85E6C4D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603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592159</xdr:colOff>
      <xdr:row>1</xdr:row>
      <xdr:rowOff>37372</xdr:rowOff>
    </xdr:from>
    <xdr:to>
      <xdr:col>18</xdr:col>
      <xdr:colOff>324047</xdr:colOff>
      <xdr:row>22</xdr:row>
      <xdr:rowOff>108015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F431E2-5589-C7E3-C730-9C5660D90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598464</xdr:colOff>
      <xdr:row>22</xdr:row>
      <xdr:rowOff>154619</xdr:rowOff>
    </xdr:from>
    <xdr:to>
      <xdr:col>18</xdr:col>
      <xdr:colOff>333866</xdr:colOff>
      <xdr:row>45</xdr:row>
      <xdr:rowOff>147294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0F0001-F331-02EE-465F-285C4CA8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235968</xdr:colOff>
      <xdr:row>5</xdr:row>
      <xdr:rowOff>174231</xdr:rowOff>
    </xdr:from>
    <xdr:to>
      <xdr:col>14</xdr:col>
      <xdr:colOff>502274</xdr:colOff>
      <xdr:row>20</xdr:row>
      <xdr:rowOff>167999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64B3F1-10AC-48C0-A033-EE5868DFA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246213-22CC-41A1-BFB9-41CA85A97729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B85FF-207C-4D5B-9D71-17F000E82BA2}" name="Tabla1" displayName="Tabla1" ref="G7:M18" totalsRowShown="0" headerRowDxfId="63" headerRowBorderDxfId="62" tableBorderDxfId="61" totalsRowBorderDxfId="60">
  <autoFilter ref="G7:M18" xr:uid="{D12B85FF-207C-4D5B-9D71-17F000E82BA2}"/>
  <tableColumns count="7">
    <tableColumn id="1" xr3:uid="{2B7E95C1-DECA-4AEE-BDEF-3A0B4A1FF392}" name="Expense" dataDxfId="59"/>
    <tableColumn id="2" xr3:uid="{3BF96C8D-03B0-41B0-B988-8791620F79BF}" name="Unit Cost" dataDxfId="58"/>
    <tableColumn id="3" xr3:uid="{3065075C-2E97-4560-8473-35A37808B5F3}" name="Times/Month"/>
    <tableColumn id="4" xr3:uid="{0E68B4B4-0092-46B6-9598-F0521EA5EC7E}" name="Total Cost" dataDxfId="57">
      <calculatedColumnFormula>H8*I8</calculatedColumnFormula>
    </tableColumn>
    <tableColumn id="5" xr3:uid="{10738E51-758B-45FB-9DD0-02C14BC2D40D}" name="After Benefits" dataDxfId="56"/>
    <tableColumn id="6" xr3:uid="{07D186C7-DB64-4AC7-BA70-8DC5B9E3A51B}" name="Pay Date (day)" dataDxfId="55"/>
    <tableColumn id="7" xr3:uid="{8B8904EF-9CF0-47D9-8BCB-78EF6DD7F607}" name="Additional Information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34954-402F-42CF-93F5-A72360F2D070}" name="Tabla4" displayName="Tabla4" ref="C32:F34" totalsRowShown="0" headerRowDxfId="53" dataDxfId="52" tableBorderDxfId="51">
  <autoFilter ref="C32:F34" xr:uid="{66334954-402F-42CF-93F5-A72360F2D070}"/>
  <tableColumns count="4">
    <tableColumn id="1" xr3:uid="{7008F60E-B49B-4429-A785-DABF540532D2}" name=" " dataDxfId="50"/>
    <tableColumn id="2" xr3:uid="{7AA8370E-90CC-4DED-878E-C49D41DF4160}" name="Goal" dataDxfId="49">
      <calculatedColumnFormula>24000*D27</calculatedColumnFormula>
    </tableColumn>
    <tableColumn id="3" xr3:uid="{F5EB769A-6764-44FD-A678-979868FCC64D}" name="Time till Germany (from 05.08.2025) [months]" dataDxfId="48">
      <calculatedColumnFormula>_xlfn.CEILING.MATH((D33-$D$23-$D$5+'Another Expenses'!G2)/$D$21)</calculatedColumnFormula>
    </tableColumn>
    <tableColumn id="4" xr3:uid="{458996D1-0FCE-433A-A2D6-31A1409ED603}" name="Expected Date" dataDxfId="47">
      <calculatedColumnFormula>EDATE(DATE(YEAR($B$2), MONTH($B$2), $E$8),E33)</calculatedColumnFormula>
    </tableColumn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785617-0173-4EE0-B271-24F483A6FC5D}" name="Table8" displayName="Table8" ref="C7:E14" totalsRowShown="0" headerRowDxfId="46" dataDxfId="44" headerRowBorderDxfId="45" tableBorderDxfId="43" totalsRowBorderDxfId="42">
  <autoFilter ref="C7:E14" xr:uid="{EE785617-0173-4EE0-B271-24F483A6FC5D}"/>
  <tableColumns count="3">
    <tableColumn id="1" xr3:uid="{B8D1B94D-65F4-44AF-BB8A-B3944537254D}" name="Income" dataDxfId="41"/>
    <tableColumn id="2" xr3:uid="{70B9C461-0699-4DD9-88DF-A4BC104B1E84}" name="Unit Cost" dataDxfId="40"/>
    <tableColumn id="3" xr3:uid="{0F428774-E799-4A75-AF01-1FEB7C7BB60B}" name="Pay Date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4B9209-31CF-4CB4-B91D-DB56E5076B02}" name="Table9" displayName="Table9" ref="B5:F65" totalsRowShown="0" headerRowDxfId="38" dataDxfId="37">
  <autoFilter ref="B5:F65" xr:uid="{234B9209-31CF-4CB4-B91D-DB56E5076B02}"/>
  <tableColumns count="5">
    <tableColumn id="1" xr3:uid="{71E1B1C3-7B4F-4332-B720-63A44972040A}" name="Date" dataDxfId="36"/>
    <tableColumn id="4" xr3:uid="{92837B89-3057-4978-9098-533DE8C88637}" name="General Balance" dataDxfId="35"/>
    <tableColumn id="2" xr3:uid="{A4EBB52D-F610-40EB-8029-0CC1E5ACB00B}" name="Account Balance" dataDxfId="34">
      <calculatedColumnFormula>RAND()</calculatedColumnFormula>
    </tableColumn>
    <tableColumn id="3" xr3:uid="{198D9105-C07E-44D2-8F61-8F9CABBAD850}" name="Gain/Loss" dataDxfId="33">
      <calculatedColumnFormula>Table9[[#This Row],[Account Balance]]-D5</calculatedColumnFormula>
    </tableColumn>
    <tableColumn id="5" xr3:uid="{4C793EB9-7B7D-4BF8-8BFC-64EEC368D854}" name="Difference from Expected Net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999F4D-13BA-4961-9CC8-4DF65A7B1CEA}" name="Table11" displayName="Table11" ref="H6:I12" totalsRowShown="0" headerRowDxfId="31" dataDxfId="30">
  <autoFilter ref="H6:I12" xr:uid="{1E999F4D-13BA-4961-9CC8-4DF65A7B1CEA}"/>
  <tableColumns count="2">
    <tableColumn id="1" xr3:uid="{5E82BFD3-6D74-43F6-913D-96694AEF7A3E}" name="Date" dataDxfId="29"/>
    <tableColumn id="2" xr3:uid="{710C1C2F-6F23-4153-86B6-2D191197A156}" name="General Balance" dataDxfId="2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BCF91F-3FBC-4548-AAE4-34CB784C3CED}" name="Table1113" displayName="Table1113" ref="H15:I21" totalsRowShown="0" headerRowDxfId="27" dataDxfId="26">
  <autoFilter ref="H15:I21" xr:uid="{3DBCF91F-3FBC-4548-AAE4-34CB784C3CED}"/>
  <tableColumns count="2">
    <tableColumn id="1" xr3:uid="{E16B0B05-832D-453D-BB01-1648C2BB6952}" name="Date" dataDxfId="25"/>
    <tableColumn id="2" xr3:uid="{1165A24D-75E5-4E1D-A756-DA4346B52F4F}" name="Difference from Expected Net" dataDxfId="24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8F843C-C6A6-4B02-9256-7DFE12B32092}" name="Table5" displayName="Table5" ref="C7:F27" totalsRowShown="0" headerRowDxfId="79" headerRowBorderDxfId="78" tableBorderDxfId="77" totalsRowBorderDxfId="76">
  <autoFilter ref="C7:F27" xr:uid="{BA8F843C-C6A6-4B02-9256-7DFE12B32092}"/>
  <tableColumns count="4">
    <tableColumn id="1" xr3:uid="{A7222D0C-F15D-4B37-8493-05007AD6DC97}" name="Description" dataDxfId="75"/>
    <tableColumn id="2" xr3:uid="{9873BCE0-3AFD-4035-A4F4-DDE3995CE8FF}" name="Incoming" dataDxfId="74"/>
    <tableColumn id="3" xr3:uid="{73BD4001-1956-4334-A204-BB3321930FA2}" name="Outcoming" dataDxfId="73" dataCellStyle="Currency"/>
    <tableColumn id="4" xr3:uid="{6189F130-2A64-446B-8A16-FBD00F7771AC}" name="Notes" dataDxfId="7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CD279B-A932-4C0F-8D8F-D149C918CAA1}" name="Table6" displayName="Table6" ref="H7:J27" totalsRowShown="0" headerRowDxfId="71" dataDxfId="69" headerRowBorderDxfId="70" tableBorderDxfId="68" totalsRowBorderDxfId="67">
  <autoFilter ref="H7:J27" xr:uid="{F7CD279B-A932-4C0F-8D8F-D149C918CAA1}"/>
  <tableColumns count="3">
    <tableColumn id="1" xr3:uid="{516245D1-012B-4614-97CB-8E191CA93F41}" name="Name" dataDxfId="66"/>
    <tableColumn id="2" xr3:uid="{41E5D36C-6A21-4BF1-972B-BA27C450EDE2}" name="Amount" dataDxfId="65"/>
    <tableColumn id="3" xr3:uid="{8ADFD3E1-24FE-45CE-8A72-696379253170}" name="Notes" dataDxfId="64" dataCellStyle="Curren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5E943-B17C-4ECF-8BB7-30335A174A27}" name="Table3" displayName="Table3" ref="E16:H21" totalsRowShown="0" headerRowDxfId="23">
  <autoFilter ref="E16:H21" xr:uid="{36A5E943-B17C-4ECF-8BB7-30335A174A27}"/>
  <tableColumns count="4">
    <tableColumn id="1" xr3:uid="{88178FBB-1C68-4443-9D29-711B96CC8F3C}" name="Investment Type" dataDxfId="22"/>
    <tableColumn id="2" xr3:uid="{AF13EBFA-AD22-4799-B232-349084129FC2}" name="Percentage" dataDxfId="21" dataCellStyle="Percent"/>
    <tableColumn id="3" xr3:uid="{06249914-8982-4D40-BF2A-A24479258B7E}" name="Current Amount" dataDxfId="20">
      <calculatedColumnFormula>Tracker!$C$2*Portfolio!F17</calculatedColumnFormula>
    </tableColumn>
    <tableColumn id="4" xr3:uid="{BE746FA0-4394-410B-BFFB-E4580C3454EF}" name="Notes" dataDxfId="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BEBB7D-CF47-44B7-B205-1CF0E218C6CA}" name="Table7" displayName="Table7" ref="E8:G14" totalsRowShown="0" headerRowDxfId="18" dataDxfId="17">
  <autoFilter ref="E8:G14" xr:uid="{56BEBB7D-CF47-44B7-B205-1CF0E218C6CA}"/>
  <tableColumns count="3">
    <tableColumn id="1" xr3:uid="{05264107-3C50-4DC4-BA66-3C598C57D362}" name="Condition" dataDxfId="16"/>
    <tableColumn id="2" xr3:uid="{4F494527-B966-4283-AC8D-DDFC53922A3A}" name="Action" dataDxfId="15"/>
    <tableColumn id="3" xr3:uid="{A8687214-DFD3-4202-A740-25119BF98217}" name="% Adjusted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D22C32-1C4D-4F00-97CD-6D2B89C03A8F}" name="Table10" displayName="Table10" ref="E23:O32" totalsRowShown="0" headerRowDxfId="13" dataDxfId="12">
  <autoFilter ref="E23:O32" xr:uid="{73D22C32-1C4D-4F00-97CD-6D2B89C03A8F}"/>
  <tableColumns count="11">
    <tableColumn id="1" xr3:uid="{EF8D02AC-323D-45AB-AE15-91832BDC7B4E}" name="Date Bought" dataDxfId="11"/>
    <tableColumn id="2" xr3:uid="{712A0457-F103-4A5F-89A3-F38940B6301F}" name="Date Sold" dataDxfId="10"/>
    <tableColumn id="3" xr3:uid="{8B72E438-7296-4BE9-B114-652C18C0973F}" name="Asset" dataDxfId="9"/>
    <tableColumn id="4" xr3:uid="{C9EB17C7-CF17-4BB1-8390-4A0AA329B909}" name="Units" dataDxfId="8"/>
    <tableColumn id="5" xr3:uid="{38A379BB-56A1-4C91-8A79-E09D76997328}" name="Price Buy" dataDxfId="7"/>
    <tableColumn id="6" xr3:uid="{70D6BA55-3422-446B-A79B-9ED0B67E93BD}" name="Price Sell" dataDxfId="6"/>
    <tableColumn id="7" xr3:uid="{D264BB00-77B0-482C-925B-C8BD072B81A0}" name="Total Invested (COP)" dataDxfId="5"/>
    <tableColumn id="8" xr3:uid="{9369D078-2888-4CE1-919F-E9A0C05D615C}" name="Total Value" dataDxfId="4"/>
    <tableColumn id="9" xr3:uid="{313DF1E8-730D-4C1D-BB28-A01F2D131415}" name="Gain/Loss (COP)" dataDxfId="3">
      <calculatedColumnFormula>Table10[[#This Row],[Total Value]]-Table10[[#This Row],[Total Invested (COP)]]</calculatedColumnFormula>
    </tableColumn>
    <tableColumn id="10" xr3:uid="{CD1E921A-1374-4429-89D9-1676BA8642FB}" name="% Return" dataDxfId="2" dataCellStyle="Percent">
      <calculatedColumnFormula>Table10[[#This Row],[Gain/Loss (COP)]]*100/Table10[[#This Row],[Total Invested (COP)]]</calculatedColumnFormula>
    </tableColumn>
    <tableColumn id="11" xr3:uid="{36B25BAF-3792-45C1-AE34-3EDA3274070F}" name="Notes" dataDxfId="1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01BA7-1462-43F6-90A4-0C03FEB5BEE4}" name="COP" displayName="COP" ref="A1:B167" tableType="queryTable" totalsRowShown="0">
  <autoFilter ref="A1:B167" xr:uid="{DDD01BA7-1462-43F6-90A4-0C03FEB5BEE4}"/>
  <tableColumns count="2">
    <tableColumn id="1" xr3:uid="{43E69FD0-8A0C-4CA4-8237-BD89AEE89438}" uniqueName="1" name="Name" queryTableFieldId="1"/>
    <tableColumn id="2" xr3:uid="{444E890D-5D64-4397-8342-8D3B22AB0E9A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8A61-82F4-4CC6-B552-F68414C6EAB4}">
  <sheetPr codeName="Hoja1"/>
  <dimension ref="A1:M1048575"/>
  <sheetViews>
    <sheetView zoomScale="81" workbookViewId="0">
      <selection activeCell="K9" sqref="K9"/>
    </sheetView>
  </sheetViews>
  <sheetFormatPr defaultColWidth="9" defaultRowHeight="14.4" x14ac:dyDescent="0.3"/>
  <cols>
    <col min="1" max="1" width="22.33203125" bestFit="1" customWidth="1"/>
    <col min="2" max="2" width="10.77734375" bestFit="1" customWidth="1"/>
    <col min="3" max="3" width="36.109375" bestFit="1" customWidth="1"/>
    <col min="4" max="4" width="32" bestFit="1" customWidth="1"/>
    <col min="5" max="5" width="44.21875" bestFit="1" customWidth="1"/>
    <col min="6" max="6" width="31.44140625" bestFit="1" customWidth="1"/>
    <col min="7" max="7" width="29.21875" bestFit="1" customWidth="1"/>
    <col min="8" max="8" width="18.21875" bestFit="1" customWidth="1"/>
    <col min="9" max="10" width="16.44140625" bestFit="1" customWidth="1"/>
    <col min="11" max="11" width="23.77734375" bestFit="1" customWidth="1"/>
    <col min="12" max="12" width="28.21875" bestFit="1" customWidth="1"/>
    <col min="13" max="13" width="41.44140625" bestFit="1" customWidth="1"/>
  </cols>
  <sheetData>
    <row r="1" spans="1:13" x14ac:dyDescent="0.3">
      <c r="A1" s="16" t="s">
        <v>196</v>
      </c>
      <c r="B1" s="3">
        <v>45863</v>
      </c>
    </row>
    <row r="2" spans="1:13" x14ac:dyDescent="0.3">
      <c r="A2" s="16" t="s">
        <v>8</v>
      </c>
      <c r="B2" s="3">
        <v>46012</v>
      </c>
      <c r="D2" s="1"/>
    </row>
    <row r="4" spans="1:13" ht="15" thickBot="1" x14ac:dyDescent="0.35"/>
    <row r="5" spans="1:13" ht="15" thickBot="1" x14ac:dyDescent="0.35">
      <c r="C5" s="14" t="s">
        <v>264</v>
      </c>
      <c r="D5" s="17">
        <f>SUM(D8:D10)</f>
        <v>5533706.5128571428</v>
      </c>
      <c r="G5" s="14" t="s">
        <v>265</v>
      </c>
      <c r="H5" s="13">
        <f>SUM(K8:K18)</f>
        <v>1135168.5714285714</v>
      </c>
    </row>
    <row r="6" spans="1:13" x14ac:dyDescent="0.3">
      <c r="D6" s="1"/>
    </row>
    <row r="7" spans="1:13" x14ac:dyDescent="0.3">
      <c r="C7" s="33" t="s">
        <v>214</v>
      </c>
      <c r="D7" s="34" t="s">
        <v>11</v>
      </c>
      <c r="E7" s="35" t="s">
        <v>215</v>
      </c>
      <c r="G7" s="33" t="s">
        <v>10</v>
      </c>
      <c r="H7" s="34" t="s">
        <v>11</v>
      </c>
      <c r="I7" s="34" t="s">
        <v>12</v>
      </c>
      <c r="J7" s="34" t="s">
        <v>13</v>
      </c>
      <c r="K7" s="35" t="s">
        <v>16</v>
      </c>
      <c r="L7" s="34" t="s">
        <v>209</v>
      </c>
      <c r="M7" s="38" t="s">
        <v>227</v>
      </c>
    </row>
    <row r="8" spans="1:13" x14ac:dyDescent="0.3">
      <c r="C8" s="40" t="s">
        <v>5</v>
      </c>
      <c r="D8" s="76">
        <f>71254500/14</f>
        <v>5089607.1428571427</v>
      </c>
      <c r="E8" s="56">
        <v>25</v>
      </c>
      <c r="G8" s="40" t="s">
        <v>2</v>
      </c>
      <c r="H8" s="5">
        <v>250000</v>
      </c>
      <c r="I8" s="6">
        <v>1</v>
      </c>
      <c r="J8" s="5">
        <f t="shared" ref="J8:J14" si="0">H8*I8</f>
        <v>250000</v>
      </c>
      <c r="K8" s="9">
        <f>Tabla1[[#This Row],[Total Cost]]</f>
        <v>250000</v>
      </c>
      <c r="L8" s="28">
        <v>5</v>
      </c>
      <c r="M8" s="112" t="s">
        <v>210</v>
      </c>
    </row>
    <row r="9" spans="1:13" x14ac:dyDescent="0.3">
      <c r="C9" s="40" t="s">
        <v>202</v>
      </c>
      <c r="D9" s="76">
        <f>241890.11/3</f>
        <v>80630.036666666667</v>
      </c>
      <c r="E9" s="56" t="s">
        <v>267</v>
      </c>
      <c r="G9" s="40" t="s">
        <v>297</v>
      </c>
      <c r="H9" s="5">
        <v>3550</v>
      </c>
      <c r="I9" s="6">
        <v>16</v>
      </c>
      <c r="J9" s="5">
        <f t="shared" si="0"/>
        <v>56800</v>
      </c>
      <c r="K9" s="9">
        <f t="shared" ref="K9:K15" si="1">J9</f>
        <v>56800</v>
      </c>
      <c r="L9" s="30">
        <f ca="1">A1048575+_xlfn.CEILING.MATH((TODAY()-A1048575)/21, 1)*21</f>
        <v>46321</v>
      </c>
      <c r="M9" s="112" t="s">
        <v>210</v>
      </c>
    </row>
    <row r="10" spans="1:13" ht="15" thickBot="1" x14ac:dyDescent="0.35">
      <c r="C10" s="66" t="s">
        <v>263</v>
      </c>
      <c r="D10" s="85">
        <f>1090408/3</f>
        <v>363469.33333333331</v>
      </c>
      <c r="E10" s="85" t="s">
        <v>268</v>
      </c>
      <c r="G10" s="40" t="s">
        <v>299</v>
      </c>
      <c r="H10" s="5">
        <v>15000</v>
      </c>
      <c r="I10" s="106">
        <v>8</v>
      </c>
      <c r="J10" s="5">
        <f>H10*I10</f>
        <v>120000</v>
      </c>
      <c r="K10" s="5">
        <f>Tabla1[[#This Row],[Total Cost]]</f>
        <v>120000</v>
      </c>
      <c r="L10" s="28"/>
      <c r="M10" s="112"/>
    </row>
    <row r="11" spans="1:13" x14ac:dyDescent="0.3">
      <c r="C11" s="82" t="s">
        <v>0</v>
      </c>
      <c r="D11" s="83">
        <f>35*D29</f>
        <v>111821.08626198082</v>
      </c>
      <c r="E11" s="84" t="s">
        <v>219</v>
      </c>
      <c r="G11" s="40" t="s">
        <v>298</v>
      </c>
      <c r="H11" s="5">
        <v>6400</v>
      </c>
      <c r="I11">
        <f>2*4</f>
        <v>8</v>
      </c>
      <c r="J11" s="5">
        <f t="shared" si="0"/>
        <v>51200</v>
      </c>
      <c r="K11" s="9">
        <f t="shared" si="1"/>
        <v>51200</v>
      </c>
      <c r="L11" s="28" t="s">
        <v>220</v>
      </c>
      <c r="M11" s="112" t="s">
        <v>210</v>
      </c>
    </row>
    <row r="12" spans="1:13" x14ac:dyDescent="0.3">
      <c r="C12" s="77" t="s">
        <v>17</v>
      </c>
      <c r="D12" s="78">
        <f>35*D30</f>
        <v>0</v>
      </c>
      <c r="E12" s="73" t="s">
        <v>210</v>
      </c>
      <c r="G12" s="40" t="s">
        <v>1</v>
      </c>
      <c r="H12" s="5">
        <v>20000</v>
      </c>
      <c r="I12" s="6">
        <v>1</v>
      </c>
      <c r="J12" s="5">
        <f t="shared" si="0"/>
        <v>20000</v>
      </c>
      <c r="K12" s="9">
        <f t="shared" si="1"/>
        <v>20000</v>
      </c>
      <c r="L12" s="28">
        <v>23</v>
      </c>
      <c r="M12" s="112" t="s">
        <v>210</v>
      </c>
    </row>
    <row r="13" spans="1:13" x14ac:dyDescent="0.3">
      <c r="C13" s="79" t="s">
        <v>14</v>
      </c>
      <c r="D13" s="80">
        <v>440000</v>
      </c>
      <c r="E13" s="74">
        <v>10</v>
      </c>
      <c r="G13" s="40" t="s">
        <v>3</v>
      </c>
      <c r="H13" s="5">
        <f>$D$8*0.04</f>
        <v>203584.28571428571</v>
      </c>
      <c r="I13" s="6">
        <v>1</v>
      </c>
      <c r="J13" s="5">
        <f t="shared" si="0"/>
        <v>203584.28571428571</v>
      </c>
      <c r="K13" s="9">
        <f t="shared" si="1"/>
        <v>203584.28571428571</v>
      </c>
      <c r="L13" s="28">
        <v>25</v>
      </c>
      <c r="M13" s="112" t="s">
        <v>210</v>
      </c>
    </row>
    <row r="14" spans="1:13" x14ac:dyDescent="0.3">
      <c r="C14" s="81" t="s">
        <v>303</v>
      </c>
      <c r="D14" s="72">
        <f>D13-J17-J18</f>
        <v>338676.4705882353</v>
      </c>
      <c r="E14" s="75" t="s">
        <v>210</v>
      </c>
      <c r="G14" s="40" t="s">
        <v>4</v>
      </c>
      <c r="H14" s="5">
        <f>$D$8*0.04</f>
        <v>203584.28571428571</v>
      </c>
      <c r="I14" s="6">
        <v>1</v>
      </c>
      <c r="J14" s="5">
        <f t="shared" si="0"/>
        <v>203584.28571428571</v>
      </c>
      <c r="K14" s="9">
        <f t="shared" si="1"/>
        <v>203584.28571428571</v>
      </c>
      <c r="L14" s="28">
        <v>25</v>
      </c>
      <c r="M14" s="112" t="s">
        <v>210</v>
      </c>
    </row>
    <row r="15" spans="1:13" x14ac:dyDescent="0.3">
      <c r="G15" s="40" t="s">
        <v>226</v>
      </c>
      <c r="H15" s="5">
        <v>200000</v>
      </c>
      <c r="I15" s="6">
        <v>1</v>
      </c>
      <c r="J15" s="5">
        <f t="shared" ref="J15" si="2">H15*I15</f>
        <v>200000</v>
      </c>
      <c r="K15" s="9">
        <f t="shared" si="1"/>
        <v>200000</v>
      </c>
      <c r="L15" s="28">
        <v>25</v>
      </c>
      <c r="M15" s="112" t="s">
        <v>210</v>
      </c>
    </row>
    <row r="16" spans="1:13" x14ac:dyDescent="0.3">
      <c r="G16" s="40" t="s">
        <v>231</v>
      </c>
      <c r="H16" s="5">
        <v>30000</v>
      </c>
      <c r="I16" s="107">
        <v>1</v>
      </c>
      <c r="J16" s="5">
        <f>H16*I16</f>
        <v>30000</v>
      </c>
      <c r="K16" s="5">
        <f>Tabla1[[#This Row],[Total Cost]]</f>
        <v>30000</v>
      </c>
      <c r="L16" s="28"/>
      <c r="M16" s="112"/>
    </row>
    <row r="17" spans="3:13" x14ac:dyDescent="0.3">
      <c r="G17" s="41" t="s">
        <v>6</v>
      </c>
      <c r="H17" s="10">
        <v>170000</v>
      </c>
      <c r="I17" s="32">
        <v>0.25</v>
      </c>
      <c r="J17" s="10">
        <f t="shared" ref="J17:J18" si="3">H17*I17</f>
        <v>42500</v>
      </c>
      <c r="K17" s="10">
        <v>0</v>
      </c>
      <c r="L17" s="29" t="s">
        <v>221</v>
      </c>
      <c r="M17" s="111" t="s">
        <v>300</v>
      </c>
    </row>
    <row r="18" spans="3:13" x14ac:dyDescent="0.3">
      <c r="G18" s="41" t="s">
        <v>15</v>
      </c>
      <c r="H18" s="10">
        <v>250000</v>
      </c>
      <c r="I18" s="32">
        <f>1/4.25</f>
        <v>0.23529411764705882</v>
      </c>
      <c r="J18" s="10">
        <f t="shared" si="3"/>
        <v>58823.529411764706</v>
      </c>
      <c r="K18" s="11">
        <f>0</f>
        <v>0</v>
      </c>
      <c r="L18" s="29" t="s">
        <v>221</v>
      </c>
      <c r="M18" s="111" t="s">
        <v>300</v>
      </c>
    </row>
    <row r="19" spans="3:13" x14ac:dyDescent="0.3">
      <c r="M19" s="113"/>
    </row>
    <row r="20" spans="3:13" ht="15" thickBot="1" x14ac:dyDescent="0.35">
      <c r="J20" s="8"/>
    </row>
    <row r="21" spans="3:13" ht="15" thickBot="1" x14ac:dyDescent="0.35">
      <c r="C21" s="14" t="s">
        <v>266</v>
      </c>
      <c r="D21" s="12">
        <f>D5-H5</f>
        <v>4398537.9414285719</v>
      </c>
    </row>
    <row r="22" spans="3:13" ht="15" thickBot="1" x14ac:dyDescent="0.35"/>
    <row r="23" spans="3:13" ht="15" thickBot="1" x14ac:dyDescent="0.35">
      <c r="C23" s="4" t="str">
        <f>"Savings on " &amp; TEXT(B2, "dd.MM.yyyy")</f>
        <v>Savings on 21.12.2025</v>
      </c>
      <c r="D23" s="5">
        <v>39534682.670000002</v>
      </c>
      <c r="G23" s="36" t="s">
        <v>222</v>
      </c>
      <c r="H23" s="37">
        <f>_xlfn.CEILING.MATH(SUM(K8,K12,K15)/10000)*10000</f>
        <v>470000</v>
      </c>
    </row>
    <row r="24" spans="3:13" x14ac:dyDescent="0.3">
      <c r="C24" s="27" t="s">
        <v>206</v>
      </c>
      <c r="D24" s="1"/>
    </row>
    <row r="25" spans="3:13" x14ac:dyDescent="0.3">
      <c r="D25" s="1"/>
      <c r="J25" s="1">
        <f>SUM(J9:J11)</f>
        <v>228000</v>
      </c>
    </row>
    <row r="26" spans="3:13" ht="15" thickBot="1" x14ac:dyDescent="0.35">
      <c r="C26" s="7"/>
      <c r="D26" s="7"/>
      <c r="E26" s="7"/>
      <c r="F26" s="7"/>
      <c r="G26" s="7"/>
      <c r="H26" s="7"/>
      <c r="I26" s="7"/>
      <c r="J26" s="7"/>
      <c r="K26" s="7"/>
      <c r="L26" s="7"/>
    </row>
    <row r="28" spans="3:13" x14ac:dyDescent="0.3">
      <c r="C28" s="4" t="s">
        <v>63</v>
      </c>
      <c r="D28" s="5">
        <f>1/'COP Rates'!B46</f>
        <v>3703.7037037037035</v>
      </c>
    </row>
    <row r="29" spans="3:13" x14ac:dyDescent="0.3">
      <c r="C29" s="4" t="s">
        <v>20</v>
      </c>
      <c r="D29" s="5">
        <f>1/'COP Rates'!B150</f>
        <v>3194.8881789137376</v>
      </c>
    </row>
    <row r="31" spans="3:13" x14ac:dyDescent="0.3">
      <c r="C31" s="15"/>
    </row>
    <row r="32" spans="3:13" x14ac:dyDescent="0.3">
      <c r="C32" s="18" t="s">
        <v>197</v>
      </c>
      <c r="D32" s="23" t="s">
        <v>7</v>
      </c>
      <c r="E32" s="23" t="s">
        <v>200</v>
      </c>
      <c r="F32" s="23" t="s">
        <v>195</v>
      </c>
    </row>
    <row r="33" spans="3:6" x14ac:dyDescent="0.3">
      <c r="C33" s="19" t="s">
        <v>198</v>
      </c>
      <c r="D33" s="20">
        <f>12000*D28</f>
        <v>44444444.44444444</v>
      </c>
      <c r="E33" s="21">
        <f>_xlfn.CEILING.MATH((D33-$D$23-$D$5+'Another Expenses'!G2)/$D$21)</f>
        <v>3</v>
      </c>
      <c r="F33" s="22">
        <f>EDATE(DATE(YEAR($B$2), MONTH($B$2), $E$8),E33)</f>
        <v>46106</v>
      </c>
    </row>
    <row r="34" spans="3:6" x14ac:dyDescent="0.3">
      <c r="C34" s="19" t="s">
        <v>199</v>
      </c>
      <c r="D34" s="20">
        <f>24000*D28</f>
        <v>88888888.888888881</v>
      </c>
      <c r="E34" s="21">
        <f>_xlfn.CEILING.MATH((D34-$D$23-$D$5+'Another Expenses'!G3)/$D$21)</f>
        <v>10</v>
      </c>
      <c r="F34" s="22">
        <f>EDATE(DATE(YEAR($B$2), MONTH($B$2), $E$8),E34)</f>
        <v>46320</v>
      </c>
    </row>
    <row r="1048575" spans="1:1" x14ac:dyDescent="0.3">
      <c r="A1048575" s="31">
        <v>46048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2021-9BAC-49DD-9632-A9B86C4FE255}">
  <dimension ref="B1:I65"/>
  <sheetViews>
    <sheetView zoomScale="97" zoomScaleNormal="79" workbookViewId="0">
      <selection activeCell="T15" sqref="T15"/>
    </sheetView>
  </sheetViews>
  <sheetFormatPr defaultRowHeight="14.4" x14ac:dyDescent="0.3"/>
  <cols>
    <col min="2" max="2" width="30.44140625" bestFit="1" customWidth="1"/>
    <col min="3" max="3" width="27.77734375" customWidth="1"/>
    <col min="4" max="4" width="24" bestFit="1" customWidth="1"/>
    <col min="5" max="5" width="17.21875" bestFit="1" customWidth="1"/>
    <col min="6" max="6" width="30.44140625" bestFit="1" customWidth="1"/>
    <col min="8" max="8" width="15.109375" bestFit="1" customWidth="1"/>
    <col min="9" max="9" width="30.44140625" bestFit="1" customWidth="1"/>
  </cols>
  <sheetData>
    <row r="1" spans="2:9" ht="15" thickBot="1" x14ac:dyDescent="0.35"/>
    <row r="2" spans="2:9" ht="15" thickBot="1" x14ac:dyDescent="0.35">
      <c r="B2" s="104" t="s">
        <v>296</v>
      </c>
      <c r="C2" s="105">
        <v>50000000</v>
      </c>
    </row>
    <row r="5" spans="2:9" x14ac:dyDescent="0.3">
      <c r="B5" s="39" t="s">
        <v>288</v>
      </c>
      <c r="C5" s="39" t="s">
        <v>292</v>
      </c>
      <c r="D5" s="39" t="s">
        <v>290</v>
      </c>
      <c r="E5" s="39" t="s">
        <v>291</v>
      </c>
      <c r="F5" s="39" t="s">
        <v>293</v>
      </c>
      <c r="H5" s="125" t="s">
        <v>294</v>
      </c>
      <c r="I5" s="125"/>
    </row>
    <row r="6" spans="2:9" x14ac:dyDescent="0.3">
      <c r="B6" s="86">
        <v>46023</v>
      </c>
      <c r="C6" s="101">
        <f>27037512.04+15400000</f>
        <v>42437512.039999999</v>
      </c>
      <c r="D6" s="101">
        <f>27037512.04</f>
        <v>27037512.039999999</v>
      </c>
      <c r="E6" s="39" t="s">
        <v>289</v>
      </c>
      <c r="F6" s="39" t="s">
        <v>289</v>
      </c>
      <c r="H6" s="103" t="s">
        <v>288</v>
      </c>
      <c r="I6" s="103" t="s">
        <v>292</v>
      </c>
    </row>
    <row r="7" spans="2:9" x14ac:dyDescent="0.3">
      <c r="B7" s="86">
        <f>EDATE(B6,1)</f>
        <v>46054</v>
      </c>
      <c r="C7" s="101">
        <f>30821932.81+15400000</f>
        <v>46221932.810000002</v>
      </c>
      <c r="D7" s="101">
        <f>30821932.81</f>
        <v>30821932.809999999</v>
      </c>
      <c r="E7" s="101">
        <f>Table9[[#This Row],[General Balance]]-C6</f>
        <v>3784420.7700000033</v>
      </c>
      <c r="F7" s="101">
        <f>4520137.94-E7</f>
        <v>735717.16999999713</v>
      </c>
      <c r="H7" s="102">
        <f ca="1">INDEX(Table9[Date],MATCH(EOMONTH(TODAY(),-6)+1,Table9[Date],1))</f>
        <v>46143</v>
      </c>
      <c r="I7" s="101">
        <f ca="1">INDEX(Table9[General Balance],MATCH(EOMONTH(TODAY(),-6)+1,Table9[Date],1))</f>
        <v>55912013.149999999</v>
      </c>
    </row>
    <row r="8" spans="2:9" x14ac:dyDescent="0.3">
      <c r="B8" s="86">
        <f t="shared" ref="B8:B65" si="0">EDATE(B7,1)</f>
        <v>46082</v>
      </c>
      <c r="C8" s="101">
        <f>34124040.84+15400000</f>
        <v>49524040.840000004</v>
      </c>
      <c r="D8" s="101">
        <f>34124040.84</f>
        <v>34124040.840000004</v>
      </c>
      <c r="E8" s="101">
        <f>Table9[[#This Row],[General Balance]]-C7</f>
        <v>3302108.0300000012</v>
      </c>
      <c r="F8" s="101">
        <f t="shared" ref="F8:F65" si="1">4520137.94-E8</f>
        <v>1218029.9099999992</v>
      </c>
      <c r="H8" s="102">
        <f ca="1">INDEX(Table9[Date],MATCH(EOMONTH(TODAY(),-5)+1,Table9[Date],1))</f>
        <v>46174</v>
      </c>
      <c r="I8" s="101">
        <f ca="1">INDEX(Table9[General Balance],MATCH(EOMONTH(TODAY(),-5)+1,Table9[Date],1))</f>
        <v>61491091.960000001</v>
      </c>
    </row>
    <row r="9" spans="2:9" x14ac:dyDescent="0.3">
      <c r="B9" s="86">
        <f t="shared" si="0"/>
        <v>46113</v>
      </c>
      <c r="C9" s="101">
        <f>37390636.8+15400000</f>
        <v>52790636.799999997</v>
      </c>
      <c r="D9" s="101">
        <f>37390636.8</f>
        <v>37390636.799999997</v>
      </c>
      <c r="E9" s="101">
        <f>Table9[[#This Row],[General Balance]]-C8</f>
        <v>3266595.9599999934</v>
      </c>
      <c r="F9" s="101">
        <f t="shared" si="1"/>
        <v>1253541.980000007</v>
      </c>
      <c r="H9" s="102">
        <f ca="1">INDEX(Table9[Date],MATCH(EOMONTH(TODAY(),-4)+1,Table9[Date],1))</f>
        <v>46204</v>
      </c>
      <c r="I9" s="101">
        <f ca="1">INDEX(Table9[General Balance],MATCH(EOMONTH(TODAY(),-4)+1,Table9[Date],1))</f>
        <v>64900000</v>
      </c>
    </row>
    <row r="10" spans="2:9" x14ac:dyDescent="0.3">
      <c r="B10" s="86">
        <f t="shared" si="0"/>
        <v>46143</v>
      </c>
      <c r="C10" s="101">
        <f>40512013.15+15400000</f>
        <v>55912013.149999999</v>
      </c>
      <c r="D10" s="101">
        <f>40512013.15</f>
        <v>40512013.149999999</v>
      </c>
      <c r="E10" s="101">
        <f>Table9[[#This Row],[General Balance]]-C9</f>
        <v>3121376.3500000015</v>
      </c>
      <c r="F10" s="101">
        <f t="shared" si="1"/>
        <v>1398761.5899999989</v>
      </c>
      <c r="H10" s="102">
        <f ca="1">INDEX(Table9[Date],MATCH(EOMONTH(TODAY(),-3)+1,Table9[Date],1))</f>
        <v>46235</v>
      </c>
      <c r="I10" s="101">
        <f ca="1">INDEX(Table9[General Balance],MATCH(EOMONTH(TODAY(),-3)+1,Table9[Date],1))</f>
        <v>65265421.539999999</v>
      </c>
    </row>
    <row r="11" spans="2:9" x14ac:dyDescent="0.3">
      <c r="B11" s="86">
        <f t="shared" si="0"/>
        <v>46174</v>
      </c>
      <c r="C11" s="101">
        <f>46091091.96+15400000</f>
        <v>61491091.960000001</v>
      </c>
      <c r="D11" s="101">
        <f>46091091.96</f>
        <v>46091091.960000001</v>
      </c>
      <c r="E11" s="101">
        <f>Table9[[#This Row],[General Balance]]-C10</f>
        <v>5579078.8100000024</v>
      </c>
      <c r="F11" s="101">
        <f t="shared" si="1"/>
        <v>-1058940.870000002</v>
      </c>
      <c r="H11" s="102">
        <f ca="1">INDEX(Table9[Date],MATCH(EOMONTH(TODAY(),-2)+1,Table9[Date],1))</f>
        <v>46266</v>
      </c>
      <c r="I11" s="101">
        <f ca="1">INDEX(Table9[General Balance],MATCH(EOMONTH(TODAY(),-2)+1,Table9[Date],1))</f>
        <v>69506976.569999993</v>
      </c>
    </row>
    <row r="12" spans="2:9" x14ac:dyDescent="0.3">
      <c r="B12" s="86">
        <f t="shared" si="0"/>
        <v>46204</v>
      </c>
      <c r="C12" s="101">
        <f>9500000+15400000+37000000+3000000</f>
        <v>64900000</v>
      </c>
      <c r="D12" s="101">
        <f>9500000</f>
        <v>9500000</v>
      </c>
      <c r="E12" s="101">
        <f>Table9[[#This Row],[General Balance]]-C11</f>
        <v>3408908.0399999991</v>
      </c>
      <c r="F12" s="101">
        <f t="shared" si="1"/>
        <v>1111229.9000000013</v>
      </c>
      <c r="H12" s="102">
        <f ca="1">INDEX(Table9[Date],MATCH(EOMONTH(TODAY(),-1)+1,Table9[Date],1))</f>
        <v>46296</v>
      </c>
      <c r="I12" s="101">
        <f ca="1">INDEX(Table9[General Balance],MATCH(EOMONTH(TODAY(),-1)+1,Table9[Date],1))</f>
        <v>74189383.569999993</v>
      </c>
    </row>
    <row r="13" spans="2:9" x14ac:dyDescent="0.3">
      <c r="B13" s="86">
        <f t="shared" si="0"/>
        <v>46235</v>
      </c>
      <c r="C13" s="101">
        <f>Table9[[#This Row],[Account Balance]]+15400000+37000000+6000000</f>
        <v>65265421.539999999</v>
      </c>
      <c r="D13" s="101">
        <v>6865421.54</v>
      </c>
      <c r="E13" s="101">
        <f>4682407-350000-220000-57030-16500-160000-469769</f>
        <v>3409108</v>
      </c>
      <c r="F13" s="101">
        <f t="shared" si="1"/>
        <v>1111029.9400000004</v>
      </c>
    </row>
    <row r="14" spans="2:9" x14ac:dyDescent="0.3">
      <c r="B14" s="86">
        <f t="shared" si="0"/>
        <v>46266</v>
      </c>
      <c r="C14" s="101">
        <f>C13+(Table9[[#This Row],[Account Balance]]-D13)+Main!D10+Main!D9</f>
        <v>69506976.569999993</v>
      </c>
      <c r="D14" s="101">
        <v>10662877.199999999</v>
      </c>
      <c r="E14" s="101">
        <f>Table9[[#This Row],[General Balance]]-C13</f>
        <v>4241555.0299999937</v>
      </c>
      <c r="F14" s="101">
        <f>Main!D21-E14</f>
        <v>156982.9114285782</v>
      </c>
      <c r="H14" s="125" t="s">
        <v>295</v>
      </c>
      <c r="I14" s="125"/>
    </row>
    <row r="15" spans="2:9" x14ac:dyDescent="0.3">
      <c r="B15" s="86">
        <f t="shared" si="0"/>
        <v>46296</v>
      </c>
      <c r="C15" s="101">
        <f>C14+4682407</f>
        <v>74189383.569999993</v>
      </c>
      <c r="D15" s="101">
        <v>25255077.379999999</v>
      </c>
      <c r="E15" s="101">
        <f>Table9[[#This Row],[General Balance]]-C14</f>
        <v>4682407</v>
      </c>
      <c r="F15" s="101">
        <f t="shared" si="1"/>
        <v>-162269.05999999959</v>
      </c>
      <c r="H15" s="103" t="s">
        <v>288</v>
      </c>
      <c r="I15" s="103" t="s">
        <v>293</v>
      </c>
    </row>
    <row r="16" spans="2:9" x14ac:dyDescent="0.3">
      <c r="B16" s="86">
        <f t="shared" si="0"/>
        <v>46327</v>
      </c>
      <c r="C16" s="101" t="s">
        <v>210</v>
      </c>
      <c r="D16" s="101" t="s">
        <v>210</v>
      </c>
      <c r="E16" s="101" t="e">
        <f>Table9[[#This Row],[General Balance]]-C15</f>
        <v>#VALUE!</v>
      </c>
      <c r="F16" s="101" t="e">
        <f t="shared" si="1"/>
        <v>#VALUE!</v>
      </c>
      <c r="H16" s="102">
        <f ca="1">INDEX(Table9[Date],MATCH(EOMONTH(TODAY(),-6)+1,Table9[Date],1))</f>
        <v>46143</v>
      </c>
      <c r="I16" s="101">
        <f ca="1">INDEX(Table9[Difference from Expected Net],MATCH(EOMONTH(TODAY(),-6)+1,Table9[Date],1))</f>
        <v>1398761.5899999989</v>
      </c>
    </row>
    <row r="17" spans="2:9" x14ac:dyDescent="0.3">
      <c r="B17" s="86">
        <f t="shared" si="0"/>
        <v>46357</v>
      </c>
      <c r="C17" s="101" t="s">
        <v>210</v>
      </c>
      <c r="D17" s="101" t="s">
        <v>210</v>
      </c>
      <c r="E17" s="101" t="e">
        <f>Table9[[#This Row],[General Balance]]-C16</f>
        <v>#VALUE!</v>
      </c>
      <c r="F17" s="101" t="e">
        <f t="shared" si="1"/>
        <v>#VALUE!</v>
      </c>
      <c r="H17" s="102">
        <f ca="1">INDEX(Table9[Date],MATCH(EOMONTH(TODAY(),-5)+1,Table9[Date],1))</f>
        <v>46174</v>
      </c>
      <c r="I17" s="101">
        <f ca="1">INDEX(Table9[Difference from Expected Net],MATCH(EOMONTH(TODAY(),-5)+1,Table9[Date],1))</f>
        <v>-1058940.870000002</v>
      </c>
    </row>
    <row r="18" spans="2:9" x14ac:dyDescent="0.3">
      <c r="B18" s="86">
        <f t="shared" si="0"/>
        <v>46388</v>
      </c>
      <c r="C18" s="101" t="s">
        <v>210</v>
      </c>
      <c r="D18" s="101" t="s">
        <v>210</v>
      </c>
      <c r="E18" s="101" t="e">
        <f>Table9[[#This Row],[General Balance]]-C17</f>
        <v>#VALUE!</v>
      </c>
      <c r="F18" s="101" t="e">
        <f t="shared" si="1"/>
        <v>#VALUE!</v>
      </c>
      <c r="H18" s="102">
        <f ca="1">INDEX(Table9[Date],MATCH(EOMONTH(TODAY(),-4)+1,Table9[Date],1))</f>
        <v>46204</v>
      </c>
      <c r="I18" s="101">
        <f ca="1">INDEX(Table9[Difference from Expected Net],MATCH(EOMONTH(TODAY(),-4)+1,Table9[Date],1))</f>
        <v>1111229.9000000013</v>
      </c>
    </row>
    <row r="19" spans="2:9" x14ac:dyDescent="0.3">
      <c r="B19" s="86">
        <f t="shared" si="0"/>
        <v>46419</v>
      </c>
      <c r="C19" s="101" t="s">
        <v>210</v>
      </c>
      <c r="D19" s="101" t="s">
        <v>210</v>
      </c>
      <c r="E19" s="101" t="e">
        <f>Table9[[#This Row],[General Balance]]-C18</f>
        <v>#VALUE!</v>
      </c>
      <c r="F19" s="101" t="e">
        <f t="shared" si="1"/>
        <v>#VALUE!</v>
      </c>
      <c r="H19" s="102">
        <f ca="1">INDEX(Table9[Date],MATCH(EOMONTH(TODAY(),-3)+1,Table9[Date],1))</f>
        <v>46235</v>
      </c>
      <c r="I19" s="101">
        <f ca="1">INDEX(Table9[Difference from Expected Net],MATCH(EOMONTH(TODAY(),-3)+1,Table9[Date],1))</f>
        <v>1111029.9400000004</v>
      </c>
    </row>
    <row r="20" spans="2:9" x14ac:dyDescent="0.3">
      <c r="B20" s="86">
        <f t="shared" si="0"/>
        <v>46447</v>
      </c>
      <c r="C20" s="101" t="s">
        <v>210</v>
      </c>
      <c r="D20" s="101" t="s">
        <v>210</v>
      </c>
      <c r="E20" s="101" t="e">
        <f>Table9[[#This Row],[General Balance]]-C19</f>
        <v>#VALUE!</v>
      </c>
      <c r="F20" s="101" t="e">
        <f t="shared" si="1"/>
        <v>#VALUE!</v>
      </c>
      <c r="H20" s="102">
        <f ca="1">INDEX(Table9[Date],MATCH(EOMONTH(TODAY(),-2)+1,Table9[Date],1))</f>
        <v>46266</v>
      </c>
      <c r="I20" s="101">
        <f ca="1">INDEX(Table9[Difference from Expected Net],MATCH(EOMONTH(TODAY(),-2)+1,Table9[Date],1))</f>
        <v>156982.9114285782</v>
      </c>
    </row>
    <row r="21" spans="2:9" x14ac:dyDescent="0.3">
      <c r="B21" s="86">
        <f t="shared" si="0"/>
        <v>46478</v>
      </c>
      <c r="C21" s="101" t="s">
        <v>210</v>
      </c>
      <c r="D21" s="101" t="s">
        <v>210</v>
      </c>
      <c r="E21" s="101" t="e">
        <f>Table9[[#This Row],[General Balance]]-C20</f>
        <v>#VALUE!</v>
      </c>
      <c r="F21" s="101" t="e">
        <f t="shared" si="1"/>
        <v>#VALUE!</v>
      </c>
      <c r="H21" s="102">
        <f ca="1">INDEX(Table9[Date],MATCH(EOMONTH(TODAY(),-1)+1,Table9[Date],1))</f>
        <v>46296</v>
      </c>
      <c r="I21" s="101">
        <f ca="1">INDEX(Table9[Difference from Expected Net],MATCH(EOMONTH(TODAY(),-1)+1,Table9[Date],1))</f>
        <v>-162269.05999999959</v>
      </c>
    </row>
    <row r="22" spans="2:9" x14ac:dyDescent="0.3">
      <c r="B22" s="86">
        <f t="shared" si="0"/>
        <v>46508</v>
      </c>
      <c r="C22" s="101" t="s">
        <v>210</v>
      </c>
      <c r="D22" s="101" t="s">
        <v>210</v>
      </c>
      <c r="E22" s="101" t="e">
        <f>Table9[[#This Row],[General Balance]]-C21</f>
        <v>#VALUE!</v>
      </c>
      <c r="F22" s="101" t="e">
        <f t="shared" si="1"/>
        <v>#VALUE!</v>
      </c>
    </row>
    <row r="23" spans="2:9" x14ac:dyDescent="0.3">
      <c r="B23" s="86">
        <f t="shared" si="0"/>
        <v>46539</v>
      </c>
      <c r="C23" s="101" t="s">
        <v>210</v>
      </c>
      <c r="D23" s="101" t="s">
        <v>210</v>
      </c>
      <c r="E23" s="101" t="e">
        <f>Table9[[#This Row],[General Balance]]-C22</f>
        <v>#VALUE!</v>
      </c>
      <c r="F23" s="101" t="e">
        <f t="shared" si="1"/>
        <v>#VALUE!</v>
      </c>
    </row>
    <row r="24" spans="2:9" x14ac:dyDescent="0.3">
      <c r="B24" s="86">
        <f t="shared" si="0"/>
        <v>46569</v>
      </c>
      <c r="C24" s="101" t="s">
        <v>210</v>
      </c>
      <c r="D24" s="101" t="s">
        <v>210</v>
      </c>
      <c r="E24" s="101" t="e">
        <f>Table9[[#This Row],[General Balance]]-C23</f>
        <v>#VALUE!</v>
      </c>
      <c r="F24" s="101" t="e">
        <f t="shared" si="1"/>
        <v>#VALUE!</v>
      </c>
    </row>
    <row r="25" spans="2:9" x14ac:dyDescent="0.3">
      <c r="B25" s="86">
        <f t="shared" si="0"/>
        <v>46600</v>
      </c>
      <c r="C25" s="101" t="s">
        <v>210</v>
      </c>
      <c r="D25" s="101" t="s">
        <v>210</v>
      </c>
      <c r="E25" s="101" t="e">
        <f>Table9[[#This Row],[General Balance]]-C24</f>
        <v>#VALUE!</v>
      </c>
      <c r="F25" s="101" t="e">
        <f t="shared" si="1"/>
        <v>#VALUE!</v>
      </c>
    </row>
    <row r="26" spans="2:9" x14ac:dyDescent="0.3">
      <c r="B26" s="86">
        <f t="shared" si="0"/>
        <v>46631</v>
      </c>
      <c r="C26" s="101" t="s">
        <v>210</v>
      </c>
      <c r="D26" s="101" t="s">
        <v>210</v>
      </c>
      <c r="E26" s="101" t="e">
        <f>Table9[[#This Row],[General Balance]]-C25</f>
        <v>#VALUE!</v>
      </c>
      <c r="F26" s="101" t="e">
        <f t="shared" si="1"/>
        <v>#VALUE!</v>
      </c>
    </row>
    <row r="27" spans="2:9" x14ac:dyDescent="0.3">
      <c r="B27" s="86">
        <f t="shared" si="0"/>
        <v>46661</v>
      </c>
      <c r="C27" s="101" t="s">
        <v>210</v>
      </c>
      <c r="D27" s="101" t="s">
        <v>210</v>
      </c>
      <c r="E27" s="101" t="e">
        <f>Table9[[#This Row],[General Balance]]-C26</f>
        <v>#VALUE!</v>
      </c>
      <c r="F27" s="101" t="e">
        <f t="shared" si="1"/>
        <v>#VALUE!</v>
      </c>
    </row>
    <row r="28" spans="2:9" x14ac:dyDescent="0.3">
      <c r="B28" s="86">
        <f t="shared" si="0"/>
        <v>46692</v>
      </c>
      <c r="C28" s="101" t="s">
        <v>210</v>
      </c>
      <c r="D28" s="101" t="s">
        <v>210</v>
      </c>
      <c r="E28" s="101" t="e">
        <f>Table9[[#This Row],[General Balance]]-C27</f>
        <v>#VALUE!</v>
      </c>
      <c r="F28" s="101" t="e">
        <f t="shared" si="1"/>
        <v>#VALUE!</v>
      </c>
    </row>
    <row r="29" spans="2:9" x14ac:dyDescent="0.3">
      <c r="B29" s="86">
        <f t="shared" si="0"/>
        <v>46722</v>
      </c>
      <c r="C29" s="101" t="s">
        <v>210</v>
      </c>
      <c r="D29" s="101" t="s">
        <v>210</v>
      </c>
      <c r="E29" s="101" t="e">
        <f>Table9[[#This Row],[General Balance]]-C28</f>
        <v>#VALUE!</v>
      </c>
      <c r="F29" s="101" t="e">
        <f t="shared" si="1"/>
        <v>#VALUE!</v>
      </c>
    </row>
    <row r="30" spans="2:9" x14ac:dyDescent="0.3">
      <c r="B30" s="86">
        <f t="shared" si="0"/>
        <v>46753</v>
      </c>
      <c r="C30" s="101" t="s">
        <v>210</v>
      </c>
      <c r="D30" s="101" t="s">
        <v>210</v>
      </c>
      <c r="E30" s="101" t="e">
        <f>Table9[[#This Row],[General Balance]]-C29</f>
        <v>#VALUE!</v>
      </c>
      <c r="F30" s="101" t="e">
        <f t="shared" si="1"/>
        <v>#VALUE!</v>
      </c>
    </row>
    <row r="31" spans="2:9" x14ac:dyDescent="0.3">
      <c r="B31" s="86">
        <f t="shared" si="0"/>
        <v>46784</v>
      </c>
      <c r="C31" s="101" t="s">
        <v>210</v>
      </c>
      <c r="D31" s="101" t="s">
        <v>210</v>
      </c>
      <c r="E31" s="101" t="e">
        <f>Table9[[#This Row],[General Balance]]-C30</f>
        <v>#VALUE!</v>
      </c>
      <c r="F31" s="101" t="e">
        <f t="shared" si="1"/>
        <v>#VALUE!</v>
      </c>
    </row>
    <row r="32" spans="2:9" x14ac:dyDescent="0.3">
      <c r="B32" s="86">
        <f t="shared" si="0"/>
        <v>46813</v>
      </c>
      <c r="C32" s="101" t="s">
        <v>210</v>
      </c>
      <c r="D32" s="101" t="s">
        <v>210</v>
      </c>
      <c r="E32" s="101" t="e">
        <f>Table9[[#This Row],[General Balance]]-C31</f>
        <v>#VALUE!</v>
      </c>
      <c r="F32" s="101" t="e">
        <f t="shared" si="1"/>
        <v>#VALUE!</v>
      </c>
    </row>
    <row r="33" spans="2:6" x14ac:dyDescent="0.3">
      <c r="B33" s="86">
        <f t="shared" si="0"/>
        <v>46844</v>
      </c>
      <c r="C33" s="101" t="s">
        <v>210</v>
      </c>
      <c r="D33" s="101" t="s">
        <v>210</v>
      </c>
      <c r="E33" s="101" t="e">
        <f>Table9[[#This Row],[General Balance]]-C32</f>
        <v>#VALUE!</v>
      </c>
      <c r="F33" s="101" t="e">
        <f t="shared" si="1"/>
        <v>#VALUE!</v>
      </c>
    </row>
    <row r="34" spans="2:6" x14ac:dyDescent="0.3">
      <c r="B34" s="86">
        <f t="shared" si="0"/>
        <v>46874</v>
      </c>
      <c r="C34" s="101" t="s">
        <v>210</v>
      </c>
      <c r="D34" s="101" t="s">
        <v>210</v>
      </c>
      <c r="E34" s="101" t="e">
        <f>Table9[[#This Row],[General Balance]]-C33</f>
        <v>#VALUE!</v>
      </c>
      <c r="F34" s="101" t="e">
        <f t="shared" si="1"/>
        <v>#VALUE!</v>
      </c>
    </row>
    <row r="35" spans="2:6" x14ac:dyDescent="0.3">
      <c r="B35" s="86">
        <f t="shared" si="0"/>
        <v>46905</v>
      </c>
      <c r="C35" s="101" t="s">
        <v>210</v>
      </c>
      <c r="D35" s="101" t="s">
        <v>210</v>
      </c>
      <c r="E35" s="101" t="e">
        <f>Table9[[#This Row],[General Balance]]-C34</f>
        <v>#VALUE!</v>
      </c>
      <c r="F35" s="101" t="e">
        <f t="shared" si="1"/>
        <v>#VALUE!</v>
      </c>
    </row>
    <row r="36" spans="2:6" x14ac:dyDescent="0.3">
      <c r="B36" s="86">
        <f t="shared" si="0"/>
        <v>46935</v>
      </c>
      <c r="C36" s="101" t="s">
        <v>210</v>
      </c>
      <c r="D36" s="101" t="s">
        <v>210</v>
      </c>
      <c r="E36" s="101" t="e">
        <f>Table9[[#This Row],[General Balance]]-C35</f>
        <v>#VALUE!</v>
      </c>
      <c r="F36" s="101" t="e">
        <f t="shared" si="1"/>
        <v>#VALUE!</v>
      </c>
    </row>
    <row r="37" spans="2:6" x14ac:dyDescent="0.3">
      <c r="B37" s="86">
        <f t="shared" si="0"/>
        <v>46966</v>
      </c>
      <c r="C37" s="101" t="s">
        <v>210</v>
      </c>
      <c r="D37" s="101" t="s">
        <v>210</v>
      </c>
      <c r="E37" s="101" t="e">
        <f>Table9[[#This Row],[General Balance]]-C36</f>
        <v>#VALUE!</v>
      </c>
      <c r="F37" s="101" t="e">
        <f t="shared" si="1"/>
        <v>#VALUE!</v>
      </c>
    </row>
    <row r="38" spans="2:6" x14ac:dyDescent="0.3">
      <c r="B38" s="86">
        <f t="shared" si="0"/>
        <v>46997</v>
      </c>
      <c r="C38" s="101" t="s">
        <v>210</v>
      </c>
      <c r="D38" s="101" t="s">
        <v>210</v>
      </c>
      <c r="E38" s="101" t="e">
        <f>Table9[[#This Row],[General Balance]]-C37</f>
        <v>#VALUE!</v>
      </c>
      <c r="F38" s="101" t="e">
        <f t="shared" si="1"/>
        <v>#VALUE!</v>
      </c>
    </row>
    <row r="39" spans="2:6" x14ac:dyDescent="0.3">
      <c r="B39" s="86">
        <f t="shared" si="0"/>
        <v>47027</v>
      </c>
      <c r="C39" s="101" t="s">
        <v>210</v>
      </c>
      <c r="D39" s="101" t="s">
        <v>210</v>
      </c>
      <c r="E39" s="101" t="e">
        <f>Table9[[#This Row],[General Balance]]-C38</f>
        <v>#VALUE!</v>
      </c>
      <c r="F39" s="101" t="e">
        <f t="shared" si="1"/>
        <v>#VALUE!</v>
      </c>
    </row>
    <row r="40" spans="2:6" x14ac:dyDescent="0.3">
      <c r="B40" s="86">
        <f t="shared" si="0"/>
        <v>47058</v>
      </c>
      <c r="C40" s="101" t="s">
        <v>210</v>
      </c>
      <c r="D40" s="101" t="s">
        <v>210</v>
      </c>
      <c r="E40" s="101" t="e">
        <f>Table9[[#This Row],[General Balance]]-C39</f>
        <v>#VALUE!</v>
      </c>
      <c r="F40" s="101" t="e">
        <f t="shared" si="1"/>
        <v>#VALUE!</v>
      </c>
    </row>
    <row r="41" spans="2:6" x14ac:dyDescent="0.3">
      <c r="B41" s="86">
        <f t="shared" si="0"/>
        <v>47088</v>
      </c>
      <c r="C41" s="101" t="s">
        <v>210</v>
      </c>
      <c r="D41" s="101" t="s">
        <v>210</v>
      </c>
      <c r="E41" s="101" t="e">
        <f>Table9[[#This Row],[General Balance]]-C40</f>
        <v>#VALUE!</v>
      </c>
      <c r="F41" s="101" t="e">
        <f t="shared" si="1"/>
        <v>#VALUE!</v>
      </c>
    </row>
    <row r="42" spans="2:6" x14ac:dyDescent="0.3">
      <c r="B42" s="86">
        <f t="shared" si="0"/>
        <v>47119</v>
      </c>
      <c r="C42" s="101" t="s">
        <v>210</v>
      </c>
      <c r="D42" s="101" t="s">
        <v>210</v>
      </c>
      <c r="E42" s="101" t="e">
        <f>Table9[[#This Row],[General Balance]]-C41</f>
        <v>#VALUE!</v>
      </c>
      <c r="F42" s="101" t="e">
        <f t="shared" si="1"/>
        <v>#VALUE!</v>
      </c>
    </row>
    <row r="43" spans="2:6" x14ac:dyDescent="0.3">
      <c r="B43" s="86">
        <f t="shared" si="0"/>
        <v>47150</v>
      </c>
      <c r="C43" s="101" t="s">
        <v>210</v>
      </c>
      <c r="D43" s="101" t="s">
        <v>210</v>
      </c>
      <c r="E43" s="101" t="e">
        <f>Table9[[#This Row],[General Balance]]-C42</f>
        <v>#VALUE!</v>
      </c>
      <c r="F43" s="101" t="e">
        <f t="shared" si="1"/>
        <v>#VALUE!</v>
      </c>
    </row>
    <row r="44" spans="2:6" x14ac:dyDescent="0.3">
      <c r="B44" s="86">
        <f t="shared" si="0"/>
        <v>47178</v>
      </c>
      <c r="C44" s="101" t="s">
        <v>210</v>
      </c>
      <c r="D44" s="101" t="s">
        <v>210</v>
      </c>
      <c r="E44" s="101" t="e">
        <f>Table9[[#This Row],[General Balance]]-C43</f>
        <v>#VALUE!</v>
      </c>
      <c r="F44" s="101" t="e">
        <f t="shared" si="1"/>
        <v>#VALUE!</v>
      </c>
    </row>
    <row r="45" spans="2:6" x14ac:dyDescent="0.3">
      <c r="B45" s="86">
        <f t="shared" si="0"/>
        <v>47209</v>
      </c>
      <c r="C45" s="101" t="s">
        <v>210</v>
      </c>
      <c r="D45" s="101" t="s">
        <v>210</v>
      </c>
      <c r="E45" s="101" t="e">
        <f>Table9[[#This Row],[General Balance]]-C44</f>
        <v>#VALUE!</v>
      </c>
      <c r="F45" s="101" t="e">
        <f t="shared" si="1"/>
        <v>#VALUE!</v>
      </c>
    </row>
    <row r="46" spans="2:6" x14ac:dyDescent="0.3">
      <c r="B46" s="86">
        <f t="shared" si="0"/>
        <v>47239</v>
      </c>
      <c r="C46" s="101" t="s">
        <v>210</v>
      </c>
      <c r="D46" s="101" t="s">
        <v>210</v>
      </c>
      <c r="E46" s="101" t="e">
        <f>Table9[[#This Row],[General Balance]]-C45</f>
        <v>#VALUE!</v>
      </c>
      <c r="F46" s="101" t="e">
        <f t="shared" si="1"/>
        <v>#VALUE!</v>
      </c>
    </row>
    <row r="47" spans="2:6" x14ac:dyDescent="0.3">
      <c r="B47" s="86">
        <f t="shared" si="0"/>
        <v>47270</v>
      </c>
      <c r="C47" s="101" t="s">
        <v>210</v>
      </c>
      <c r="D47" s="101" t="s">
        <v>210</v>
      </c>
      <c r="E47" s="101" t="e">
        <f>Table9[[#This Row],[General Balance]]-C46</f>
        <v>#VALUE!</v>
      </c>
      <c r="F47" s="101" t="e">
        <f t="shared" si="1"/>
        <v>#VALUE!</v>
      </c>
    </row>
    <row r="48" spans="2:6" x14ac:dyDescent="0.3">
      <c r="B48" s="86">
        <f t="shared" si="0"/>
        <v>47300</v>
      </c>
      <c r="C48" s="101" t="s">
        <v>210</v>
      </c>
      <c r="D48" s="101" t="s">
        <v>210</v>
      </c>
      <c r="E48" s="101" t="e">
        <f>Table9[[#This Row],[General Balance]]-C47</f>
        <v>#VALUE!</v>
      </c>
      <c r="F48" s="101" t="e">
        <f t="shared" si="1"/>
        <v>#VALUE!</v>
      </c>
    </row>
    <row r="49" spans="2:6" x14ac:dyDescent="0.3">
      <c r="B49" s="86">
        <f t="shared" si="0"/>
        <v>47331</v>
      </c>
      <c r="C49" s="101" t="s">
        <v>210</v>
      </c>
      <c r="D49" s="101" t="s">
        <v>210</v>
      </c>
      <c r="E49" s="101" t="e">
        <f>Table9[[#This Row],[General Balance]]-C48</f>
        <v>#VALUE!</v>
      </c>
      <c r="F49" s="101" t="e">
        <f t="shared" si="1"/>
        <v>#VALUE!</v>
      </c>
    </row>
    <row r="50" spans="2:6" x14ac:dyDescent="0.3">
      <c r="B50" s="86">
        <f t="shared" si="0"/>
        <v>47362</v>
      </c>
      <c r="C50" s="101" t="s">
        <v>210</v>
      </c>
      <c r="D50" s="101" t="s">
        <v>210</v>
      </c>
      <c r="E50" s="101" t="e">
        <f>Table9[[#This Row],[General Balance]]-C49</f>
        <v>#VALUE!</v>
      </c>
      <c r="F50" s="101" t="e">
        <f t="shared" si="1"/>
        <v>#VALUE!</v>
      </c>
    </row>
    <row r="51" spans="2:6" x14ac:dyDescent="0.3">
      <c r="B51" s="86">
        <f t="shared" si="0"/>
        <v>47392</v>
      </c>
      <c r="C51" s="101" t="s">
        <v>210</v>
      </c>
      <c r="D51" s="101" t="s">
        <v>210</v>
      </c>
      <c r="E51" s="101" t="e">
        <f>Table9[[#This Row],[General Balance]]-C50</f>
        <v>#VALUE!</v>
      </c>
      <c r="F51" s="101" t="e">
        <f t="shared" si="1"/>
        <v>#VALUE!</v>
      </c>
    </row>
    <row r="52" spans="2:6" x14ac:dyDescent="0.3">
      <c r="B52" s="86">
        <f t="shared" si="0"/>
        <v>47423</v>
      </c>
      <c r="C52" s="101" t="s">
        <v>210</v>
      </c>
      <c r="D52" s="101" t="s">
        <v>210</v>
      </c>
      <c r="E52" s="101" t="e">
        <f>Table9[[#This Row],[General Balance]]-C51</f>
        <v>#VALUE!</v>
      </c>
      <c r="F52" s="101" t="e">
        <f t="shared" si="1"/>
        <v>#VALUE!</v>
      </c>
    </row>
    <row r="53" spans="2:6" x14ac:dyDescent="0.3">
      <c r="B53" s="86">
        <f t="shared" si="0"/>
        <v>47453</v>
      </c>
      <c r="C53" s="101" t="s">
        <v>210</v>
      </c>
      <c r="D53" s="101" t="s">
        <v>210</v>
      </c>
      <c r="E53" s="101" t="e">
        <f>Table9[[#This Row],[General Balance]]-C52</f>
        <v>#VALUE!</v>
      </c>
      <c r="F53" s="101" t="e">
        <f t="shared" si="1"/>
        <v>#VALUE!</v>
      </c>
    </row>
    <row r="54" spans="2:6" x14ac:dyDescent="0.3">
      <c r="B54" s="86">
        <f t="shared" si="0"/>
        <v>47484</v>
      </c>
      <c r="C54" s="101" t="s">
        <v>210</v>
      </c>
      <c r="D54" s="101" t="s">
        <v>210</v>
      </c>
      <c r="E54" s="101" t="e">
        <f>Table9[[#This Row],[General Balance]]-C53</f>
        <v>#VALUE!</v>
      </c>
      <c r="F54" s="101" t="e">
        <f t="shared" si="1"/>
        <v>#VALUE!</v>
      </c>
    </row>
    <row r="55" spans="2:6" x14ac:dyDescent="0.3">
      <c r="B55" s="86">
        <f t="shared" si="0"/>
        <v>47515</v>
      </c>
      <c r="C55" s="101" t="s">
        <v>210</v>
      </c>
      <c r="D55" s="101" t="s">
        <v>210</v>
      </c>
      <c r="E55" s="101" t="e">
        <f>Table9[[#This Row],[General Balance]]-C54</f>
        <v>#VALUE!</v>
      </c>
      <c r="F55" s="101" t="e">
        <f t="shared" si="1"/>
        <v>#VALUE!</v>
      </c>
    </row>
    <row r="56" spans="2:6" x14ac:dyDescent="0.3">
      <c r="B56" s="86">
        <f t="shared" si="0"/>
        <v>47543</v>
      </c>
      <c r="C56" s="101" t="s">
        <v>210</v>
      </c>
      <c r="D56" s="101" t="s">
        <v>210</v>
      </c>
      <c r="E56" s="101" t="e">
        <f>Table9[[#This Row],[General Balance]]-C55</f>
        <v>#VALUE!</v>
      </c>
      <c r="F56" s="101" t="e">
        <f t="shared" si="1"/>
        <v>#VALUE!</v>
      </c>
    </row>
    <row r="57" spans="2:6" x14ac:dyDescent="0.3">
      <c r="B57" s="86">
        <f t="shared" si="0"/>
        <v>47574</v>
      </c>
      <c r="C57" s="101" t="s">
        <v>210</v>
      </c>
      <c r="D57" s="101" t="s">
        <v>210</v>
      </c>
      <c r="E57" s="101" t="e">
        <f>Table9[[#This Row],[General Balance]]-C56</f>
        <v>#VALUE!</v>
      </c>
      <c r="F57" s="101" t="e">
        <f t="shared" si="1"/>
        <v>#VALUE!</v>
      </c>
    </row>
    <row r="58" spans="2:6" x14ac:dyDescent="0.3">
      <c r="B58" s="86">
        <f t="shared" si="0"/>
        <v>47604</v>
      </c>
      <c r="C58" s="101" t="s">
        <v>210</v>
      </c>
      <c r="D58" s="101" t="s">
        <v>210</v>
      </c>
      <c r="E58" s="101" t="e">
        <f>Table9[[#This Row],[General Balance]]-C57</f>
        <v>#VALUE!</v>
      </c>
      <c r="F58" s="101" t="e">
        <f t="shared" si="1"/>
        <v>#VALUE!</v>
      </c>
    </row>
    <row r="59" spans="2:6" x14ac:dyDescent="0.3">
      <c r="B59" s="86">
        <f t="shared" si="0"/>
        <v>47635</v>
      </c>
      <c r="C59" s="101" t="s">
        <v>210</v>
      </c>
      <c r="D59" s="101" t="s">
        <v>210</v>
      </c>
      <c r="E59" s="101" t="e">
        <f>Table9[[#This Row],[General Balance]]-C58</f>
        <v>#VALUE!</v>
      </c>
      <c r="F59" s="101" t="e">
        <f t="shared" si="1"/>
        <v>#VALUE!</v>
      </c>
    </row>
    <row r="60" spans="2:6" x14ac:dyDescent="0.3">
      <c r="B60" s="86">
        <f t="shared" si="0"/>
        <v>47665</v>
      </c>
      <c r="C60" s="101" t="s">
        <v>210</v>
      </c>
      <c r="D60" s="101" t="s">
        <v>210</v>
      </c>
      <c r="E60" s="101" t="e">
        <f>Table9[[#This Row],[General Balance]]-C59</f>
        <v>#VALUE!</v>
      </c>
      <c r="F60" s="101" t="e">
        <f t="shared" si="1"/>
        <v>#VALUE!</v>
      </c>
    </row>
    <row r="61" spans="2:6" x14ac:dyDescent="0.3">
      <c r="B61" s="86">
        <f t="shared" si="0"/>
        <v>47696</v>
      </c>
      <c r="C61" s="101" t="s">
        <v>210</v>
      </c>
      <c r="D61" s="101" t="s">
        <v>210</v>
      </c>
      <c r="E61" s="101" t="e">
        <f>Table9[[#This Row],[General Balance]]-C60</f>
        <v>#VALUE!</v>
      </c>
      <c r="F61" s="101" t="e">
        <f t="shared" si="1"/>
        <v>#VALUE!</v>
      </c>
    </row>
    <row r="62" spans="2:6" x14ac:dyDescent="0.3">
      <c r="B62" s="86">
        <f t="shared" si="0"/>
        <v>47727</v>
      </c>
      <c r="C62" s="101" t="s">
        <v>210</v>
      </c>
      <c r="D62" s="101" t="s">
        <v>210</v>
      </c>
      <c r="E62" s="101" t="e">
        <f>Table9[[#This Row],[General Balance]]-C61</f>
        <v>#VALUE!</v>
      </c>
      <c r="F62" s="101" t="e">
        <f t="shared" si="1"/>
        <v>#VALUE!</v>
      </c>
    </row>
    <row r="63" spans="2:6" x14ac:dyDescent="0.3">
      <c r="B63" s="86">
        <f t="shared" si="0"/>
        <v>47757</v>
      </c>
      <c r="C63" s="101" t="s">
        <v>210</v>
      </c>
      <c r="D63" s="101" t="s">
        <v>210</v>
      </c>
      <c r="E63" s="101" t="e">
        <f>Table9[[#This Row],[General Balance]]-C62</f>
        <v>#VALUE!</v>
      </c>
      <c r="F63" s="101" t="e">
        <f t="shared" si="1"/>
        <v>#VALUE!</v>
      </c>
    </row>
    <row r="64" spans="2:6" x14ac:dyDescent="0.3">
      <c r="B64" s="86">
        <f t="shared" si="0"/>
        <v>47788</v>
      </c>
      <c r="C64" s="101" t="s">
        <v>210</v>
      </c>
      <c r="D64" s="101" t="s">
        <v>210</v>
      </c>
      <c r="E64" s="101" t="e">
        <f>Table9[[#This Row],[General Balance]]-C63</f>
        <v>#VALUE!</v>
      </c>
      <c r="F64" s="101" t="e">
        <f t="shared" si="1"/>
        <v>#VALUE!</v>
      </c>
    </row>
    <row r="65" spans="2:6" x14ac:dyDescent="0.3">
      <c r="B65" s="86">
        <f t="shared" si="0"/>
        <v>47818</v>
      </c>
      <c r="C65" s="101" t="s">
        <v>210</v>
      </c>
      <c r="D65" s="101" t="s">
        <v>210</v>
      </c>
      <c r="E65" s="101" t="e">
        <f>Table9[[#This Row],[General Balance]]-C64</f>
        <v>#VALUE!</v>
      </c>
      <c r="F65" s="101" t="e">
        <f t="shared" si="1"/>
        <v>#VALUE!</v>
      </c>
    </row>
  </sheetData>
  <mergeCells count="2">
    <mergeCell ref="H5:I5"/>
    <mergeCell ref="H14:I14"/>
  </mergeCell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57D-0BB2-4D51-BFA3-6687E8A03A91}">
  <sheetPr codeName="Hoja2"/>
  <dimension ref="C1:G19"/>
  <sheetViews>
    <sheetView topLeftCell="A13" workbookViewId="0">
      <selection activeCell="C20" sqref="C20"/>
    </sheetView>
  </sheetViews>
  <sheetFormatPr defaultColWidth="9" defaultRowHeight="14.4" x14ac:dyDescent="0.3"/>
  <cols>
    <col min="3" max="3" width="27.21875" style="44" bestFit="1" customWidth="1"/>
    <col min="4" max="4" width="17.33203125" style="45" bestFit="1" customWidth="1"/>
    <col min="6" max="6" width="17.33203125" bestFit="1" customWidth="1"/>
    <col min="7" max="7" width="18.44140625" bestFit="1" customWidth="1"/>
  </cols>
  <sheetData>
    <row r="1" spans="3:7" x14ac:dyDescent="0.3">
      <c r="C1"/>
      <c r="D1" s="2"/>
    </row>
    <row r="2" spans="3:7" x14ac:dyDescent="0.3">
      <c r="C2" s="42" t="s">
        <v>212</v>
      </c>
      <c r="D2" s="43">
        <f>100*Main!D29</f>
        <v>319488.81789137376</v>
      </c>
      <c r="F2" s="4" t="s">
        <v>183</v>
      </c>
      <c r="G2" s="5">
        <f>SUM(D2:D29)</f>
        <v>12031799.635782748</v>
      </c>
    </row>
    <row r="3" spans="3:7" x14ac:dyDescent="0.3">
      <c r="C3" s="42" t="s">
        <v>218</v>
      </c>
      <c r="D3" s="43">
        <v>490000</v>
      </c>
    </row>
    <row r="4" spans="3:7" x14ac:dyDescent="0.3">
      <c r="C4" s="44" t="s">
        <v>9</v>
      </c>
      <c r="D4" s="45">
        <v>1788000</v>
      </c>
      <c r="G4" s="8"/>
    </row>
    <row r="5" spans="3:7" x14ac:dyDescent="0.3">
      <c r="C5" s="42" t="s">
        <v>184</v>
      </c>
      <c r="D5" s="43">
        <f>100*Main!D29</f>
        <v>319488.81789137376</v>
      </c>
    </row>
    <row r="6" spans="3:7" x14ac:dyDescent="0.3">
      <c r="C6" s="42" t="s">
        <v>187</v>
      </c>
      <c r="D6" s="43">
        <v>234220</v>
      </c>
    </row>
    <row r="7" spans="3:7" x14ac:dyDescent="0.3">
      <c r="C7" s="42" t="s">
        <v>229</v>
      </c>
      <c r="D7" s="43">
        <v>14602</v>
      </c>
    </row>
    <row r="8" spans="3:7" x14ac:dyDescent="0.3">
      <c r="C8" s="42" t="s">
        <v>186</v>
      </c>
      <c r="D8" s="43">
        <v>4500000</v>
      </c>
    </row>
    <row r="9" spans="3:7" x14ac:dyDescent="0.3">
      <c r="C9" s="42" t="s">
        <v>185</v>
      </c>
      <c r="D9" s="43">
        <v>100000</v>
      </c>
    </row>
    <row r="10" spans="3:7" x14ac:dyDescent="0.3">
      <c r="C10" s="44" t="s">
        <v>188</v>
      </c>
      <c r="D10" s="45">
        <f>650000+730000-500000</f>
        <v>880000</v>
      </c>
    </row>
    <row r="11" spans="3:7" x14ac:dyDescent="0.3">
      <c r="C11" s="42" t="s">
        <v>194</v>
      </c>
      <c r="D11" s="43">
        <v>200000</v>
      </c>
    </row>
    <row r="12" spans="3:7" x14ac:dyDescent="0.3">
      <c r="C12" s="42" t="s">
        <v>201</v>
      </c>
      <c r="D12" s="43">
        <v>262000</v>
      </c>
    </row>
    <row r="13" spans="3:7" x14ac:dyDescent="0.3">
      <c r="C13" s="42" t="s">
        <v>207</v>
      </c>
      <c r="D13" s="43">
        <v>204000</v>
      </c>
    </row>
    <row r="14" spans="3:7" x14ac:dyDescent="0.3">
      <c r="C14" s="42" t="s">
        <v>211</v>
      </c>
      <c r="D14" s="43">
        <v>120000</v>
      </c>
    </row>
    <row r="15" spans="3:7" x14ac:dyDescent="0.3">
      <c r="C15" s="44" t="s">
        <v>213</v>
      </c>
      <c r="D15" s="45" t="s">
        <v>210</v>
      </c>
    </row>
    <row r="16" spans="3:7" x14ac:dyDescent="0.3">
      <c r="C16" s="42" t="s">
        <v>228</v>
      </c>
      <c r="D16" s="43">
        <v>100000</v>
      </c>
    </row>
    <row r="17" spans="3:4" x14ac:dyDescent="0.3">
      <c r="C17" s="42" t="s">
        <v>236</v>
      </c>
      <c r="D17" s="43">
        <v>900000</v>
      </c>
    </row>
    <row r="18" spans="3:4" x14ac:dyDescent="0.3">
      <c r="C18" s="44" t="s">
        <v>301</v>
      </c>
      <c r="D18" s="45">
        <v>1000000</v>
      </c>
    </row>
    <row r="19" spans="3:4" x14ac:dyDescent="0.3">
      <c r="C19" s="44" t="s">
        <v>302</v>
      </c>
      <c r="D19" s="45">
        <v>600000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596E-F0F9-4062-A9AD-561789D52B52}">
  <dimension ref="B2:N29"/>
  <sheetViews>
    <sheetView tabSelected="1" zoomScale="83" workbookViewId="0">
      <selection activeCell="H10" sqref="H10"/>
    </sheetView>
  </sheetViews>
  <sheetFormatPr defaultColWidth="11" defaultRowHeight="14.4" x14ac:dyDescent="0.3"/>
  <cols>
    <col min="3" max="3" width="25.77734375" bestFit="1" customWidth="1"/>
    <col min="4" max="4" width="15.6640625" bestFit="1" customWidth="1"/>
    <col min="5" max="5" width="15" bestFit="1" customWidth="1"/>
    <col min="6" max="6" width="15" customWidth="1"/>
    <col min="8" max="8" width="19.88671875" bestFit="1" customWidth="1"/>
    <col min="9" max="9" width="15.109375" bestFit="1" customWidth="1"/>
    <col min="10" max="10" width="22.6640625" bestFit="1" customWidth="1"/>
    <col min="11" max="11" width="13.109375" bestFit="1" customWidth="1"/>
    <col min="12" max="12" width="15.6640625" bestFit="1" customWidth="1"/>
    <col min="13" max="13" width="17.21875" bestFit="1" customWidth="1"/>
    <col min="14" max="14" width="20.109375" bestFit="1" customWidth="1"/>
  </cols>
  <sheetData>
    <row r="2" spans="2:12" ht="15" thickBot="1" x14ac:dyDescent="0.35"/>
    <row r="3" spans="2:12" ht="15" thickBot="1" x14ac:dyDescent="0.35">
      <c r="B3" s="68" t="s">
        <v>193</v>
      </c>
      <c r="C3" s="69">
        <f>D28+I28</f>
        <v>52631379.670000002</v>
      </c>
      <c r="D3" s="25"/>
      <c r="E3" s="26"/>
      <c r="F3" s="26"/>
      <c r="L3" s="24"/>
    </row>
    <row r="5" spans="2:12" ht="15" thickBot="1" x14ac:dyDescent="0.35"/>
    <row r="6" spans="2:12" ht="15" thickBot="1" x14ac:dyDescent="0.35">
      <c r="C6" s="117" t="s">
        <v>189</v>
      </c>
      <c r="D6" s="118"/>
      <c r="E6" s="118"/>
      <c r="F6" s="119"/>
      <c r="H6" s="114" t="s">
        <v>205</v>
      </c>
      <c r="I6" s="115"/>
      <c r="J6" s="116"/>
    </row>
    <row r="7" spans="2:12" x14ac:dyDescent="0.3">
      <c r="C7" s="62" t="s">
        <v>242</v>
      </c>
      <c r="D7" s="61" t="s">
        <v>240</v>
      </c>
      <c r="E7" s="61" t="s">
        <v>241</v>
      </c>
      <c r="F7" s="58" t="s">
        <v>203</v>
      </c>
      <c r="H7" s="33" t="s">
        <v>18</v>
      </c>
      <c r="I7" s="34" t="s">
        <v>204</v>
      </c>
      <c r="J7" s="63" t="s">
        <v>203</v>
      </c>
    </row>
    <row r="8" spans="2:12" x14ac:dyDescent="0.3">
      <c r="C8" s="52" t="s">
        <v>190</v>
      </c>
      <c r="D8" s="48">
        <f>316170</f>
        <v>316170</v>
      </c>
      <c r="E8" s="48"/>
      <c r="F8" s="54"/>
      <c r="H8" s="127" t="s">
        <v>202</v>
      </c>
      <c r="I8" s="128">
        <v>10211609.67</v>
      </c>
      <c r="J8" s="129" t="s">
        <v>237</v>
      </c>
    </row>
    <row r="9" spans="2:12" x14ac:dyDescent="0.3">
      <c r="C9" s="52" t="s">
        <v>192</v>
      </c>
      <c r="D9" s="48">
        <f>500000-(730000+200000)+600000</f>
        <v>170000</v>
      </c>
      <c r="E9" s="48"/>
      <c r="F9" s="55"/>
      <c r="H9" s="40" t="s">
        <v>263</v>
      </c>
      <c r="I9" s="64">
        <v>37000000</v>
      </c>
      <c r="J9" s="100" t="s">
        <v>304</v>
      </c>
      <c r="K9" s="99"/>
    </row>
    <row r="10" spans="2:12" x14ac:dyDescent="0.3">
      <c r="C10" s="52" t="s">
        <v>191</v>
      </c>
      <c r="D10" s="48">
        <v>5400000</v>
      </c>
      <c r="E10" s="48"/>
      <c r="F10" s="55"/>
      <c r="H10" s="40"/>
      <c r="I10" s="64"/>
      <c r="J10" s="65"/>
    </row>
    <row r="11" spans="2:12" x14ac:dyDescent="0.3">
      <c r="C11" s="52" t="s">
        <v>238</v>
      </c>
      <c r="D11" s="48"/>
      <c r="E11" s="48">
        <v>300000</v>
      </c>
      <c r="F11" s="55"/>
      <c r="H11" s="40"/>
      <c r="I11" s="64"/>
      <c r="J11" s="65"/>
    </row>
    <row r="12" spans="2:12" x14ac:dyDescent="0.3">
      <c r="C12" s="52" t="s">
        <v>208</v>
      </c>
      <c r="D12" s="48"/>
      <c r="E12" s="48">
        <v>100000</v>
      </c>
      <c r="F12" s="55"/>
      <c r="H12" s="40"/>
      <c r="I12" s="64"/>
      <c r="J12" s="65"/>
    </row>
    <row r="13" spans="2:12" x14ac:dyDescent="0.3">
      <c r="C13" s="52" t="s">
        <v>216</v>
      </c>
      <c r="D13" s="48"/>
      <c r="E13" s="48">
        <v>48000</v>
      </c>
      <c r="F13" s="55"/>
      <c r="H13" s="40"/>
      <c r="I13" s="64"/>
      <c r="J13" s="65"/>
    </row>
    <row r="14" spans="2:12" x14ac:dyDescent="0.3">
      <c r="C14" s="52" t="s">
        <v>217</v>
      </c>
      <c r="D14" s="48"/>
      <c r="E14" s="48">
        <v>18400</v>
      </c>
      <c r="F14" s="55"/>
      <c r="H14" s="40"/>
      <c r="I14" s="64"/>
      <c r="J14" s="65"/>
    </row>
    <row r="15" spans="2:12" x14ac:dyDescent="0.3">
      <c r="C15" s="52"/>
      <c r="D15" s="48"/>
      <c r="E15" s="48"/>
      <c r="F15" s="55"/>
      <c r="H15" s="40"/>
      <c r="I15" s="64"/>
      <c r="J15" s="65"/>
    </row>
    <row r="16" spans="2:12" x14ac:dyDescent="0.3">
      <c r="C16" s="52"/>
      <c r="D16" s="48"/>
      <c r="E16" s="48"/>
      <c r="F16" s="55"/>
      <c r="H16" s="40"/>
      <c r="I16" s="64"/>
      <c r="J16" s="65"/>
    </row>
    <row r="17" spans="3:14" x14ac:dyDescent="0.3">
      <c r="C17" s="52"/>
      <c r="D17" s="48"/>
      <c r="E17" s="48"/>
      <c r="F17" s="55"/>
      <c r="H17" s="40"/>
      <c r="I17" s="64"/>
      <c r="J17" s="65"/>
    </row>
    <row r="18" spans="3:14" x14ac:dyDescent="0.3">
      <c r="C18" s="52"/>
      <c r="D18" s="48"/>
      <c r="E18" s="48"/>
      <c r="F18" s="55"/>
      <c r="H18" s="40"/>
      <c r="I18" s="64"/>
      <c r="J18" s="65"/>
    </row>
    <row r="19" spans="3:14" x14ac:dyDescent="0.3">
      <c r="C19" s="52"/>
      <c r="D19" s="48"/>
      <c r="E19" s="48"/>
      <c r="F19" s="55"/>
      <c r="H19" s="40"/>
      <c r="I19" s="64"/>
      <c r="J19" s="65"/>
    </row>
    <row r="20" spans="3:14" x14ac:dyDescent="0.3">
      <c r="C20" s="52"/>
      <c r="D20" s="48"/>
      <c r="E20" s="48"/>
      <c r="F20" s="55"/>
      <c r="H20" s="40"/>
      <c r="I20" s="64"/>
      <c r="J20" s="65"/>
    </row>
    <row r="21" spans="3:14" x14ac:dyDescent="0.3">
      <c r="C21" s="52"/>
      <c r="D21" s="48"/>
      <c r="E21" s="48"/>
      <c r="F21" s="55"/>
      <c r="H21" s="40"/>
      <c r="I21" s="64"/>
      <c r="J21" s="65"/>
    </row>
    <row r="22" spans="3:14" x14ac:dyDescent="0.3">
      <c r="C22" s="52"/>
      <c r="D22" s="48"/>
      <c r="E22" s="48"/>
      <c r="F22" s="55"/>
      <c r="H22" s="40"/>
      <c r="I22" s="64"/>
      <c r="J22" s="65"/>
    </row>
    <row r="23" spans="3:14" x14ac:dyDescent="0.3">
      <c r="C23" s="52"/>
      <c r="D23" s="48"/>
      <c r="E23" s="48"/>
      <c r="F23" s="55"/>
      <c r="H23" s="40"/>
      <c r="I23" s="64"/>
      <c r="J23" s="65"/>
    </row>
    <row r="24" spans="3:14" x14ac:dyDescent="0.3">
      <c r="C24" s="52"/>
      <c r="D24" s="48"/>
      <c r="E24" s="48"/>
      <c r="F24" s="55"/>
      <c r="H24" s="40"/>
      <c r="I24" s="64"/>
      <c r="J24" s="65"/>
    </row>
    <row r="25" spans="3:14" x14ac:dyDescent="0.3">
      <c r="C25" s="40"/>
      <c r="D25" s="44"/>
      <c r="E25" s="48"/>
      <c r="F25" s="56"/>
      <c r="H25" s="40"/>
      <c r="I25" s="64"/>
      <c r="J25" s="65"/>
    </row>
    <row r="26" spans="3:14" x14ac:dyDescent="0.3">
      <c r="C26" s="40"/>
      <c r="D26" s="44"/>
      <c r="E26" s="48"/>
      <c r="F26" s="56"/>
      <c r="H26" s="40"/>
      <c r="I26" s="64"/>
      <c r="J26" s="65"/>
    </row>
    <row r="27" spans="3:14" ht="15" thickBot="1" x14ac:dyDescent="0.35">
      <c r="C27" s="53"/>
      <c r="D27" s="49"/>
      <c r="E27" s="50"/>
      <c r="F27" s="57"/>
      <c r="H27" s="66"/>
      <c r="I27" s="64"/>
      <c r="J27" s="67"/>
    </row>
    <row r="28" spans="3:14" ht="15" thickBot="1" x14ac:dyDescent="0.35">
      <c r="C28" s="59" t="s">
        <v>239</v>
      </c>
      <c r="D28" s="120">
        <f>SUM(Table5[Incoming])-SUM(Table5[Outcoming])</f>
        <v>5419770</v>
      </c>
      <c r="E28" s="121"/>
      <c r="F28" s="122"/>
      <c r="H28" s="51" t="s">
        <v>239</v>
      </c>
      <c r="I28" s="123">
        <f>SUM(Table6[Amount])</f>
        <v>47211609.670000002</v>
      </c>
      <c r="J28" s="124"/>
      <c r="K28" s="39"/>
    </row>
    <row r="29" spans="3:14" x14ac:dyDescent="0.3">
      <c r="N29" s="60"/>
    </row>
  </sheetData>
  <mergeCells count="4">
    <mergeCell ref="H6:J6"/>
    <mergeCell ref="C6:F6"/>
    <mergeCell ref="D28:F28"/>
    <mergeCell ref="I28:J28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7117-2FD0-43A7-B1BA-26C3C91B6B68}">
  <dimension ref="E5:AE33"/>
  <sheetViews>
    <sheetView topLeftCell="G5" zoomScale="86" workbookViewId="0">
      <selection activeCell="I24" sqref="I24"/>
    </sheetView>
  </sheetViews>
  <sheetFormatPr defaultRowHeight="14.4" x14ac:dyDescent="0.3"/>
  <cols>
    <col min="5" max="5" width="26.6640625" bestFit="1" customWidth="1"/>
    <col min="6" max="6" width="32.33203125" bestFit="1" customWidth="1"/>
    <col min="7" max="7" width="24.21875" bestFit="1" customWidth="1"/>
    <col min="8" max="8" width="45.6640625" bestFit="1" customWidth="1"/>
    <col min="9" max="9" width="18" bestFit="1" customWidth="1"/>
    <col min="10" max="10" width="14.33203125" bestFit="1" customWidth="1"/>
    <col min="11" max="11" width="24.44140625" bestFit="1" customWidth="1"/>
    <col min="12" max="12" width="16" bestFit="1" customWidth="1"/>
    <col min="13" max="13" width="20.6640625" bestFit="1" customWidth="1"/>
    <col min="14" max="14" width="14.109375" bestFit="1" customWidth="1"/>
    <col min="15" max="15" width="11.33203125" bestFit="1" customWidth="1"/>
    <col min="19" max="19" width="22.109375" bestFit="1" customWidth="1"/>
    <col min="20" max="20" width="10.77734375" customWidth="1"/>
    <col min="21" max="21" width="10.77734375" bestFit="1" customWidth="1"/>
    <col min="22" max="22" width="10.6640625" bestFit="1" customWidth="1"/>
    <col min="23" max="24" width="13.6640625" bestFit="1" customWidth="1"/>
    <col min="25" max="25" width="23.77734375" bestFit="1" customWidth="1"/>
    <col min="26" max="26" width="20.77734375" bestFit="1" customWidth="1"/>
    <col min="27" max="27" width="19.77734375" bestFit="1" customWidth="1"/>
    <col min="28" max="28" width="13.109375" bestFit="1" customWidth="1"/>
    <col min="29" max="29" width="10.6640625" bestFit="1" customWidth="1"/>
  </cols>
  <sheetData>
    <row r="5" spans="5:31" x14ac:dyDescent="0.3">
      <c r="AB5" s="126"/>
      <c r="AC5" s="126"/>
      <c r="AD5" s="126"/>
      <c r="AE5" s="126"/>
    </row>
    <row r="8" spans="5:31" x14ac:dyDescent="0.3">
      <c r="E8" s="71" t="s">
        <v>250</v>
      </c>
      <c r="F8" s="71" t="s">
        <v>251</v>
      </c>
      <c r="G8" s="71" t="s">
        <v>252</v>
      </c>
    </row>
    <row r="9" spans="5:31" x14ac:dyDescent="0.3">
      <c r="E9" s="71" t="s">
        <v>243</v>
      </c>
      <c r="F9" s="70" t="s">
        <v>257</v>
      </c>
      <c r="G9" s="70" t="s">
        <v>244</v>
      </c>
    </row>
    <row r="10" spans="5:31" x14ac:dyDescent="0.3">
      <c r="E10" s="71" t="s">
        <v>245</v>
      </c>
      <c r="F10" s="70" t="s">
        <v>255</v>
      </c>
      <c r="G10" s="70" t="s">
        <v>253</v>
      </c>
    </row>
    <row r="11" spans="5:31" x14ac:dyDescent="0.3">
      <c r="E11" s="71" t="s">
        <v>246</v>
      </c>
      <c r="F11" s="70" t="s">
        <v>256</v>
      </c>
      <c r="G11" s="70" t="s">
        <v>247</v>
      </c>
    </row>
    <row r="12" spans="5:31" x14ac:dyDescent="0.3">
      <c r="E12" s="71" t="s">
        <v>248</v>
      </c>
      <c r="F12" s="70" t="s">
        <v>255</v>
      </c>
      <c r="G12" s="70" t="s">
        <v>253</v>
      </c>
    </row>
    <row r="13" spans="5:31" ht="29.4" thickBot="1" x14ac:dyDescent="0.35">
      <c r="E13" s="71" t="s">
        <v>258</v>
      </c>
      <c r="F13" s="70" t="s">
        <v>254</v>
      </c>
      <c r="G13" s="70" t="s">
        <v>249</v>
      </c>
    </row>
    <row r="14" spans="5:31" ht="36.6" customHeight="1" thickTop="1" thickBot="1" x14ac:dyDescent="0.35">
      <c r="E14" s="92" t="s">
        <v>262</v>
      </c>
      <c r="F14" s="92" t="s">
        <v>260</v>
      </c>
      <c r="G14" s="92" t="s">
        <v>261</v>
      </c>
    </row>
    <row r="15" spans="5:31" ht="15" thickTop="1" x14ac:dyDescent="0.3"/>
    <row r="16" spans="5:31" ht="15" thickBot="1" x14ac:dyDescent="0.35">
      <c r="E16" s="39" t="s">
        <v>235</v>
      </c>
      <c r="F16" s="39" t="s">
        <v>233</v>
      </c>
      <c r="G16" s="39" t="s">
        <v>234</v>
      </c>
      <c r="H16" s="39" t="s">
        <v>203</v>
      </c>
    </row>
    <row r="17" spans="5:15" ht="15.6" thickTop="1" thickBot="1" x14ac:dyDescent="0.35">
      <c r="E17" s="89" t="s">
        <v>259</v>
      </c>
      <c r="F17" s="91">
        <v>0.3</v>
      </c>
      <c r="G17" s="90">
        <f>Tracker!$C$2*Portfolio!F17</f>
        <v>15000000</v>
      </c>
      <c r="H17" s="96" t="s">
        <v>285</v>
      </c>
    </row>
    <row r="18" spans="5:15" ht="15" thickTop="1" x14ac:dyDescent="0.3">
      <c r="E18" s="93" t="s">
        <v>20</v>
      </c>
      <c r="F18" s="94">
        <v>0.15</v>
      </c>
      <c r="G18" s="95">
        <v>6000000</v>
      </c>
      <c r="H18" s="97" t="s">
        <v>286</v>
      </c>
    </row>
    <row r="19" spans="5:15" x14ac:dyDescent="0.3">
      <c r="E19" s="39" t="s">
        <v>231</v>
      </c>
      <c r="F19" s="46">
        <v>0.1</v>
      </c>
      <c r="G19" s="47">
        <v>6000000</v>
      </c>
      <c r="H19" s="98"/>
    </row>
    <row r="20" spans="5:15" x14ac:dyDescent="0.3">
      <c r="E20" s="39" t="s">
        <v>230</v>
      </c>
      <c r="F20" s="46">
        <v>0.44</v>
      </c>
      <c r="G20" s="47">
        <f>Tracker!$C$2*Portfolio!F20</f>
        <v>22000000</v>
      </c>
      <c r="H20" s="98" t="s">
        <v>284</v>
      </c>
    </row>
    <row r="21" spans="5:15" x14ac:dyDescent="0.3">
      <c r="E21" s="93" t="s">
        <v>232</v>
      </c>
      <c r="F21" s="94">
        <f>1-SUM(F17:F20)</f>
        <v>1.0000000000000009E-2</v>
      </c>
      <c r="G21" s="95">
        <f>Tracker!$C$2*Portfolio!F21</f>
        <v>500000.00000000047</v>
      </c>
      <c r="H21" s="97" t="s">
        <v>287</v>
      </c>
    </row>
    <row r="23" spans="5:15" x14ac:dyDescent="0.3">
      <c r="E23" s="39" t="s">
        <v>269</v>
      </c>
      <c r="F23" s="39" t="s">
        <v>270</v>
      </c>
      <c r="G23" s="39" t="s">
        <v>271</v>
      </c>
      <c r="H23" s="39" t="s">
        <v>272</v>
      </c>
      <c r="I23" s="39" t="s">
        <v>273</v>
      </c>
      <c r="J23" s="39" t="s">
        <v>274</v>
      </c>
      <c r="K23" s="39" t="s">
        <v>275</v>
      </c>
      <c r="L23" s="39" t="s">
        <v>283</v>
      </c>
      <c r="M23" s="39" t="s">
        <v>276</v>
      </c>
      <c r="N23" s="39" t="s">
        <v>277</v>
      </c>
      <c r="O23" s="39" t="s">
        <v>203</v>
      </c>
    </row>
    <row r="24" spans="5:15" x14ac:dyDescent="0.3">
      <c r="E24" s="86">
        <v>46219</v>
      </c>
      <c r="F24" s="86" t="s">
        <v>210</v>
      </c>
      <c r="G24" s="39" t="s">
        <v>20</v>
      </c>
      <c r="H24" s="87">
        <v>926.69817440459997</v>
      </c>
      <c r="I24" s="47">
        <v>3237.3</v>
      </c>
      <c r="J24" s="101" t="s">
        <v>210</v>
      </c>
      <c r="K24" s="47">
        <v>3000000</v>
      </c>
      <c r="L24" s="47" t="s">
        <v>210</v>
      </c>
      <c r="M24" s="88" t="e">
        <f>Table10[[#This Row],[Total Value]]-Table10[[#This Row],[Total Invested (COP)]]</f>
        <v>#VALUE!</v>
      </c>
      <c r="N24" s="109" t="e">
        <f>Table10[[#This Row],[Gain/Loss (COP)]]*100/Table10[[#This Row],[Total Invested (COP)]]</f>
        <v>#VALUE!</v>
      </c>
      <c r="O24" s="39"/>
    </row>
    <row r="25" spans="5:15" x14ac:dyDescent="0.3">
      <c r="E25" s="86">
        <v>46225</v>
      </c>
      <c r="F25" s="86" t="s">
        <v>210</v>
      </c>
      <c r="G25" s="39" t="s">
        <v>20</v>
      </c>
      <c r="H25" s="87">
        <v>933.47</v>
      </c>
      <c r="I25" s="47">
        <v>3213.78</v>
      </c>
      <c r="J25" s="101" t="s">
        <v>210</v>
      </c>
      <c r="K25" s="47">
        <v>3000000</v>
      </c>
      <c r="L25" s="47" t="s">
        <v>210</v>
      </c>
      <c r="M25" s="88" t="e">
        <f>Table10[[#This Row],[Total Value]]-Table10[[#This Row],[Total Invested (COP)]]</f>
        <v>#VALUE!</v>
      </c>
      <c r="N25" s="109" t="e">
        <f>Table10[[#This Row],[Gain/Loss (COP)]]*100/Table10[[#This Row],[Total Invested (COP)]]</f>
        <v>#VALUE!</v>
      </c>
      <c r="O25" s="39"/>
    </row>
    <row r="26" spans="5:15" ht="15" thickBot="1" x14ac:dyDescent="0.35">
      <c r="E26" s="86" t="s">
        <v>210</v>
      </c>
      <c r="F26" s="86">
        <v>46226</v>
      </c>
      <c r="G26" s="39" t="s">
        <v>20</v>
      </c>
      <c r="H26" s="87">
        <v>100</v>
      </c>
      <c r="I26" s="47">
        <v>3237.3</v>
      </c>
      <c r="J26" s="101">
        <v>3257.13</v>
      </c>
      <c r="K26" s="47">
        <f>H26*I26</f>
        <v>323730</v>
      </c>
      <c r="L26" s="47">
        <f>H26*J26</f>
        <v>325713</v>
      </c>
      <c r="M26" s="88">
        <f>Table10[[#This Row],[Total Value]]-Table10[[#This Row],[Total Invested (COP)]]</f>
        <v>1983</v>
      </c>
      <c r="N26" s="109">
        <f>Table10[[#This Row],[Gain/Loss (COP)]]*100/Table10[[#This Row],[Total Invested (COP)]]</f>
        <v>0.6125474932814382</v>
      </c>
      <c r="O26" s="39"/>
    </row>
    <row r="27" spans="5:15" ht="15.6" thickTop="1" thickBot="1" x14ac:dyDescent="0.35">
      <c r="E27" s="89" t="s">
        <v>210</v>
      </c>
      <c r="F27" s="89" t="s">
        <v>210</v>
      </c>
      <c r="G27" s="89" t="s">
        <v>63</v>
      </c>
      <c r="H27" s="89" t="s">
        <v>210</v>
      </c>
      <c r="I27" s="90" t="s">
        <v>210</v>
      </c>
      <c r="J27" s="108" t="s">
        <v>210</v>
      </c>
      <c r="K27" s="89" t="s">
        <v>210</v>
      </c>
      <c r="L27" s="89" t="s">
        <v>210</v>
      </c>
      <c r="M27" s="89" t="e">
        <f>Table10[[#This Row],[Total Value]]-Table10[[#This Row],[Total Invested (COP)]]</f>
        <v>#VALUE!</v>
      </c>
      <c r="N27" s="110" t="e">
        <f>Table10[[#This Row],[Gain/Loss (COP)]]*100/Table10[[#This Row],[Total Invested (COP)]]</f>
        <v>#VALUE!</v>
      </c>
      <c r="O27" s="89"/>
    </row>
    <row r="28" spans="5:15" ht="15.6" thickTop="1" thickBot="1" x14ac:dyDescent="0.35">
      <c r="E28" s="89" t="s">
        <v>210</v>
      </c>
      <c r="F28" s="89" t="s">
        <v>210</v>
      </c>
      <c r="G28" s="89" t="s">
        <v>278</v>
      </c>
      <c r="H28" s="89" t="s">
        <v>210</v>
      </c>
      <c r="I28" s="90" t="s">
        <v>210</v>
      </c>
      <c r="J28" s="108" t="s">
        <v>210</v>
      </c>
      <c r="K28" s="89" t="s">
        <v>210</v>
      </c>
      <c r="L28" s="89" t="s">
        <v>210</v>
      </c>
      <c r="M28" s="89" t="e">
        <f>Table10[[#This Row],[Total Value]]-Table10[[#This Row],[Total Invested (COP)]]</f>
        <v>#VALUE!</v>
      </c>
      <c r="N28" s="110" t="e">
        <f>Table10[[#This Row],[Gain/Loss (COP)]]*100/Table10[[#This Row],[Total Invested (COP)]]</f>
        <v>#VALUE!</v>
      </c>
      <c r="O28" s="89"/>
    </row>
    <row r="29" spans="5:15" ht="15.6" thickTop="1" thickBot="1" x14ac:dyDescent="0.35">
      <c r="E29" s="89" t="s">
        <v>210</v>
      </c>
      <c r="F29" s="89" t="s">
        <v>210</v>
      </c>
      <c r="G29" s="89" t="s">
        <v>279</v>
      </c>
      <c r="H29" s="89" t="s">
        <v>210</v>
      </c>
      <c r="I29" s="90" t="s">
        <v>210</v>
      </c>
      <c r="J29" s="108" t="s">
        <v>210</v>
      </c>
      <c r="K29" s="89" t="s">
        <v>210</v>
      </c>
      <c r="L29" s="89" t="s">
        <v>210</v>
      </c>
      <c r="M29" s="89" t="e">
        <f>Table10[[#This Row],[Total Value]]-Table10[[#This Row],[Total Invested (COP)]]</f>
        <v>#VALUE!</v>
      </c>
      <c r="N29" s="110" t="e">
        <f>Table10[[#This Row],[Gain/Loss (COP)]]*100/Table10[[#This Row],[Total Invested (COP)]]</f>
        <v>#VALUE!</v>
      </c>
      <c r="O29" s="89"/>
    </row>
    <row r="30" spans="5:15" ht="15.6" thickTop="1" thickBot="1" x14ac:dyDescent="0.35">
      <c r="E30" s="89" t="s">
        <v>210</v>
      </c>
      <c r="F30" s="89" t="s">
        <v>210</v>
      </c>
      <c r="G30" s="89" t="s">
        <v>280</v>
      </c>
      <c r="H30" s="89" t="s">
        <v>210</v>
      </c>
      <c r="I30" s="90" t="s">
        <v>210</v>
      </c>
      <c r="J30" s="108" t="s">
        <v>210</v>
      </c>
      <c r="K30" s="89" t="s">
        <v>210</v>
      </c>
      <c r="L30" s="89" t="s">
        <v>210</v>
      </c>
      <c r="M30" s="89" t="e">
        <f>Table10[[#This Row],[Total Value]]-Table10[[#This Row],[Total Invested (COP)]]</f>
        <v>#VALUE!</v>
      </c>
      <c r="N30" s="110" t="e">
        <f>Table10[[#This Row],[Gain/Loss (COP)]]*100/Table10[[#This Row],[Total Invested (COP)]]</f>
        <v>#VALUE!</v>
      </c>
      <c r="O30" s="89"/>
    </row>
    <row r="31" spans="5:15" ht="15.6" thickTop="1" thickBot="1" x14ac:dyDescent="0.35">
      <c r="E31" s="89" t="s">
        <v>210</v>
      </c>
      <c r="F31" s="89" t="s">
        <v>210</v>
      </c>
      <c r="G31" s="89" t="s">
        <v>281</v>
      </c>
      <c r="H31" s="89" t="s">
        <v>210</v>
      </c>
      <c r="I31" s="90" t="s">
        <v>210</v>
      </c>
      <c r="J31" s="108" t="s">
        <v>210</v>
      </c>
      <c r="K31" s="89" t="s">
        <v>210</v>
      </c>
      <c r="L31" s="89" t="s">
        <v>210</v>
      </c>
      <c r="M31" s="89" t="e">
        <f>Table10[[#This Row],[Total Value]]-Table10[[#This Row],[Total Invested (COP)]]</f>
        <v>#VALUE!</v>
      </c>
      <c r="N31" s="110" t="e">
        <f>Table10[[#This Row],[Gain/Loss (COP)]]*100/Table10[[#This Row],[Total Invested (COP)]]</f>
        <v>#VALUE!</v>
      </c>
      <c r="O31" s="89"/>
    </row>
    <row r="32" spans="5:15" ht="15.6" thickTop="1" thickBot="1" x14ac:dyDescent="0.35">
      <c r="E32" s="89" t="s">
        <v>210</v>
      </c>
      <c r="F32" s="89" t="s">
        <v>210</v>
      </c>
      <c r="G32" s="89" t="s">
        <v>282</v>
      </c>
      <c r="H32" s="89" t="s">
        <v>210</v>
      </c>
      <c r="I32" s="90" t="s">
        <v>210</v>
      </c>
      <c r="J32" s="108" t="s">
        <v>210</v>
      </c>
      <c r="K32" s="89" t="s">
        <v>210</v>
      </c>
      <c r="L32" s="89" t="s">
        <v>210</v>
      </c>
      <c r="M32" s="89" t="e">
        <f>Table10[[#This Row],[Total Value]]-Table10[[#This Row],[Total Invested (COP)]]</f>
        <v>#VALUE!</v>
      </c>
      <c r="N32" s="110" t="e">
        <f>Table10[[#This Row],[Gain/Loss (COP)]]*100/Table10[[#This Row],[Total Invested (COP)]]</f>
        <v>#VALUE!</v>
      </c>
      <c r="O32" s="89"/>
    </row>
    <row r="33" ht="15" thickTop="1" x14ac:dyDescent="0.3"/>
  </sheetData>
  <mergeCells count="2">
    <mergeCell ref="AB5:AC5"/>
    <mergeCell ref="AD5:AE5"/>
  </mergeCells>
  <conditionalFormatting sqref="F17:F21">
    <cfRule type="expression" dxfId="0" priority="1">
      <formula>SUM($F$17:$F$21)&lt;&gt;1</formula>
    </cfRule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5E6B-F2EC-4DF6-9239-EC7E9397E406}">
  <dimension ref="A1:B167"/>
  <sheetViews>
    <sheetView workbookViewId="0">
      <selection activeCell="B2" sqref="B2"/>
    </sheetView>
  </sheetViews>
  <sheetFormatPr defaultColWidth="11" defaultRowHeight="14.4" x14ac:dyDescent="0.3"/>
  <cols>
    <col min="1" max="1" width="8.21875" bestFit="1" customWidth="1"/>
    <col min="2" max="2" width="11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51</v>
      </c>
      <c r="B2">
        <v>1</v>
      </c>
    </row>
    <row r="3" spans="1:2" x14ac:dyDescent="0.3">
      <c r="A3" t="s">
        <v>21</v>
      </c>
      <c r="B3">
        <v>1.15E-3</v>
      </c>
    </row>
    <row r="4" spans="1:2" x14ac:dyDescent="0.3">
      <c r="A4" t="s">
        <v>22</v>
      </c>
      <c r="B4">
        <v>2.0409E-2</v>
      </c>
    </row>
    <row r="5" spans="1:2" x14ac:dyDescent="0.3">
      <c r="A5" t="s">
        <v>23</v>
      </c>
      <c r="B5">
        <v>2.495E-2</v>
      </c>
    </row>
    <row r="6" spans="1:2" x14ac:dyDescent="0.3">
      <c r="A6" t="s">
        <v>24</v>
      </c>
      <c r="B6">
        <v>0.11405700000000001</v>
      </c>
    </row>
    <row r="7" spans="1:2" x14ac:dyDescent="0.3">
      <c r="A7" t="s">
        <v>25</v>
      </c>
      <c r="B7">
        <v>5.6099999999999998E-4</v>
      </c>
    </row>
    <row r="8" spans="1:2" x14ac:dyDescent="0.3">
      <c r="A8" t="s">
        <v>26</v>
      </c>
      <c r="B8">
        <v>0.28789500000000001</v>
      </c>
    </row>
    <row r="9" spans="1:2" x14ac:dyDescent="0.3">
      <c r="A9" t="s">
        <v>27</v>
      </c>
      <c r="B9">
        <v>0.47286800000000001</v>
      </c>
    </row>
    <row r="10" spans="1:2" x14ac:dyDescent="0.3">
      <c r="A10" t="s">
        <v>28</v>
      </c>
      <c r="B10">
        <v>4.37E-4</v>
      </c>
    </row>
    <row r="11" spans="1:2" x14ac:dyDescent="0.3">
      <c r="A11" t="s">
        <v>29</v>
      </c>
      <c r="B11">
        <v>5.6099999999999998E-4</v>
      </c>
    </row>
    <row r="12" spans="1:2" x14ac:dyDescent="0.3">
      <c r="A12" t="s">
        <v>30</v>
      </c>
      <c r="B12">
        <v>5.3600000000000002E-4</v>
      </c>
    </row>
    <row r="13" spans="1:2" x14ac:dyDescent="0.3">
      <c r="A13" t="s">
        <v>31</v>
      </c>
      <c r="B13">
        <v>5.2800000000000004E-4</v>
      </c>
    </row>
    <row r="14" spans="1:2" x14ac:dyDescent="0.3">
      <c r="A14" t="s">
        <v>32</v>
      </c>
      <c r="B14">
        <v>6.2699999999999995E-4</v>
      </c>
    </row>
    <row r="15" spans="1:2" x14ac:dyDescent="0.3">
      <c r="A15" t="s">
        <v>33</v>
      </c>
      <c r="B15">
        <v>3.8725999999999997E-2</v>
      </c>
    </row>
    <row r="16" spans="1:2" x14ac:dyDescent="0.3">
      <c r="A16" t="s">
        <v>34</v>
      </c>
      <c r="B16">
        <v>5.2800000000000004E-4</v>
      </c>
    </row>
    <row r="17" spans="1:2" x14ac:dyDescent="0.3">
      <c r="A17" t="s">
        <v>35</v>
      </c>
      <c r="B17">
        <v>1.18E-4</v>
      </c>
    </row>
    <row r="18" spans="1:2" x14ac:dyDescent="0.3">
      <c r="A18" t="s">
        <v>36</v>
      </c>
      <c r="B18">
        <v>0.94235199999999997</v>
      </c>
    </row>
    <row r="19" spans="1:2" x14ac:dyDescent="0.3">
      <c r="A19" t="s">
        <v>37</v>
      </c>
      <c r="B19">
        <v>3.1300000000000002E-4</v>
      </c>
    </row>
    <row r="20" spans="1:2" x14ac:dyDescent="0.3">
      <c r="A20" t="s">
        <v>38</v>
      </c>
      <c r="B20">
        <v>3.9899999999999999E-4</v>
      </c>
    </row>
    <row r="21" spans="1:2" x14ac:dyDescent="0.3">
      <c r="A21" t="s">
        <v>39</v>
      </c>
      <c r="B21">
        <v>3.699E-3</v>
      </c>
    </row>
    <row r="22" spans="1:2" x14ac:dyDescent="0.3">
      <c r="A22" t="s">
        <v>40</v>
      </c>
      <c r="B22">
        <v>1.621E-3</v>
      </c>
    </row>
    <row r="23" spans="1:2" x14ac:dyDescent="0.3">
      <c r="A23" t="s">
        <v>41</v>
      </c>
      <c r="B23">
        <v>3.1300000000000002E-4</v>
      </c>
    </row>
    <row r="24" spans="1:2" x14ac:dyDescent="0.3">
      <c r="A24" t="s">
        <v>42</v>
      </c>
      <c r="B24">
        <v>2.9824E-2</v>
      </c>
    </row>
    <row r="25" spans="1:2" x14ac:dyDescent="0.3">
      <c r="A25" t="s">
        <v>43</v>
      </c>
      <c r="B25">
        <v>4.2009999999999999E-3</v>
      </c>
    </row>
    <row r="26" spans="1:2" x14ac:dyDescent="0.3">
      <c r="A26" t="s">
        <v>44</v>
      </c>
      <c r="B26">
        <v>9.6100000000000005E-4</v>
      </c>
    </row>
    <row r="27" spans="1:2" x14ac:dyDescent="0.3">
      <c r="A27" t="s">
        <v>45</v>
      </c>
      <c r="B27">
        <v>6.2699999999999995E-4</v>
      </c>
    </row>
    <row r="28" spans="1:2" x14ac:dyDescent="0.3">
      <c r="A28" t="s">
        <v>46</v>
      </c>
      <c r="B28">
        <v>4.35E-4</v>
      </c>
    </row>
    <row r="29" spans="1:2" x14ac:dyDescent="0.3">
      <c r="A29" t="s">
        <v>47</v>
      </c>
      <c r="B29">
        <v>0.71758900000000003</v>
      </c>
    </row>
    <row r="30" spans="1:2" x14ac:dyDescent="0.3">
      <c r="A30" t="s">
        <v>48</v>
      </c>
      <c r="B30">
        <v>2.5300000000000002E-4</v>
      </c>
    </row>
    <row r="31" spans="1:2" x14ac:dyDescent="0.3">
      <c r="A31" t="s">
        <v>223</v>
      </c>
      <c r="B31">
        <v>6.9999999999999999E-6</v>
      </c>
    </row>
    <row r="32" spans="1:2" x14ac:dyDescent="0.3">
      <c r="A32" t="s">
        <v>49</v>
      </c>
      <c r="B32">
        <v>0.29166199999999998</v>
      </c>
    </row>
    <row r="33" spans="1:2" x14ac:dyDescent="0.3">
      <c r="A33" t="s">
        <v>224</v>
      </c>
      <c r="B33">
        <v>2.104E-3</v>
      </c>
    </row>
    <row r="34" spans="1:2" x14ac:dyDescent="0.3">
      <c r="A34" t="s">
        <v>50</v>
      </c>
      <c r="B34">
        <v>2.1099999999999999E-3</v>
      </c>
    </row>
    <row r="35" spans="1:2" x14ac:dyDescent="0.3">
      <c r="A35" t="s">
        <v>52</v>
      </c>
      <c r="B35">
        <v>0.14158200000000001</v>
      </c>
    </row>
    <row r="36" spans="1:2" x14ac:dyDescent="0.3">
      <c r="A36" t="s">
        <v>53</v>
      </c>
      <c r="B36">
        <v>7.5180000000000004E-3</v>
      </c>
    </row>
    <row r="37" spans="1:2" x14ac:dyDescent="0.3">
      <c r="A37" t="s">
        <v>54</v>
      </c>
      <c r="B37">
        <v>2.9779E-2</v>
      </c>
    </row>
    <row r="38" spans="1:2" x14ac:dyDescent="0.3">
      <c r="A38" t="s">
        <v>55</v>
      </c>
      <c r="B38">
        <v>6.5160000000000001E-3</v>
      </c>
    </row>
    <row r="39" spans="1:2" x14ac:dyDescent="0.3">
      <c r="A39" t="s">
        <v>56</v>
      </c>
      <c r="B39">
        <v>5.5674000000000001E-2</v>
      </c>
    </row>
    <row r="40" spans="1:2" x14ac:dyDescent="0.3">
      <c r="A40" t="s">
        <v>57</v>
      </c>
      <c r="B40">
        <v>2.019E-3</v>
      </c>
    </row>
    <row r="41" spans="1:2" x14ac:dyDescent="0.3">
      <c r="A41" t="s">
        <v>58</v>
      </c>
      <c r="B41">
        <v>1.8456E-2</v>
      </c>
    </row>
    <row r="42" spans="1:2" x14ac:dyDescent="0.3">
      <c r="A42" t="s">
        <v>59</v>
      </c>
      <c r="B42">
        <v>4.1771999999999997E-2</v>
      </c>
    </row>
    <row r="43" spans="1:2" x14ac:dyDescent="0.3">
      <c r="A43" t="s">
        <v>60</v>
      </c>
      <c r="B43">
        <v>1.5897999999999999E-2</v>
      </c>
    </row>
    <row r="44" spans="1:2" x14ac:dyDescent="0.3">
      <c r="A44" t="s">
        <v>61</v>
      </c>
      <c r="B44">
        <v>4.6990000000000001E-3</v>
      </c>
    </row>
    <row r="45" spans="1:2" x14ac:dyDescent="0.3">
      <c r="A45" t="s">
        <v>62</v>
      </c>
      <c r="B45">
        <v>5.0786999999999999E-2</v>
      </c>
    </row>
    <row r="46" spans="1:2" x14ac:dyDescent="0.3">
      <c r="A46" t="s">
        <v>63</v>
      </c>
      <c r="B46">
        <v>2.7E-4</v>
      </c>
    </row>
    <row r="47" spans="1:2" x14ac:dyDescent="0.3">
      <c r="A47" t="s">
        <v>64</v>
      </c>
      <c r="B47">
        <v>6.8900000000000005E-4</v>
      </c>
    </row>
    <row r="48" spans="1:2" x14ac:dyDescent="0.3">
      <c r="A48" t="s">
        <v>65</v>
      </c>
      <c r="B48">
        <v>2.31E-4</v>
      </c>
    </row>
    <row r="49" spans="1:2" x14ac:dyDescent="0.3">
      <c r="A49" t="s">
        <v>66</v>
      </c>
      <c r="B49">
        <v>2.019E-3</v>
      </c>
    </row>
    <row r="50" spans="1:2" x14ac:dyDescent="0.3">
      <c r="A50" t="s">
        <v>67</v>
      </c>
      <c r="B50">
        <v>2.31E-4</v>
      </c>
    </row>
    <row r="51" spans="1:2" x14ac:dyDescent="0.3">
      <c r="A51" t="s">
        <v>68</v>
      </c>
      <c r="B51">
        <v>8.1599999999999999E-4</v>
      </c>
    </row>
    <row r="52" spans="1:2" x14ac:dyDescent="0.3">
      <c r="A52" t="s">
        <v>69</v>
      </c>
      <c r="B52">
        <v>2.31E-4</v>
      </c>
    </row>
    <row r="53" spans="1:2" x14ac:dyDescent="0.3">
      <c r="A53" t="s">
        <v>70</v>
      </c>
      <c r="B53">
        <v>3.5209999999999998E-3</v>
      </c>
    </row>
    <row r="54" spans="1:2" x14ac:dyDescent="0.3">
      <c r="A54" t="s">
        <v>71</v>
      </c>
      <c r="B54">
        <v>2.31E-4</v>
      </c>
    </row>
    <row r="55" spans="1:2" x14ac:dyDescent="0.3">
      <c r="A55" t="s">
        <v>72</v>
      </c>
      <c r="B55">
        <v>2.3699000000000001E-2</v>
      </c>
    </row>
    <row r="56" spans="1:2" x14ac:dyDescent="0.3">
      <c r="A56" t="s">
        <v>73</v>
      </c>
      <c r="B56">
        <v>2.7476530000000001</v>
      </c>
    </row>
    <row r="57" spans="1:2" x14ac:dyDescent="0.3">
      <c r="A57" t="s">
        <v>74</v>
      </c>
      <c r="B57">
        <v>2.3990000000000001E-3</v>
      </c>
    </row>
    <row r="58" spans="1:2" x14ac:dyDescent="0.3">
      <c r="A58" t="s">
        <v>75</v>
      </c>
      <c r="B58">
        <v>6.5502000000000005E-2</v>
      </c>
    </row>
    <row r="59" spans="1:2" x14ac:dyDescent="0.3">
      <c r="A59" t="s">
        <v>76</v>
      </c>
      <c r="B59">
        <v>2.454E-3</v>
      </c>
    </row>
    <row r="60" spans="1:2" x14ac:dyDescent="0.3">
      <c r="A60" t="s">
        <v>77</v>
      </c>
      <c r="B60">
        <v>8.4259999999999995E-3</v>
      </c>
    </row>
    <row r="61" spans="1:2" x14ac:dyDescent="0.3">
      <c r="A61" t="s">
        <v>78</v>
      </c>
      <c r="B61">
        <v>2.0349999999999999E-3</v>
      </c>
    </row>
    <row r="62" spans="1:2" x14ac:dyDescent="0.3">
      <c r="A62" t="s">
        <v>79</v>
      </c>
      <c r="B62">
        <v>4.0933999999999998E-2</v>
      </c>
    </row>
    <row r="63" spans="1:2" x14ac:dyDescent="0.3">
      <c r="A63" t="s">
        <v>80</v>
      </c>
      <c r="B63">
        <v>9.8497000000000001E-2</v>
      </c>
    </row>
    <row r="64" spans="1:2" x14ac:dyDescent="0.3">
      <c r="A64" t="s">
        <v>81</v>
      </c>
      <c r="B64">
        <v>5.5844550000000002</v>
      </c>
    </row>
    <row r="65" spans="1:2" x14ac:dyDescent="0.3">
      <c r="A65" t="s">
        <v>82</v>
      </c>
      <c r="B65">
        <v>9.3599999999999998E-4</v>
      </c>
    </row>
    <row r="66" spans="1:2" x14ac:dyDescent="0.3">
      <c r="A66" t="s">
        <v>83</v>
      </c>
      <c r="B66">
        <v>2.31E-4</v>
      </c>
    </row>
    <row r="67" spans="1:2" x14ac:dyDescent="0.3">
      <c r="A67" t="s">
        <v>84</v>
      </c>
      <c r="B67">
        <v>2.9824E-2</v>
      </c>
    </row>
    <row r="68" spans="1:2" x14ac:dyDescent="0.3">
      <c r="A68" t="s">
        <v>85</v>
      </c>
      <c r="B68">
        <v>0.41089199999999998</v>
      </c>
    </row>
    <row r="69" spans="1:2" x14ac:dyDescent="0.3">
      <c r="A69" t="s">
        <v>86</v>
      </c>
      <c r="B69">
        <v>445.14925399999998</v>
      </c>
    </row>
    <row r="70" spans="1:2" x14ac:dyDescent="0.3">
      <c r="A70" t="s">
        <v>87</v>
      </c>
      <c r="B70">
        <v>3.8009000000000001E-2</v>
      </c>
    </row>
    <row r="71" spans="1:2" x14ac:dyDescent="0.3">
      <c r="A71" t="s">
        <v>88</v>
      </c>
      <c r="B71">
        <v>2.31E-4</v>
      </c>
    </row>
    <row r="72" spans="1:2" x14ac:dyDescent="0.3">
      <c r="A72" t="s">
        <v>89</v>
      </c>
      <c r="B72">
        <v>4.9805000000000002E-2</v>
      </c>
    </row>
    <row r="73" spans="1:2" x14ac:dyDescent="0.3">
      <c r="A73" t="s">
        <v>90</v>
      </c>
      <c r="B73">
        <v>2.22E-4</v>
      </c>
    </row>
    <row r="74" spans="1:2" x14ac:dyDescent="0.3">
      <c r="A74" t="s">
        <v>91</v>
      </c>
      <c r="B74">
        <v>5.0019000000000001E-2</v>
      </c>
    </row>
    <row r="75" spans="1:2" x14ac:dyDescent="0.3">
      <c r="A75" t="s">
        <v>92</v>
      </c>
      <c r="B75">
        <v>4.0545999999999999E-2</v>
      </c>
    </row>
    <row r="76" spans="1:2" x14ac:dyDescent="0.3">
      <c r="A76" t="s">
        <v>93</v>
      </c>
      <c r="B76">
        <v>2.7387999999999999E-2</v>
      </c>
    </row>
    <row r="77" spans="1:2" x14ac:dyDescent="0.3">
      <c r="A77" t="s">
        <v>94</v>
      </c>
      <c r="B77">
        <v>1.2652890000000001</v>
      </c>
    </row>
    <row r="78" spans="1:2" x14ac:dyDescent="0.3">
      <c r="A78" t="s">
        <v>95</v>
      </c>
      <c r="B78">
        <v>4.37E-4</v>
      </c>
    </row>
    <row r="79" spans="1:2" x14ac:dyDescent="0.3">
      <c r="A79" t="s">
        <v>96</v>
      </c>
      <c r="B79">
        <v>0.13286400000000001</v>
      </c>
    </row>
    <row r="80" spans="1:2" x14ac:dyDescent="0.3">
      <c r="A80" t="s">
        <v>97</v>
      </c>
      <c r="B80">
        <v>0.428672</v>
      </c>
    </row>
    <row r="81" spans="1:2" x14ac:dyDescent="0.3">
      <c r="A81" t="s">
        <v>98</v>
      </c>
      <c r="B81">
        <v>9.7E-5</v>
      </c>
    </row>
    <row r="82" spans="1:2" x14ac:dyDescent="0.3">
      <c r="A82" t="s">
        <v>99</v>
      </c>
      <c r="B82">
        <v>2.61E-4</v>
      </c>
    </row>
    <row r="83" spans="1:2" x14ac:dyDescent="0.3">
      <c r="A83" t="s">
        <v>100</v>
      </c>
      <c r="B83">
        <v>0.145283</v>
      </c>
    </row>
    <row r="84" spans="1:2" x14ac:dyDescent="0.3">
      <c r="A84" t="s">
        <v>101</v>
      </c>
      <c r="B84">
        <v>6.9917009999999999</v>
      </c>
    </row>
    <row r="85" spans="1:2" x14ac:dyDescent="0.3">
      <c r="A85" t="s">
        <v>102</v>
      </c>
      <c r="B85">
        <v>28.037489999999998</v>
      </c>
    </row>
    <row r="86" spans="1:2" x14ac:dyDescent="0.3">
      <c r="A86" t="s">
        <v>103</v>
      </c>
      <c r="B86">
        <v>0.102843</v>
      </c>
    </row>
    <row r="87" spans="1:2" x14ac:dyDescent="0.3">
      <c r="A87" t="s">
        <v>104</v>
      </c>
      <c r="B87">
        <v>5.6659000000000001E-2</v>
      </c>
    </row>
    <row r="88" spans="1:2" x14ac:dyDescent="0.3">
      <c r="A88" t="s">
        <v>105</v>
      </c>
      <c r="B88">
        <v>5.0530000000000002E-3</v>
      </c>
    </row>
    <row r="89" spans="1:2" x14ac:dyDescent="0.3">
      <c r="A89" t="s">
        <v>106</v>
      </c>
      <c r="B89">
        <v>1.9840000000000001E-3</v>
      </c>
    </row>
    <row r="90" spans="1:2" x14ac:dyDescent="0.3">
      <c r="A90" t="s">
        <v>107</v>
      </c>
      <c r="B90">
        <v>2.9129999999999998E-3</v>
      </c>
    </row>
    <row r="91" spans="1:2" x14ac:dyDescent="0.3">
      <c r="A91" t="s">
        <v>108</v>
      </c>
      <c r="B91">
        <v>5.4190000000000002E-3</v>
      </c>
    </row>
    <row r="92" spans="1:2" x14ac:dyDescent="0.3">
      <c r="A92" t="s">
        <v>109</v>
      </c>
      <c r="B92">
        <v>1.354023</v>
      </c>
    </row>
    <row r="93" spans="1:2" x14ac:dyDescent="0.3">
      <c r="A93" t="s">
        <v>110</v>
      </c>
      <c r="B93">
        <v>1.7075E-2</v>
      </c>
    </row>
    <row r="94" spans="1:2" x14ac:dyDescent="0.3">
      <c r="A94" t="s">
        <v>111</v>
      </c>
      <c r="B94">
        <v>0.65837199999999996</v>
      </c>
    </row>
    <row r="95" spans="1:2" x14ac:dyDescent="0.3">
      <c r="A95" t="s">
        <v>112</v>
      </c>
      <c r="B95">
        <v>1.1309959999999999</v>
      </c>
    </row>
    <row r="96" spans="1:2" x14ac:dyDescent="0.3">
      <c r="A96" t="s">
        <v>113</v>
      </c>
      <c r="B96">
        <v>2.5279999999999999E-3</v>
      </c>
    </row>
    <row r="97" spans="1:2" x14ac:dyDescent="0.3">
      <c r="A97" t="s">
        <v>114</v>
      </c>
      <c r="B97">
        <v>1.2573000000000001E-2</v>
      </c>
    </row>
    <row r="98" spans="1:2" x14ac:dyDescent="0.3">
      <c r="A98" t="s">
        <v>115</v>
      </c>
      <c r="B98">
        <v>1.4734000000000001E-2</v>
      </c>
    </row>
    <row r="99" spans="1:2" x14ac:dyDescent="0.3">
      <c r="A99" t="s">
        <v>116</v>
      </c>
      <c r="B99">
        <v>4.8459999999999996E-3</v>
      </c>
    </row>
    <row r="100" spans="1:2" x14ac:dyDescent="0.3">
      <c r="A100" t="s">
        <v>117</v>
      </c>
      <c r="B100">
        <v>0.54324700000000004</v>
      </c>
    </row>
    <row r="101" spans="1:2" x14ac:dyDescent="0.3">
      <c r="A101" t="s">
        <v>118</v>
      </c>
      <c r="B101">
        <v>5.3280000000000003E-3</v>
      </c>
    </row>
    <row r="102" spans="1:2" x14ac:dyDescent="0.3">
      <c r="A102" t="s">
        <v>119</v>
      </c>
      <c r="B102">
        <v>1.2600000000000001E-3</v>
      </c>
    </row>
    <row r="103" spans="1:2" x14ac:dyDescent="0.3">
      <c r="A103" t="s">
        <v>120</v>
      </c>
      <c r="B103">
        <v>1.9913E-2</v>
      </c>
    </row>
    <row r="104" spans="1:2" x14ac:dyDescent="0.3">
      <c r="A104" t="s">
        <v>121</v>
      </c>
      <c r="B104">
        <v>5.0530000000000002E-3</v>
      </c>
    </row>
    <row r="105" spans="1:2" x14ac:dyDescent="0.3">
      <c r="A105" t="s">
        <v>122</v>
      </c>
      <c r="B105">
        <v>0.42027999999999999</v>
      </c>
    </row>
    <row r="106" spans="1:2" x14ac:dyDescent="0.3">
      <c r="A106" t="s">
        <v>123</v>
      </c>
      <c r="B106">
        <v>1.157E-2</v>
      </c>
    </row>
    <row r="107" spans="1:2" x14ac:dyDescent="0.3">
      <c r="A107" t="s">
        <v>124</v>
      </c>
      <c r="B107">
        <v>2.9269999999999999E-3</v>
      </c>
    </row>
    <row r="108" spans="1:2" x14ac:dyDescent="0.3">
      <c r="A108" t="s">
        <v>125</v>
      </c>
      <c r="B108">
        <v>4.7718000000000003E-2</v>
      </c>
    </row>
    <row r="109" spans="1:2" x14ac:dyDescent="0.3">
      <c r="A109" t="s">
        <v>126</v>
      </c>
      <c r="B109">
        <v>5.2899999999999996E-4</v>
      </c>
    </row>
    <row r="110" spans="1:2" x14ac:dyDescent="0.3">
      <c r="A110" t="s">
        <v>127</v>
      </c>
      <c r="B110">
        <v>1.2E-4</v>
      </c>
    </row>
    <row r="111" spans="1:2" x14ac:dyDescent="0.3">
      <c r="A111" t="s">
        <v>128</v>
      </c>
      <c r="B111">
        <v>3.1300000000000002E-4</v>
      </c>
    </row>
    <row r="112" spans="1:2" x14ac:dyDescent="0.3">
      <c r="A112" t="s">
        <v>129</v>
      </c>
      <c r="B112">
        <v>1.0560000000000001E-3</v>
      </c>
    </row>
    <row r="113" spans="1:2" x14ac:dyDescent="0.3">
      <c r="A113" t="s">
        <v>130</v>
      </c>
      <c r="B113">
        <v>1.3979999999999999E-3</v>
      </c>
    </row>
    <row r="114" spans="1:2" x14ac:dyDescent="0.3">
      <c r="A114" t="s">
        <v>131</v>
      </c>
      <c r="B114">
        <v>1.9529999999999999E-2</v>
      </c>
    </row>
    <row r="115" spans="1:2" x14ac:dyDescent="0.3">
      <c r="A115" t="s">
        <v>132</v>
      </c>
      <c r="B115">
        <v>8.7101999999999999E-2</v>
      </c>
    </row>
    <row r="116" spans="1:2" x14ac:dyDescent="0.3">
      <c r="A116" t="s">
        <v>133</v>
      </c>
      <c r="B116">
        <v>1.1709999999999999E-3</v>
      </c>
    </row>
    <row r="117" spans="1:2" x14ac:dyDescent="0.3">
      <c r="A117" t="s">
        <v>134</v>
      </c>
      <c r="B117">
        <v>1.862026</v>
      </c>
    </row>
    <row r="118" spans="1:2" x14ac:dyDescent="0.3">
      <c r="A118" t="s">
        <v>135</v>
      </c>
      <c r="B118">
        <v>1.14E-3</v>
      </c>
    </row>
    <row r="119" spans="1:2" x14ac:dyDescent="0.3">
      <c r="A119" t="s">
        <v>136</v>
      </c>
      <c r="B119">
        <v>1.42E-3</v>
      </c>
    </row>
    <row r="120" spans="1:2" x14ac:dyDescent="0.3">
      <c r="A120" t="s">
        <v>137</v>
      </c>
      <c r="B120">
        <v>3.1708E-2</v>
      </c>
    </row>
    <row r="121" spans="1:2" x14ac:dyDescent="0.3">
      <c r="A121" t="s">
        <v>138</v>
      </c>
      <c r="B121">
        <v>2.7088999999999998E-2</v>
      </c>
    </row>
    <row r="122" spans="1:2" x14ac:dyDescent="0.3">
      <c r="A122" t="s">
        <v>139</v>
      </c>
      <c r="B122">
        <v>0.462258</v>
      </c>
    </row>
    <row r="123" spans="1:2" x14ac:dyDescent="0.3">
      <c r="A123" t="s">
        <v>140</v>
      </c>
      <c r="B123">
        <v>1.175E-3</v>
      </c>
    </row>
    <row r="124" spans="1:2" x14ac:dyDescent="0.3">
      <c r="A124" t="s">
        <v>141</v>
      </c>
      <c r="B124">
        <v>2.5110000000000002E-3</v>
      </c>
    </row>
    <row r="125" spans="1:2" x14ac:dyDescent="0.3">
      <c r="A125" t="s">
        <v>142</v>
      </c>
      <c r="B125">
        <v>4.398E-3</v>
      </c>
    </row>
    <row r="126" spans="1:2" x14ac:dyDescent="0.3">
      <c r="A126" t="s">
        <v>143</v>
      </c>
      <c r="B126">
        <v>0.14224300000000001</v>
      </c>
    </row>
    <row r="127" spans="1:2" x14ac:dyDescent="0.3">
      <c r="A127" t="s">
        <v>144</v>
      </c>
      <c r="B127">
        <v>3.0019999999999999E-3</v>
      </c>
    </row>
    <row r="128" spans="1:2" x14ac:dyDescent="0.3">
      <c r="A128" t="s">
        <v>145</v>
      </c>
      <c r="B128">
        <v>3.9899999999999999E-4</v>
      </c>
    </row>
    <row r="129" spans="1:2" x14ac:dyDescent="0.3">
      <c r="A129" t="s">
        <v>146</v>
      </c>
      <c r="B129">
        <v>2.31E-4</v>
      </c>
    </row>
    <row r="130" spans="1:2" x14ac:dyDescent="0.3">
      <c r="A130" t="s">
        <v>147</v>
      </c>
      <c r="B130">
        <v>7.9640000000000006E-3</v>
      </c>
    </row>
    <row r="131" spans="1:2" x14ac:dyDescent="0.3">
      <c r="A131" t="s">
        <v>148</v>
      </c>
      <c r="B131">
        <v>7.9639519999999999</v>
      </c>
    </row>
    <row r="132" spans="1:2" x14ac:dyDescent="0.3">
      <c r="A132" t="s">
        <v>149</v>
      </c>
      <c r="B132">
        <v>0.17905699999999999</v>
      </c>
    </row>
    <row r="133" spans="1:2" x14ac:dyDescent="0.3">
      <c r="A133" t="s">
        <v>150</v>
      </c>
      <c r="B133">
        <v>1.1838E-2</v>
      </c>
    </row>
    <row r="134" spans="1:2" x14ac:dyDescent="0.3">
      <c r="A134" t="s">
        <v>151</v>
      </c>
      <c r="B134">
        <v>1.8075760000000001</v>
      </c>
    </row>
    <row r="135" spans="1:2" x14ac:dyDescent="0.3">
      <c r="A135" t="s">
        <v>152</v>
      </c>
      <c r="B135">
        <v>6.6169999999999996E-3</v>
      </c>
    </row>
    <row r="136" spans="1:2" x14ac:dyDescent="0.3">
      <c r="A136" t="s">
        <v>153</v>
      </c>
      <c r="B136">
        <v>3.8131999999999999E-2</v>
      </c>
    </row>
    <row r="137" spans="1:2" x14ac:dyDescent="0.3">
      <c r="A137" t="s">
        <v>154</v>
      </c>
      <c r="B137">
        <v>5.0530000000000002E-3</v>
      </c>
    </row>
    <row r="138" spans="1:2" x14ac:dyDescent="0.3">
      <c r="A138" t="s">
        <v>155</v>
      </c>
      <c r="B138">
        <v>1.0385999999999999E-2</v>
      </c>
    </row>
    <row r="139" spans="1:2" x14ac:dyDescent="0.3">
      <c r="A139" t="s">
        <v>156</v>
      </c>
      <c r="B139">
        <v>2.9870000000000001E-3</v>
      </c>
    </row>
    <row r="140" spans="1:2" x14ac:dyDescent="0.3">
      <c r="A140" t="s">
        <v>157</v>
      </c>
      <c r="B140">
        <v>1.1329999999999999E-3</v>
      </c>
    </row>
    <row r="141" spans="1:2" x14ac:dyDescent="0.3">
      <c r="A141" t="s">
        <v>158</v>
      </c>
      <c r="B141">
        <v>9.1100000000000003E-4</v>
      </c>
    </row>
    <row r="142" spans="1:2" x14ac:dyDescent="0.3">
      <c r="A142" t="s">
        <v>159</v>
      </c>
      <c r="B142">
        <v>7.5500000000000003E-4</v>
      </c>
    </row>
    <row r="143" spans="1:2" x14ac:dyDescent="0.3">
      <c r="A143" t="s">
        <v>160</v>
      </c>
      <c r="B143">
        <v>1.5110999999999999E-2</v>
      </c>
    </row>
    <row r="144" spans="1:2" x14ac:dyDescent="0.3">
      <c r="A144" t="s">
        <v>161</v>
      </c>
      <c r="B144">
        <v>2.1389999999999998E-3</v>
      </c>
    </row>
    <row r="145" spans="1:2" x14ac:dyDescent="0.3">
      <c r="A145" t="s">
        <v>162</v>
      </c>
      <c r="B145">
        <v>4.37E-4</v>
      </c>
    </row>
    <row r="146" spans="1:2" x14ac:dyDescent="0.3">
      <c r="A146" t="s">
        <v>163</v>
      </c>
      <c r="B146">
        <v>9.9290000000000003E-3</v>
      </c>
    </row>
    <row r="147" spans="1:2" x14ac:dyDescent="0.3">
      <c r="A147" t="s">
        <v>164</v>
      </c>
      <c r="B147">
        <v>0.82893899999999998</v>
      </c>
    </row>
    <row r="148" spans="1:2" x14ac:dyDescent="0.3">
      <c r="A148" t="s">
        <v>165</v>
      </c>
      <c r="B148">
        <v>1.3958999999999999E-2</v>
      </c>
    </row>
    <row r="149" spans="1:2" x14ac:dyDescent="0.3">
      <c r="A149" t="s">
        <v>166</v>
      </c>
      <c r="B149">
        <v>1.1724760000000001</v>
      </c>
    </row>
    <row r="150" spans="1:2" x14ac:dyDescent="0.3">
      <c r="A150" t="s">
        <v>20</v>
      </c>
      <c r="B150">
        <v>3.1300000000000002E-4</v>
      </c>
    </row>
    <row r="151" spans="1:2" x14ac:dyDescent="0.3">
      <c r="A151" t="s">
        <v>167</v>
      </c>
      <c r="B151">
        <v>1.2659999999999999E-2</v>
      </c>
    </row>
    <row r="152" spans="1:2" x14ac:dyDescent="0.3">
      <c r="A152" t="s">
        <v>168</v>
      </c>
      <c r="B152">
        <v>3.6983440000000001</v>
      </c>
    </row>
    <row r="153" spans="1:2" x14ac:dyDescent="0.3">
      <c r="A153" t="s">
        <v>169</v>
      </c>
      <c r="B153">
        <v>0.25009500000000001</v>
      </c>
    </row>
    <row r="154" spans="1:2" x14ac:dyDescent="0.3">
      <c r="A154" t="s">
        <v>170</v>
      </c>
      <c r="B154">
        <v>8.1179109999999994</v>
      </c>
    </row>
    <row r="155" spans="1:2" x14ac:dyDescent="0.3">
      <c r="A155" t="s">
        <v>171</v>
      </c>
      <c r="B155">
        <v>3.7132999999999999E-2</v>
      </c>
    </row>
    <row r="156" spans="1:2" x14ac:dyDescent="0.3">
      <c r="A156" t="s">
        <v>172</v>
      </c>
      <c r="B156">
        <v>8.4699999999999999E-4</v>
      </c>
    </row>
    <row r="157" spans="1:2" x14ac:dyDescent="0.3">
      <c r="A157" t="s">
        <v>173</v>
      </c>
      <c r="B157">
        <v>0.177152</v>
      </c>
    </row>
    <row r="158" spans="1:2" x14ac:dyDescent="0.3">
      <c r="A158" t="s">
        <v>174</v>
      </c>
      <c r="B158">
        <v>8.4599999999999996E-4</v>
      </c>
    </row>
    <row r="159" spans="1:2" x14ac:dyDescent="0.3">
      <c r="A159" t="s">
        <v>175</v>
      </c>
      <c r="B159">
        <v>5.6099999999999998E-4</v>
      </c>
    </row>
    <row r="160" spans="1:2" x14ac:dyDescent="0.3">
      <c r="A160" t="s">
        <v>176</v>
      </c>
      <c r="B160">
        <v>2.2900000000000001E-4</v>
      </c>
    </row>
    <row r="161" spans="1:2" x14ac:dyDescent="0.3">
      <c r="A161" t="s">
        <v>177</v>
      </c>
      <c r="B161">
        <v>0.177152</v>
      </c>
    </row>
    <row r="162" spans="1:2" x14ac:dyDescent="0.3">
      <c r="A162" t="s">
        <v>178</v>
      </c>
      <c r="B162">
        <v>3.2228E-2</v>
      </c>
    </row>
    <row r="163" spans="1:2" x14ac:dyDescent="0.3">
      <c r="A163" t="s">
        <v>179</v>
      </c>
      <c r="B163">
        <v>7.4154999999999999E-2</v>
      </c>
    </row>
    <row r="164" spans="1:2" x14ac:dyDescent="0.3">
      <c r="A164" t="s">
        <v>180</v>
      </c>
      <c r="B164">
        <v>5.0530000000000002E-3</v>
      </c>
    </row>
    <row r="165" spans="1:2" x14ac:dyDescent="0.3">
      <c r="A165" t="s">
        <v>181</v>
      </c>
      <c r="B165">
        <v>5.9589999999999999E-3</v>
      </c>
    </row>
    <row r="166" spans="1:2" x14ac:dyDescent="0.3">
      <c r="A166" t="s">
        <v>225</v>
      </c>
      <c r="B166">
        <v>8.3540000000000003E-3</v>
      </c>
    </row>
    <row r="167" spans="1:2" x14ac:dyDescent="0.3">
      <c r="A167" t="s">
        <v>182</v>
      </c>
      <c r="B167">
        <v>8.3540000000000003E-3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2C39A-D920-48CB-9CA8-3C4FFA02269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Tracker</vt:lpstr>
      <vt:lpstr>Another Expenses</vt:lpstr>
      <vt:lpstr>Debt</vt:lpstr>
      <vt:lpstr>Portfolio</vt:lpstr>
      <vt:lpstr>COP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Daniel</dc:creator>
  <cp:lastModifiedBy>Lozano, Daniel</cp:lastModifiedBy>
  <dcterms:created xsi:type="dcterms:W3CDTF">2025-08-05T17:25:28Z</dcterms:created>
  <dcterms:modified xsi:type="dcterms:W3CDTF">2026-10-17T21:39:10Z</dcterms:modified>
</cp:coreProperties>
</file>