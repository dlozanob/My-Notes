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zanobarrerod\Documents\My-Notes\Management\"/>
    </mc:Choice>
  </mc:AlternateContent>
  <xr:revisionPtr revIDLastSave="0" documentId="13_ncr:1_{84373E87-D257-4DE7-9E2C-D057FBD9AD1A}" xr6:coauthVersionLast="47" xr6:coauthVersionMax="47" xr10:uidLastSave="{00000000-0000-0000-0000-000000000000}"/>
  <bookViews>
    <workbookView xWindow="34080" yWindow="4215" windowWidth="17280" windowHeight="9960" xr2:uid="{F8FCC151-5DC7-4472-A863-0C0A531A258D}"/>
  </bookViews>
  <sheets>
    <sheet name="Main" sheetId="1" r:id="rId1"/>
    <sheet name="Another Expenses" sheetId="2" r:id="rId2"/>
    <sheet name="Debt" sheetId="5" r:id="rId3"/>
    <sheet name="COP" sheetId="4" r:id="rId4"/>
  </sheets>
  <definedNames>
    <definedName name="DatosExternos_1" localSheetId="3" hidden="1">'COP'!$A$1:$B$167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J14" i="1"/>
  <c r="K14" i="1" s="1"/>
  <c r="J15" i="1"/>
  <c r="J16" i="1"/>
  <c r="K16" i="1"/>
  <c r="D26" i="1"/>
  <c r="D25" i="1"/>
  <c r="K8" i="1"/>
  <c r="D12" i="1"/>
  <c r="H5" i="1" l="1"/>
  <c r="L9" i="1"/>
  <c r="J10" i="1"/>
  <c r="K10" i="1" s="1"/>
  <c r="I10" i="1"/>
  <c r="D8" i="5"/>
  <c r="C20" i="1"/>
  <c r="D9" i="2"/>
  <c r="D9" i="5"/>
  <c r="D5" i="1"/>
  <c r="D30" i="1"/>
  <c r="D11" i="1"/>
  <c r="D14" i="1"/>
  <c r="J11" i="1"/>
  <c r="K11" i="1" s="1"/>
  <c r="J8" i="1"/>
  <c r="H13" i="1"/>
  <c r="J13" i="1" s="1"/>
  <c r="K13" i="1" s="1"/>
  <c r="H12" i="1"/>
  <c r="J12" i="1" s="1"/>
  <c r="K12" i="1" s="1"/>
  <c r="J9" i="1"/>
  <c r="K9" i="1" s="1"/>
  <c r="D18" i="1" l="1"/>
  <c r="C3" i="5"/>
  <c r="D31" i="1"/>
  <c r="D5" i="2"/>
  <c r="D2" i="2"/>
  <c r="E31" i="1" l="1"/>
  <c r="F31" i="1" s="1"/>
  <c r="G2" i="2"/>
  <c r="E30" i="1" s="1"/>
  <c r="F3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A7243-D21B-4BDE-9BFB-858CEEF12228}" keepAlive="1" name="Consulta - COP" description="Conexión a la consulta 'COP' en el libro." type="5" refreshedVersion="7" background="1" saveData="1">
    <dbPr connection="Provider=Microsoft.Mashup.OleDb.1;Data Source=$Workbook$;Location=COP;Extended Properties=&quot;&quot;" command="SELECT * FROM [COP]"/>
  </connection>
</connections>
</file>

<file path=xl/sharedStrings.xml><?xml version="1.0" encoding="utf-8"?>
<sst xmlns="http://schemas.openxmlformats.org/spreadsheetml/2006/main" count="244" uniqueCount="234">
  <si>
    <t>Wellbeing Lifestyle</t>
  </si>
  <si>
    <t>Hair salon</t>
  </si>
  <si>
    <t>Incomes</t>
  </si>
  <si>
    <t>Transport</t>
  </si>
  <si>
    <t>Outcomes</t>
  </si>
  <si>
    <t>NET</t>
  </si>
  <si>
    <t>Kung Fu</t>
  </si>
  <si>
    <t>Pensión</t>
  </si>
  <si>
    <t>Salud</t>
  </si>
  <si>
    <t>Salary</t>
  </si>
  <si>
    <t>Creatine (monthly)</t>
  </si>
  <si>
    <t>Goal</t>
  </si>
  <si>
    <t>Last Updated:</t>
  </si>
  <si>
    <t>GOETHE C1</t>
  </si>
  <si>
    <t>Expense</t>
  </si>
  <si>
    <t>Unit Cost</t>
  </si>
  <si>
    <t>Times/Month</t>
  </si>
  <si>
    <t>Total Cost</t>
  </si>
  <si>
    <t>Pluxee</t>
  </si>
  <si>
    <t>Protein</t>
  </si>
  <si>
    <t>After Benefits</t>
  </si>
  <si>
    <t>Remaining</t>
  </si>
  <si>
    <t>Name</t>
  </si>
  <si>
    <t>Value</t>
  </si>
  <si>
    <t>USD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</si>
  <si>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</si>
  <si>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</si>
  <si>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</si>
  <si>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</si>
  <si>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</si>
  <si>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</si>
  <si>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</si>
  <si>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</si>
  <si>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</si>
  <si>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</si>
  <si>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</si>
  <si>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</si>
  <si>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</si>
  <si>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</si>
  <si>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</si>
  <si>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</si>
  <si>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</si>
  <si>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</si>
  <si>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</si>
  <si>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</si>
  <si>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</si>
  <si>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</si>
  <si>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</si>
  <si>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</si>
  <si>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</si>
  <si>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</si>
  <si>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</si>
  <si>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</si>
  <si>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</si>
  <si>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</si>
  <si>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</si>
  <si>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</si>
  <si>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</si>
  <si>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</si>
  <si>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</si>
  <si>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</si>
  <si>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</si>
  <si>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</si>
  <si>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</si>
  <si>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</si>
  <si>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</si>
  <si>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</si>
  <si>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</si>
  <si>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</si>
  <si>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</si>
  <si>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FOK</t>
  </si>
  <si>
    <t>GBP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</si>
  <si>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</si>
  <si>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</si>
  <si>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</si>
  <si>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</si>
  <si>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</si>
  <si>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</si>
  <si>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</si>
  <si>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</si>
  <si>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</si>
  <si>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</si>
  <si>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</si>
  <si>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</si>
  <si>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</si>
  <si>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</si>
  <si>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</si>
  <si>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</si>
  <si>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</si>
  <si>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</si>
  <si>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</si>
  <si>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</si>
  <si>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</si>
  <si>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</si>
  <si>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</si>
  <si>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</si>
  <si>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</si>
  <si>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</si>
  <si>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</si>
  <si>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KID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</si>
  <si>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</si>
  <si>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</si>
  <si>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</si>
  <si>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</si>
  <si>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</si>
  <si>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</si>
  <si>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</si>
  <si>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</si>
  <si>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</si>
  <si>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</si>
  <si>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</si>
  <si>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</si>
  <si>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</si>
  <si>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</si>
  <si>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</si>
  <si>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</si>
  <si>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</si>
  <si>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</si>
  <si>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</si>
  <si>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</si>
  <si>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</si>
  <si>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</si>
  <si>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</si>
  <si>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</si>
  <si>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</si>
  <si>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</si>
  <si>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</si>
  <si>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</si>
  <si>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</si>
  <si>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</si>
  <si>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</si>
  <si>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</si>
  <si>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</si>
  <si>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</si>
  <si>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</si>
  <si>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</si>
  <si>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</si>
  <si>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</si>
  <si>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</si>
  <si>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</si>
  <si>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</si>
  <si>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</si>
  <si>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</si>
  <si>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</si>
  <si>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</si>
  <si>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</si>
  <si>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</si>
  <si>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</si>
  <si>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</si>
  <si>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</si>
  <si>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</si>
  <si>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</si>
  <si>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SLL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</si>
  <si>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</si>
  <si>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</si>
  <si>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</si>
  <si>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</si>
  <si>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</si>
  <si>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</si>
  <si>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</si>
  <si>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</si>
  <si>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</si>
  <si>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</si>
  <si>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</si>
  <si>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</si>
  <si>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</si>
  <si>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</si>
  <si>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</si>
  <si>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</si>
  <si>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</si>
  <si>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</si>
  <si>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</si>
  <si>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</si>
  <si>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VES</t>
  </si>
  <si>
    <t>VND</t>
  </si>
  <si>
    <t>VUV</t>
  </si>
  <si>
    <t>WST</t>
  </si>
  <si>
    <t>XAF</t>
  </si>
  <si>
    <t>XCD</t>
  </si>
  <si>
    <t>XCG</t>
  </si>
  <si>
    <t>XDR</t>
  </si>
  <si>
    <t>XOF</t>
  </si>
  <si>
    <t>XPF</t>
  </si>
  <si>
    <t>YER</t>
  </si>
  <si>
    <t>ZAR</t>
  </si>
  <si>
    <t>ZMW</t>
  </si>
  <si>
    <t>ZWL</t>
  </si>
  <si>
    <t>Total Expenses</t>
  </si>
  <si>
    <t>Kung Fu - Maestro Chang</t>
  </si>
  <si>
    <t>Kung Fu - December Promotion</t>
  </si>
  <si>
    <t>Gaming PC</t>
  </si>
  <si>
    <t>Guitarra Módulo PC</t>
  </si>
  <si>
    <t>Bed</t>
  </si>
  <si>
    <t>Mamá</t>
  </si>
  <si>
    <t>Carro</t>
  </si>
  <si>
    <t>CDT (March 1st)</t>
  </si>
  <si>
    <t>Cama</t>
  </si>
  <si>
    <t>TOTAL</t>
  </si>
  <si>
    <t>Regalo Saris</t>
  </si>
  <si>
    <t>Expected Date</t>
  </si>
  <si>
    <t>Date of Creation:</t>
  </si>
  <si>
    <t xml:space="preserve"> </t>
  </si>
  <si>
    <t>Funds for 1 Year</t>
  </si>
  <si>
    <t>Funds for 2 Years</t>
  </si>
  <si>
    <t>Time till Germany (from 05.08.2025) [months]</t>
  </si>
  <si>
    <t>Secondary Phone</t>
  </si>
  <si>
    <t>-Chaqueta (300k)</t>
  </si>
  <si>
    <t>CDT Finandina</t>
  </si>
  <si>
    <t>Notes</t>
  </si>
  <si>
    <t>Amount</t>
  </si>
  <si>
    <t>Investment</t>
  </si>
  <si>
    <t>Cash out on 3.2.2026</t>
  </si>
  <si>
    <t>(Calculations per last recorded savings)</t>
  </si>
  <si>
    <t>Mobile Plan</t>
  </si>
  <si>
    <t>HiperMarFish</t>
  </si>
  <si>
    <t>Didi</t>
  </si>
  <si>
    <t>Pay Date (day)</t>
  </si>
  <si>
    <t>-</t>
  </si>
  <si>
    <t>Kung Fu Hoodie</t>
  </si>
  <si>
    <t>AWS - CLF-02</t>
  </si>
  <si>
    <t>AWS - SAA-C02</t>
  </si>
  <si>
    <t>Income</t>
  </si>
  <si>
    <t>Pay Date</t>
  </si>
  <si>
    <t>Camarón Grande Precocido</t>
  </si>
  <si>
    <t>2 Lomito de Róbalo 500g</t>
  </si>
  <si>
    <t>DELF B2</t>
  </si>
  <si>
    <t>2-3 days after request</t>
  </si>
  <si>
    <t>Per service</t>
  </si>
  <si>
    <t>5 servings left</t>
  </si>
  <si>
    <t>Amount to Cash Out (monthly)</t>
  </si>
  <si>
    <t>CLF</t>
  </si>
  <si>
    <t>CNH</t>
  </si>
  <si>
    <t>ZWG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</si>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</sst>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[$COP]\ * #,##0.00_);_([$COP]\ * \(#,##0.00\);_([$COP]\ * &quot;-&quot;??_);_(@_)"/>
    <numFmt numFmtId="165" formatCode="_([$COP]\ * #,##0_);_([$COP]\ * \(#,##0\);_([$COP]\ * &quot;-&quot;??_);_(@_)"/>
    <numFmt numFmtId="166" formatCode="_-* #,##0.00\ [$COP]_-;\-* #,##0.00\ [$COP]_-;_-* &quot;-&quot;??\ [$COP]_-;_-@_-"/>
    <numFmt numFmtId="167" formatCode="_-[$$-240A]\ * #,##0.00_-;\-[$$-240A]\ * #,##0.00_-;_-[$$-240A]\ * &quot;-&quot;??_-;_-@_-"/>
    <numFmt numFmtId="168" formatCode="[$-F800]dddd\,\ mmmm\ dd\,\ yyyy"/>
    <numFmt numFmtId="169" formatCode="_-* #,##0.00\ _€_-;\-* #,##0.00\ _€_-;_-* &quot;-&quot;??\ _€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9" borderId="0" applyNumberFormat="0" applyBorder="0" applyAlignment="0" applyProtection="0"/>
  </cellStyleXfs>
  <cellXfs count="69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4" fontId="0" fillId="2" borderId="0" xfId="0" applyNumberFormat="1" applyFill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6" borderId="1" xfId="0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166" fontId="0" fillId="0" borderId="0" xfId="0" applyNumberFormat="1"/>
    <xf numFmtId="0" fontId="2" fillId="9" borderId="0" xfId="2"/>
    <xf numFmtId="164" fontId="2" fillId="9" borderId="0" xfId="2" applyNumberFormat="1"/>
    <xf numFmtId="0" fontId="0" fillId="0" borderId="3" xfId="0" applyBorder="1"/>
    <xf numFmtId="164" fontId="0" fillId="0" borderId="4" xfId="0" applyNumberFormat="1" applyBorder="1"/>
    <xf numFmtId="0" fontId="0" fillId="7" borderId="8" xfId="0" applyFill="1" applyBorder="1"/>
    <xf numFmtId="164" fontId="0" fillId="7" borderId="9" xfId="0" applyNumberFormat="1" applyFill="1" applyBorder="1"/>
    <xf numFmtId="1" fontId="0" fillId="7" borderId="9" xfId="0" applyNumberFormat="1" applyFill="1" applyBorder="1"/>
    <xf numFmtId="164" fontId="0" fillId="7" borderId="10" xfId="0" applyNumberFormat="1" applyFill="1" applyBorder="1"/>
    <xf numFmtId="164" fontId="0" fillId="3" borderId="12" xfId="1" applyNumberFormat="1" applyFont="1" applyFill="1" applyBorder="1"/>
    <xf numFmtId="164" fontId="0" fillId="4" borderId="12" xfId="0" applyNumberFormat="1" applyFill="1" applyBorder="1"/>
    <xf numFmtId="0" fontId="3" fillId="0" borderId="11" xfId="0" applyFont="1" applyBorder="1"/>
    <xf numFmtId="44" fontId="0" fillId="0" borderId="0" xfId="1" applyFont="1"/>
    <xf numFmtId="0" fontId="0" fillId="10" borderId="1" xfId="0" applyFill="1" applyBorder="1"/>
    <xf numFmtId="167" fontId="0" fillId="11" borderId="1" xfId="0" applyNumberFormat="1" applyFill="1" applyBorder="1"/>
    <xf numFmtId="0" fontId="3" fillId="0" borderId="0" xfId="0" applyFont="1"/>
    <xf numFmtId="0" fontId="3" fillId="2" borderId="0" xfId="0" applyFont="1" applyFill="1"/>
    <xf numFmtId="164" fontId="0" fillId="12" borderId="12" xfId="0" applyNumberFormat="1" applyFill="1" applyBorder="1"/>
    <xf numFmtId="0" fontId="4" fillId="0" borderId="0" xfId="0" applyFont="1"/>
    <xf numFmtId="0" fontId="5" fillId="0" borderId="13" xfId="0" applyFont="1" applyBorder="1"/>
    <xf numFmtId="165" fontId="0" fillId="0" borderId="10" xfId="0" applyNumberFormat="1" applyBorder="1"/>
    <xf numFmtId="0" fontId="0" fillId="0" borderId="10" xfId="0" applyBorder="1"/>
    <xf numFmtId="168" fontId="0" fillId="0" borderId="10" xfId="0" applyNumberFormat="1" applyBorder="1"/>
    <xf numFmtId="0" fontId="4" fillId="0" borderId="14" xfId="0" applyFont="1" applyBorder="1"/>
    <xf numFmtId="0" fontId="3" fillId="0" borderId="1" xfId="0" applyFont="1" applyBorder="1" applyAlignment="1">
      <alignment horizontal="center"/>
    </xf>
    <xf numFmtId="167" fontId="0" fillId="0" borderId="1" xfId="1" applyNumberFormat="1" applyFont="1" applyBorder="1"/>
    <xf numFmtId="49" fontId="0" fillId="0" borderId="1" xfId="1" applyNumberFormat="1" applyFont="1" applyBorder="1"/>
    <xf numFmtId="44" fontId="0" fillId="0" borderId="1" xfId="1" applyFont="1" applyFill="1" applyBorder="1"/>
    <xf numFmtId="44" fontId="0" fillId="0" borderId="1" xfId="1" applyFont="1" applyBorder="1"/>
    <xf numFmtId="44" fontId="3" fillId="0" borderId="1" xfId="1" applyFont="1" applyBorder="1"/>
    <xf numFmtId="169" fontId="0" fillId="0" borderId="0" xfId="0" applyNumberFormat="1"/>
    <xf numFmtId="167" fontId="0" fillId="0" borderId="0" xfId="0" applyNumberFormat="1"/>
    <xf numFmtId="2" fontId="0" fillId="0" borderId="0" xfId="0" applyNumberFormat="1"/>
    <xf numFmtId="0" fontId="6" fillId="0" borderId="0" xfId="0" applyFont="1"/>
    <xf numFmtId="1" fontId="0" fillId="0" borderId="1" xfId="0" applyNumberFormat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/>
    <xf numFmtId="0" fontId="0" fillId="0" borderId="1" xfId="0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9" xfId="0" applyNumberFormat="1" applyFill="1" applyBorder="1"/>
    <xf numFmtId="164" fontId="0" fillId="5" borderId="1" xfId="0" applyNumberFormat="1" applyFill="1" applyBorder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/>
    <xf numFmtId="164" fontId="0" fillId="0" borderId="17" xfId="0" applyNumberForma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Good" xfId="2" builtinId="26"/>
    <cellStyle name="Normal" xfId="0" builtinId="0"/>
  </cellStyles>
  <dxfs count="16">
    <dxf>
      <numFmt numFmtId="168" formatCode="[$-F800]dddd\,\ mmmm\ dd\,\ 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[$COP]\ * #,##0_);_([$COP]\ * \(#,##0\);_([$COP]\ 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COP]\ * #,##0.00_);_([$COP]\ * \(#,##0.00\);_([$COP]\ 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[$COP]\ * #,##0.00_);_([$COP]\ * \(#,##0.00\);_([$COP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[$COP]\ * #,##0.00_);_([$COP]\ * \(#,##0.00\);_([$COP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246213-22CC-41A1-BFB9-41CA85A97729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B85FF-207C-4D5B-9D71-17F000E82BA2}" name="Tabla1" displayName="Tabla1" ref="G7:L16" totalsRowShown="0" headerRowDxfId="15" headerRowBorderDxfId="14" tableBorderDxfId="13" totalsRowBorderDxfId="12">
  <autoFilter ref="G7:L16" xr:uid="{D12B85FF-207C-4D5B-9D71-17F000E82BA2}"/>
  <tableColumns count="6">
    <tableColumn id="1" xr3:uid="{2B7E95C1-DECA-4AEE-BDEF-3A0B4A1FF392}" name="Expense" dataDxfId="11"/>
    <tableColumn id="2" xr3:uid="{3BF96C8D-03B0-41B0-B988-8791620F79BF}" name="Unit Cost" dataDxfId="10"/>
    <tableColumn id="3" xr3:uid="{3065075C-2E97-4560-8473-35A37808B5F3}" name="Times/Month"/>
    <tableColumn id="4" xr3:uid="{0E68B4B4-0092-46B6-9598-F0521EA5EC7E}" name="Total Cost" dataDxfId="9">
      <calculatedColumnFormula>H8*I8</calculatedColumnFormula>
    </tableColumn>
    <tableColumn id="5" xr3:uid="{10738E51-758B-45FB-9DD0-02C14BC2D40D}" name="After Benefits" dataDxfId="8"/>
    <tableColumn id="6" xr3:uid="{07D186C7-DB64-4AC7-BA70-8DC5B9E3A51B}" name="Pay Date (day)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34954-402F-42CF-93F5-A72360F2D070}" name="Tabla4" displayName="Tabla4" ref="C29:F31" totalsRowShown="0" headerRowDxfId="6" dataDxfId="5" tableBorderDxfId="4">
  <autoFilter ref="C29:F31" xr:uid="{66334954-402F-42CF-93F5-A72360F2D070}"/>
  <tableColumns count="4">
    <tableColumn id="1" xr3:uid="{7008F60E-B49B-4429-A785-DABF540532D2}" name=" " dataDxfId="3"/>
    <tableColumn id="2" xr3:uid="{7AA8370E-90CC-4DED-878E-C49D41DF4160}" name="Goal" dataDxfId="2">
      <calculatedColumnFormula>24000*D24</calculatedColumnFormula>
    </tableColumn>
    <tableColumn id="3" xr3:uid="{F5EB769A-6764-44FD-A678-979868FCC64D}" name="Time till Germany (from 05.08.2025) [months]" dataDxfId="1">
      <calculatedColumnFormula>_xlfn.CEILING.MATH((D30-$D$20-$D$5+'Another Expenses'!G2)/$D$18)</calculatedColumnFormula>
    </tableColumn>
    <tableColumn id="4" xr3:uid="{458996D1-0FCE-433A-A2D6-31A1409ED603}" name="Expected Date" dataDxfId="0">
      <calculatedColumnFormula>EDATE(DATE(YEAR($B$2), MONTH($B$2), $E$10),E30)</calculatedColumnFormula>
    </tableColumn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01BA7-1462-43F6-90A4-0C03FEB5BEE4}" name="COP" displayName="COP" ref="A1:B167" tableType="queryTable" totalsRowShown="0">
  <autoFilter ref="A1:B167" xr:uid="{DDD01BA7-1462-43F6-90A4-0C03FEB5BEE4}"/>
  <tableColumns count="2">
    <tableColumn id="1" xr3:uid="{43E69FD0-8A0C-4CA4-8237-BD89AEE89438}" uniqueName="1" name="Name" queryTableFieldId="1"/>
    <tableColumn id="2" xr3:uid="{444E890D-5D64-4397-8342-8D3B22AB0E9A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8A61-82F4-4CC6-B552-F68414C6EAB4}">
  <sheetPr codeName="Hoja1"/>
  <dimension ref="A1:L1048575"/>
  <sheetViews>
    <sheetView tabSelected="1" topLeftCell="F4" zoomScale="76" workbookViewId="0">
      <selection activeCell="H18" sqref="H18"/>
    </sheetView>
  </sheetViews>
  <sheetFormatPr defaultColWidth="9" defaultRowHeight="14.4" x14ac:dyDescent="0.3"/>
  <cols>
    <col min="1" max="1" width="22.33203125" bestFit="1" customWidth="1"/>
    <col min="2" max="2" width="10.77734375" bestFit="1" customWidth="1"/>
    <col min="3" max="3" width="36.109375" bestFit="1" customWidth="1"/>
    <col min="4" max="4" width="32" bestFit="1" customWidth="1"/>
    <col min="5" max="5" width="44.21875" bestFit="1" customWidth="1"/>
    <col min="6" max="6" width="25.44140625" bestFit="1" customWidth="1"/>
    <col min="7" max="7" width="29.21875" bestFit="1" customWidth="1"/>
    <col min="8" max="10" width="16.44140625" bestFit="1" customWidth="1"/>
    <col min="11" max="11" width="23.77734375" bestFit="1" customWidth="1"/>
    <col min="12" max="12" width="23.21875" bestFit="1" customWidth="1"/>
    <col min="13" max="13" width="17.33203125" bestFit="1" customWidth="1"/>
  </cols>
  <sheetData>
    <row r="1" spans="1:12" x14ac:dyDescent="0.3">
      <c r="A1" s="30" t="s">
        <v>200</v>
      </c>
      <c r="B1" s="3">
        <v>45863</v>
      </c>
    </row>
    <row r="2" spans="1:12" x14ac:dyDescent="0.3">
      <c r="A2" s="30" t="s">
        <v>12</v>
      </c>
      <c r="B2" s="3">
        <v>46012</v>
      </c>
      <c r="D2" s="1"/>
    </row>
    <row r="4" spans="1:12" ht="15" thickBot="1" x14ac:dyDescent="0.35"/>
    <row r="5" spans="1:12" ht="15" thickBot="1" x14ac:dyDescent="0.35">
      <c r="C5" s="25" t="s">
        <v>2</v>
      </c>
      <c r="D5" s="31">
        <f>D10</f>
        <v>4785714.2857142901</v>
      </c>
      <c r="G5" s="25" t="s">
        <v>4</v>
      </c>
      <c r="H5" s="24">
        <f>SUM(K8:K16)</f>
        <v>989257.14285714319</v>
      </c>
    </row>
    <row r="6" spans="1:12" x14ac:dyDescent="0.3">
      <c r="D6" s="1"/>
    </row>
    <row r="7" spans="1:12" x14ac:dyDescent="0.3">
      <c r="G7" s="60" t="s">
        <v>14</v>
      </c>
      <c r="H7" s="61" t="s">
        <v>15</v>
      </c>
      <c r="I7" s="61" t="s">
        <v>16</v>
      </c>
      <c r="J7" s="61" t="s">
        <v>17</v>
      </c>
      <c r="K7" s="62" t="s">
        <v>20</v>
      </c>
      <c r="L7" s="61" t="s">
        <v>216</v>
      </c>
    </row>
    <row r="8" spans="1:12" x14ac:dyDescent="0.3">
      <c r="G8" s="17" t="s">
        <v>6</v>
      </c>
      <c r="H8" s="5">
        <v>250000</v>
      </c>
      <c r="I8" s="6">
        <v>1</v>
      </c>
      <c r="J8" s="5">
        <f t="shared" ref="J8:J15" si="0">H8*I8</f>
        <v>250000</v>
      </c>
      <c r="K8" s="18">
        <f>Tabla1[[#This Row],[Total Cost]]</f>
        <v>250000</v>
      </c>
      <c r="L8" s="48">
        <v>5</v>
      </c>
    </row>
    <row r="9" spans="1:12" x14ac:dyDescent="0.3">
      <c r="C9" s="59" t="s">
        <v>221</v>
      </c>
      <c r="D9" s="59" t="s">
        <v>15</v>
      </c>
      <c r="E9" s="59" t="s">
        <v>222</v>
      </c>
      <c r="G9" s="17" t="s">
        <v>3</v>
      </c>
      <c r="H9" s="5">
        <v>3550</v>
      </c>
      <c r="I9" s="6">
        <v>24</v>
      </c>
      <c r="J9" s="5">
        <f t="shared" si="0"/>
        <v>85200</v>
      </c>
      <c r="K9" s="18">
        <f>J9</f>
        <v>85200</v>
      </c>
      <c r="L9" s="51">
        <f ca="1">A1048575+_xlfn.CEILING.MATH((TODAY()-A1048575)/21, 1)*21</f>
        <v>46174</v>
      </c>
    </row>
    <row r="10" spans="1:12" x14ac:dyDescent="0.3">
      <c r="C10" s="4" t="s">
        <v>9</v>
      </c>
      <c r="D10" s="5">
        <v>4785714.2857142901</v>
      </c>
      <c r="E10" s="53">
        <v>25</v>
      </c>
      <c r="G10" s="17" t="s">
        <v>215</v>
      </c>
      <c r="H10" s="5">
        <v>6400</v>
      </c>
      <c r="I10">
        <f>2*4</f>
        <v>8</v>
      </c>
      <c r="J10" s="5">
        <f t="shared" si="0"/>
        <v>51200</v>
      </c>
      <c r="K10" s="18">
        <f>J10</f>
        <v>51200</v>
      </c>
      <c r="L10" s="48" t="s">
        <v>227</v>
      </c>
    </row>
    <row r="11" spans="1:12" x14ac:dyDescent="0.3">
      <c r="C11" s="7" t="s">
        <v>0</v>
      </c>
      <c r="D11" s="8">
        <f>35*D26</f>
        <v>125000</v>
      </c>
      <c r="E11" s="54" t="s">
        <v>226</v>
      </c>
      <c r="G11" s="17" t="s">
        <v>1</v>
      </c>
      <c r="H11" s="5">
        <v>20000</v>
      </c>
      <c r="I11" s="6">
        <v>1</v>
      </c>
      <c r="J11" s="5">
        <f t="shared" si="0"/>
        <v>20000</v>
      </c>
      <c r="K11" s="18">
        <f>J11</f>
        <v>20000</v>
      </c>
      <c r="L11" s="48">
        <v>23</v>
      </c>
    </row>
    <row r="12" spans="1:12" x14ac:dyDescent="0.3">
      <c r="C12" s="10" t="s">
        <v>21</v>
      </c>
      <c r="D12" s="58">
        <f>35*D27</f>
        <v>0</v>
      </c>
      <c r="E12" s="55" t="s">
        <v>217</v>
      </c>
      <c r="G12" s="17" t="s">
        <v>7</v>
      </c>
      <c r="H12" s="5">
        <f>$D$10*0.04</f>
        <v>191428.57142857159</v>
      </c>
      <c r="I12" s="6">
        <v>1</v>
      </c>
      <c r="J12" s="5">
        <f t="shared" si="0"/>
        <v>191428.57142857159</v>
      </c>
      <c r="K12" s="18">
        <f>J12</f>
        <v>191428.57142857159</v>
      </c>
      <c r="L12" s="48">
        <v>25</v>
      </c>
    </row>
    <row r="13" spans="1:12" x14ac:dyDescent="0.3">
      <c r="C13" s="11" t="s">
        <v>18</v>
      </c>
      <c r="D13" s="9">
        <v>440000</v>
      </c>
      <c r="E13" s="56">
        <v>10</v>
      </c>
      <c r="G13" s="17" t="s">
        <v>8</v>
      </c>
      <c r="H13" s="5">
        <f>$D$10*0.04</f>
        <v>191428.57142857159</v>
      </c>
      <c r="I13" s="6">
        <v>1</v>
      </c>
      <c r="J13" s="5">
        <f t="shared" si="0"/>
        <v>191428.57142857159</v>
      </c>
      <c r="K13" s="18">
        <f>J13</f>
        <v>191428.57142857159</v>
      </c>
      <c r="L13" s="48">
        <v>25</v>
      </c>
    </row>
    <row r="14" spans="1:12" x14ac:dyDescent="0.3">
      <c r="C14" s="12" t="s">
        <v>21</v>
      </c>
      <c r="D14" s="50">
        <f>D13-Tabla1[[#This Row],[Total Cost]]-J15</f>
        <v>197500</v>
      </c>
      <c r="E14" s="55" t="s">
        <v>217</v>
      </c>
      <c r="G14" s="17" t="s">
        <v>233</v>
      </c>
      <c r="H14" s="5">
        <v>200000</v>
      </c>
      <c r="I14" s="6">
        <v>1</v>
      </c>
      <c r="J14" s="5">
        <f t="shared" ref="J14" si="1">H14*I14</f>
        <v>200000</v>
      </c>
      <c r="K14" s="18">
        <f>J14</f>
        <v>200000</v>
      </c>
      <c r="L14" s="48">
        <v>25</v>
      </c>
    </row>
    <row r="15" spans="1:12" x14ac:dyDescent="0.3">
      <c r="D15" s="1"/>
      <c r="G15" s="19" t="s">
        <v>10</v>
      </c>
      <c r="H15" s="20">
        <v>170000</v>
      </c>
      <c r="I15" s="57">
        <v>0.25</v>
      </c>
      <c r="J15" s="20">
        <f t="shared" ref="J15:J16" si="2">H15*I15</f>
        <v>42500</v>
      </c>
      <c r="K15" s="20">
        <v>0</v>
      </c>
      <c r="L15" s="49" t="s">
        <v>228</v>
      </c>
    </row>
    <row r="16" spans="1:12" x14ac:dyDescent="0.3">
      <c r="D16" s="1"/>
      <c r="G16" s="19" t="s">
        <v>19</v>
      </c>
      <c r="H16" s="20">
        <v>205000</v>
      </c>
      <c r="I16" s="21">
        <v>1</v>
      </c>
      <c r="J16" s="20">
        <f t="shared" si="2"/>
        <v>205000</v>
      </c>
      <c r="K16" s="22">
        <f>0</f>
        <v>0</v>
      </c>
      <c r="L16" s="49" t="s">
        <v>228</v>
      </c>
    </row>
    <row r="17" spans="3:12" ht="15" thickBot="1" x14ac:dyDescent="0.35"/>
    <row r="18" spans="3:12" ht="15" thickBot="1" x14ac:dyDescent="0.35">
      <c r="C18" s="25" t="s">
        <v>5</v>
      </c>
      <c r="D18" s="23">
        <f>D5-H5</f>
        <v>3796457.1428571469</v>
      </c>
      <c r="G18" s="63" t="s">
        <v>229</v>
      </c>
      <c r="H18" s="64">
        <f>_xlfn.CEILING.MATH(SUM(K8,K10,K11,K14)/10000)*10000</f>
        <v>530000</v>
      </c>
    </row>
    <row r="20" spans="3:12" x14ac:dyDescent="0.3">
      <c r="C20" s="4" t="str">
        <f>"Savings on " &amp; TEXT(B2, "tt.MM.jjjj")</f>
        <v>Savings on 21.12.2025</v>
      </c>
      <c r="D20" s="5">
        <v>39534682.670000002</v>
      </c>
    </row>
    <row r="21" spans="3:12" x14ac:dyDescent="0.3">
      <c r="C21" s="47" t="s">
        <v>212</v>
      </c>
      <c r="D21" s="1"/>
    </row>
    <row r="22" spans="3:12" x14ac:dyDescent="0.3">
      <c r="D22" s="1"/>
    </row>
    <row r="23" spans="3:12" ht="15" thickBot="1" x14ac:dyDescent="0.35"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5" spans="3:12" x14ac:dyDescent="0.3">
      <c r="C25" s="4" t="s">
        <v>67</v>
      </c>
      <c r="D25" s="5">
        <f>1/'COP'!B46</f>
        <v>4166.666666666667</v>
      </c>
    </row>
    <row r="26" spans="3:12" x14ac:dyDescent="0.3">
      <c r="C26" s="4" t="s">
        <v>24</v>
      </c>
      <c r="D26" s="5">
        <f>1/'COP'!B150</f>
        <v>3571.4285714285716</v>
      </c>
    </row>
    <row r="28" spans="3:12" x14ac:dyDescent="0.3">
      <c r="C28" s="29"/>
    </row>
    <row r="29" spans="3:12" x14ac:dyDescent="0.3">
      <c r="C29" s="32" t="s">
        <v>201</v>
      </c>
      <c r="D29" s="37" t="s">
        <v>11</v>
      </c>
      <c r="E29" s="37" t="s">
        <v>204</v>
      </c>
      <c r="F29" s="37" t="s">
        <v>199</v>
      </c>
    </row>
    <row r="30" spans="3:12" x14ac:dyDescent="0.3">
      <c r="C30" s="33" t="s">
        <v>202</v>
      </c>
      <c r="D30" s="34">
        <f>12000*D25</f>
        <v>50000000</v>
      </c>
      <c r="E30" s="35">
        <f>_xlfn.CEILING.MATH((D30-$D$20-$D$5+'Another Expenses'!G2)/$D$18)</f>
        <v>5</v>
      </c>
      <c r="F30" s="36">
        <f t="shared" ref="F30:F31" si="3">EDATE(DATE(YEAR($B$2), MONTH($B$2), $E$10),E30)</f>
        <v>46167</v>
      </c>
    </row>
    <row r="31" spans="3:12" x14ac:dyDescent="0.3">
      <c r="C31" s="33" t="s">
        <v>203</v>
      </c>
      <c r="D31" s="34">
        <f>24000*D25</f>
        <v>100000000</v>
      </c>
      <c r="E31" s="35">
        <f>_xlfn.CEILING.MATH((D31-$D$20-$D$5+'Another Expenses'!G3)/$D$18)</f>
        <v>15</v>
      </c>
      <c r="F31" s="36">
        <f t="shared" si="3"/>
        <v>46471</v>
      </c>
    </row>
    <row r="32" spans="3:12" x14ac:dyDescent="0.3">
      <c r="D32" s="1"/>
    </row>
    <row r="33" spans="4:6" x14ac:dyDescent="0.3">
      <c r="F33" s="14"/>
    </row>
    <row r="34" spans="4:6" x14ac:dyDescent="0.3">
      <c r="D34" s="1"/>
    </row>
    <row r="1048575" spans="1:1" x14ac:dyDescent="0.3">
      <c r="A1048575" s="52">
        <v>46048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D57D-0BB2-4D51-BFA3-6687E8A03A91}">
  <sheetPr codeName="Hoja2"/>
  <dimension ref="C2:G14"/>
  <sheetViews>
    <sheetView workbookViewId="0">
      <selection activeCell="C3" sqref="C3"/>
    </sheetView>
  </sheetViews>
  <sheetFormatPr defaultColWidth="9" defaultRowHeight="14.4" x14ac:dyDescent="0.3"/>
  <cols>
    <col min="3" max="3" width="27.21875" bestFit="1" customWidth="1"/>
    <col min="4" max="4" width="17.33203125" style="2" bestFit="1" customWidth="1"/>
    <col min="6" max="7" width="17.33203125" bestFit="1" customWidth="1"/>
  </cols>
  <sheetData>
    <row r="2" spans="3:7" x14ac:dyDescent="0.3">
      <c r="C2" s="15" t="s">
        <v>219</v>
      </c>
      <c r="D2" s="16">
        <f>100*Main!D26</f>
        <v>357142.85714285716</v>
      </c>
      <c r="F2" s="4" t="s">
        <v>187</v>
      </c>
      <c r="G2" s="5">
        <f>SUM(D2:D28)</f>
        <v>9758285.7142857146</v>
      </c>
    </row>
    <row r="3" spans="3:7" x14ac:dyDescent="0.3">
      <c r="C3" t="s">
        <v>225</v>
      </c>
      <c r="D3" s="2">
        <v>490000</v>
      </c>
    </row>
    <row r="4" spans="3:7" x14ac:dyDescent="0.3">
      <c r="C4" t="s">
        <v>13</v>
      </c>
      <c r="D4" s="2">
        <v>1788000</v>
      </c>
      <c r="G4" s="14"/>
    </row>
    <row r="5" spans="3:7" x14ac:dyDescent="0.3">
      <c r="C5" s="15" t="s">
        <v>188</v>
      </c>
      <c r="D5" s="16">
        <f>100*Main!D26</f>
        <v>357142.85714285716</v>
      </c>
    </row>
    <row r="6" spans="3:7" x14ac:dyDescent="0.3">
      <c r="C6" t="s">
        <v>191</v>
      </c>
      <c r="D6" s="2">
        <v>500000</v>
      </c>
    </row>
    <row r="7" spans="3:7" x14ac:dyDescent="0.3">
      <c r="C7" s="15" t="s">
        <v>190</v>
      </c>
      <c r="D7" s="16">
        <v>4500000</v>
      </c>
    </row>
    <row r="8" spans="3:7" x14ac:dyDescent="0.3">
      <c r="C8" s="15" t="s">
        <v>189</v>
      </c>
      <c r="D8" s="16">
        <v>100000</v>
      </c>
    </row>
    <row r="9" spans="3:7" x14ac:dyDescent="0.3">
      <c r="C9" t="s">
        <v>192</v>
      </c>
      <c r="D9" s="2">
        <f>650000+730000-500000</f>
        <v>880000</v>
      </c>
    </row>
    <row r="10" spans="3:7" x14ac:dyDescent="0.3">
      <c r="C10" s="15" t="s">
        <v>198</v>
      </c>
      <c r="D10" s="16">
        <v>200000</v>
      </c>
    </row>
    <row r="11" spans="3:7" x14ac:dyDescent="0.3">
      <c r="C11" s="15" t="s">
        <v>205</v>
      </c>
      <c r="D11" s="16">
        <v>262000</v>
      </c>
    </row>
    <row r="12" spans="3:7" x14ac:dyDescent="0.3">
      <c r="C12" s="15" t="s">
        <v>213</v>
      </c>
      <c r="D12" s="16">
        <v>204000</v>
      </c>
    </row>
    <row r="13" spans="3:7" x14ac:dyDescent="0.3">
      <c r="C13" s="15" t="s">
        <v>218</v>
      </c>
      <c r="D13" s="16">
        <v>120000</v>
      </c>
    </row>
    <row r="14" spans="3:7" x14ac:dyDescent="0.3">
      <c r="C14" t="s">
        <v>220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596E-F0F9-4062-A9AD-561789D52B52}">
  <dimension ref="B3:M29"/>
  <sheetViews>
    <sheetView zoomScale="83" workbookViewId="0">
      <selection activeCell="C14" sqref="C14"/>
    </sheetView>
  </sheetViews>
  <sheetFormatPr defaultColWidth="11" defaultRowHeight="14.4" x14ac:dyDescent="0.3"/>
  <cols>
    <col min="3" max="3" width="25.77734375" bestFit="1" customWidth="1"/>
    <col min="4" max="4" width="15.6640625" bestFit="1" customWidth="1"/>
    <col min="5" max="5" width="15" bestFit="1" customWidth="1"/>
    <col min="7" max="7" width="18.6640625" bestFit="1" customWidth="1"/>
    <col min="8" max="8" width="15.109375" bestFit="1" customWidth="1"/>
    <col min="9" max="9" width="20.109375" bestFit="1" customWidth="1"/>
    <col min="10" max="10" width="13.109375" bestFit="1" customWidth="1"/>
    <col min="11" max="11" width="15.6640625" bestFit="1" customWidth="1"/>
    <col min="12" max="12" width="17.21875" bestFit="1" customWidth="1"/>
    <col min="13" max="13" width="20.109375" bestFit="1" customWidth="1"/>
  </cols>
  <sheetData>
    <row r="3" spans="2:11" x14ac:dyDescent="0.3">
      <c r="B3" s="27" t="s">
        <v>197</v>
      </c>
      <c r="C3" s="28">
        <f>SUM(D8:D28)+SUM(H8:H28)</f>
        <v>15664179.67</v>
      </c>
      <c r="D3" s="45"/>
      <c r="E3" s="46"/>
      <c r="K3" s="44"/>
    </row>
    <row r="6" spans="2:11" x14ac:dyDescent="0.3">
      <c r="C6" s="65" t="s">
        <v>193</v>
      </c>
      <c r="D6" s="65"/>
      <c r="E6" s="65"/>
      <c r="G6" s="66" t="s">
        <v>210</v>
      </c>
      <c r="H6" s="67"/>
      <c r="I6" s="68"/>
    </row>
    <row r="7" spans="2:11" x14ac:dyDescent="0.3">
      <c r="C7" s="38" t="s">
        <v>22</v>
      </c>
      <c r="D7" s="38" t="s">
        <v>209</v>
      </c>
      <c r="E7" s="38" t="s">
        <v>208</v>
      </c>
      <c r="G7" s="38" t="s">
        <v>22</v>
      </c>
      <c r="H7" s="38" t="s">
        <v>209</v>
      </c>
      <c r="I7" s="43" t="s">
        <v>208</v>
      </c>
    </row>
    <row r="8" spans="2:11" x14ac:dyDescent="0.3">
      <c r="C8" s="39" t="s">
        <v>194</v>
      </c>
      <c r="D8" s="39">
        <f>316170-300000</f>
        <v>16170</v>
      </c>
      <c r="E8" s="40" t="s">
        <v>206</v>
      </c>
      <c r="G8" s="4" t="s">
        <v>207</v>
      </c>
      <c r="H8" s="41">
        <v>10211609.67</v>
      </c>
      <c r="I8" s="42" t="s">
        <v>211</v>
      </c>
    </row>
    <row r="9" spans="2:11" x14ac:dyDescent="0.3">
      <c r="C9" s="39" t="s">
        <v>196</v>
      </c>
      <c r="D9" s="39">
        <f>500000-(730000+200000)+600000</f>
        <v>170000</v>
      </c>
      <c r="E9" s="39"/>
      <c r="G9" s="4"/>
      <c r="H9" s="4"/>
      <c r="I9" s="42"/>
    </row>
    <row r="10" spans="2:11" x14ac:dyDescent="0.3">
      <c r="C10" s="39" t="s">
        <v>195</v>
      </c>
      <c r="D10" s="39">
        <v>5200000</v>
      </c>
      <c r="E10" s="39"/>
      <c r="G10" s="4"/>
      <c r="H10" s="4"/>
      <c r="I10" s="42"/>
    </row>
    <row r="11" spans="2:11" x14ac:dyDescent="0.3">
      <c r="C11" s="39" t="s">
        <v>214</v>
      </c>
      <c r="D11" s="39"/>
      <c r="E11" s="39">
        <v>-100000</v>
      </c>
      <c r="G11" s="4"/>
      <c r="H11" s="4"/>
      <c r="I11" s="42"/>
    </row>
    <row r="12" spans="2:11" x14ac:dyDescent="0.3">
      <c r="C12" s="39" t="s">
        <v>223</v>
      </c>
      <c r="D12" s="39">
        <v>48000</v>
      </c>
      <c r="E12" s="39"/>
      <c r="G12" s="4"/>
      <c r="H12" s="4"/>
      <c r="I12" s="42"/>
    </row>
    <row r="13" spans="2:11" x14ac:dyDescent="0.3">
      <c r="C13" s="39" t="s">
        <v>224</v>
      </c>
      <c r="D13" s="39">
        <v>18400</v>
      </c>
      <c r="E13" s="39"/>
      <c r="G13" s="4"/>
      <c r="H13" s="4"/>
      <c r="I13" s="42"/>
    </row>
    <row r="14" spans="2:11" x14ac:dyDescent="0.3">
      <c r="C14" s="39"/>
      <c r="D14" s="39"/>
      <c r="E14" s="39"/>
      <c r="G14" s="4"/>
      <c r="H14" s="4"/>
      <c r="I14" s="42"/>
    </row>
    <row r="15" spans="2:11" x14ac:dyDescent="0.3">
      <c r="C15" s="39"/>
      <c r="D15" s="39"/>
      <c r="E15" s="39"/>
      <c r="G15" s="4"/>
      <c r="H15" s="4"/>
      <c r="I15" s="42"/>
    </row>
    <row r="16" spans="2:11" x14ac:dyDescent="0.3">
      <c r="C16" s="39"/>
      <c r="D16" s="39"/>
      <c r="E16" s="39"/>
      <c r="G16" s="4"/>
      <c r="H16" s="4"/>
      <c r="I16" s="42"/>
    </row>
    <row r="17" spans="3:13" x14ac:dyDescent="0.3">
      <c r="C17" s="39"/>
      <c r="D17" s="39"/>
      <c r="E17" s="39"/>
      <c r="G17" s="4"/>
      <c r="H17" s="4"/>
      <c r="I17" s="42"/>
    </row>
    <row r="18" spans="3:13" x14ac:dyDescent="0.3">
      <c r="C18" s="39"/>
      <c r="D18" s="39"/>
      <c r="E18" s="39"/>
      <c r="G18" s="4"/>
      <c r="H18" s="4"/>
      <c r="I18" s="42"/>
    </row>
    <row r="19" spans="3:13" x14ac:dyDescent="0.3">
      <c r="C19" s="39"/>
      <c r="D19" s="39"/>
      <c r="E19" s="39"/>
      <c r="G19" s="4"/>
      <c r="H19" s="4"/>
      <c r="I19" s="42"/>
    </row>
    <row r="20" spans="3:13" x14ac:dyDescent="0.3">
      <c r="C20" s="39"/>
      <c r="D20" s="39"/>
      <c r="E20" s="39"/>
      <c r="G20" s="4"/>
      <c r="H20" s="4"/>
      <c r="I20" s="42"/>
    </row>
    <row r="21" spans="3:13" x14ac:dyDescent="0.3">
      <c r="C21" s="39"/>
      <c r="D21" s="39"/>
      <c r="E21" s="39"/>
      <c r="G21" s="4"/>
      <c r="H21" s="4"/>
      <c r="I21" s="42"/>
    </row>
    <row r="22" spans="3:13" x14ac:dyDescent="0.3">
      <c r="C22" s="39"/>
      <c r="D22" s="39"/>
      <c r="E22" s="39"/>
      <c r="G22" s="4"/>
      <c r="H22" s="4"/>
      <c r="I22" s="42"/>
    </row>
    <row r="23" spans="3:13" x14ac:dyDescent="0.3">
      <c r="C23" s="39"/>
      <c r="D23" s="39"/>
      <c r="E23" s="39"/>
      <c r="G23" s="4"/>
      <c r="H23" s="4"/>
      <c r="I23" s="42"/>
    </row>
    <row r="24" spans="3:13" x14ac:dyDescent="0.3">
      <c r="C24" s="39"/>
      <c r="D24" s="39"/>
      <c r="E24" s="39"/>
      <c r="G24" s="4"/>
      <c r="H24" s="4"/>
      <c r="I24" s="42"/>
    </row>
    <row r="25" spans="3:13" x14ac:dyDescent="0.3">
      <c r="C25" s="4"/>
      <c r="D25" s="4"/>
      <c r="E25" s="4"/>
      <c r="G25" s="4"/>
      <c r="H25" s="4"/>
      <c r="I25" s="42"/>
    </row>
    <row r="26" spans="3:13" x14ac:dyDescent="0.3">
      <c r="C26" s="4"/>
      <c r="D26" s="4"/>
      <c r="E26" s="4"/>
      <c r="G26" s="4"/>
      <c r="H26" s="4"/>
      <c r="I26" s="42"/>
    </row>
    <row r="27" spans="3:13" x14ac:dyDescent="0.3">
      <c r="C27" s="4"/>
      <c r="D27" s="4"/>
      <c r="E27" s="4"/>
      <c r="G27" s="4"/>
      <c r="H27" s="4"/>
      <c r="I27" s="42"/>
    </row>
    <row r="28" spans="3:13" x14ac:dyDescent="0.3">
      <c r="C28" s="4"/>
      <c r="D28" s="4"/>
      <c r="E28" s="4"/>
      <c r="G28" s="4"/>
      <c r="H28" s="4"/>
      <c r="I28" s="42"/>
    </row>
    <row r="29" spans="3:13" x14ac:dyDescent="0.3">
      <c r="M29" s="26"/>
    </row>
  </sheetData>
  <mergeCells count="2">
    <mergeCell ref="C6:E6"/>
    <mergeCell ref="G6:I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5E6B-F2EC-4DF6-9239-EC7E9397E406}">
  <dimension ref="A1:B167"/>
  <sheetViews>
    <sheetView topLeftCell="A19" workbookViewId="0">
      <selection activeCell="B46" sqref="B46"/>
    </sheetView>
  </sheetViews>
  <sheetFormatPr defaultColWidth="11" defaultRowHeight="14.4" x14ac:dyDescent="0.3"/>
  <cols>
    <col min="1" max="1" width="7.88671875" bestFit="1" customWidth="1"/>
    <col min="2" max="2" width="10.88671875" bestFit="1" customWidth="1"/>
  </cols>
  <sheetData>
    <row r="1" spans="1:2" x14ac:dyDescent="0.3">
      <c r="A1" t="s">
        <v>22</v>
      </c>
      <c r="B1" t="s">
        <v>23</v>
      </c>
    </row>
    <row r="2" spans="1:2" x14ac:dyDescent="0.3">
      <c r="A2" t="s">
        <v>55</v>
      </c>
      <c r="B2">
        <v>1</v>
      </c>
    </row>
    <row r="3" spans="1:2" x14ac:dyDescent="0.3">
      <c r="A3" t="s">
        <v>25</v>
      </c>
      <c r="B3">
        <v>1.029E-3</v>
      </c>
    </row>
    <row r="4" spans="1:2" x14ac:dyDescent="0.3">
      <c r="A4" t="s">
        <v>26</v>
      </c>
      <c r="B4">
        <v>1.7946E-2</v>
      </c>
    </row>
    <row r="5" spans="1:2" x14ac:dyDescent="0.3">
      <c r="A5" t="s">
        <v>27</v>
      </c>
      <c r="B5">
        <v>2.2862E-2</v>
      </c>
    </row>
    <row r="6" spans="1:2" x14ac:dyDescent="0.3">
      <c r="A6" t="s">
        <v>28</v>
      </c>
      <c r="B6">
        <v>0.104117</v>
      </c>
    </row>
    <row r="7" spans="1:2" x14ac:dyDescent="0.3">
      <c r="A7" t="s">
        <v>29</v>
      </c>
      <c r="B7">
        <v>5.0199999999999995E-4</v>
      </c>
    </row>
    <row r="8" spans="1:2" x14ac:dyDescent="0.3">
      <c r="A8" t="s">
        <v>30</v>
      </c>
      <c r="B8">
        <v>0.25784299999999999</v>
      </c>
    </row>
    <row r="9" spans="1:2" x14ac:dyDescent="0.3">
      <c r="A9" t="s">
        <v>31</v>
      </c>
      <c r="B9">
        <v>0.38895299999999999</v>
      </c>
    </row>
    <row r="10" spans="1:2" x14ac:dyDescent="0.3">
      <c r="A10" t="s">
        <v>32</v>
      </c>
      <c r="B10">
        <v>3.9199999999999999E-4</v>
      </c>
    </row>
    <row r="11" spans="1:2" x14ac:dyDescent="0.3">
      <c r="A11" t="s">
        <v>33</v>
      </c>
      <c r="B11">
        <v>5.0199999999999995E-4</v>
      </c>
    </row>
    <row r="12" spans="1:2" x14ac:dyDescent="0.3">
      <c r="A12" t="s">
        <v>34</v>
      </c>
      <c r="B12">
        <v>4.7600000000000002E-4</v>
      </c>
    </row>
    <row r="13" spans="1:2" x14ac:dyDescent="0.3">
      <c r="A13" t="s">
        <v>35</v>
      </c>
      <c r="B13">
        <v>4.6900000000000002E-4</v>
      </c>
    </row>
    <row r="14" spans="1:2" x14ac:dyDescent="0.3">
      <c r="A14" t="s">
        <v>36</v>
      </c>
      <c r="B14">
        <v>5.6099999999999998E-4</v>
      </c>
    </row>
    <row r="15" spans="1:2" x14ac:dyDescent="0.3">
      <c r="A15" t="s">
        <v>37</v>
      </c>
      <c r="B15">
        <v>3.4415000000000001E-2</v>
      </c>
    </row>
    <row r="16" spans="1:2" x14ac:dyDescent="0.3">
      <c r="A16" t="s">
        <v>38</v>
      </c>
      <c r="B16">
        <v>4.6900000000000002E-4</v>
      </c>
    </row>
    <row r="17" spans="1:2" x14ac:dyDescent="0.3">
      <c r="A17" t="s">
        <v>39</v>
      </c>
      <c r="B17">
        <v>1.05E-4</v>
      </c>
    </row>
    <row r="18" spans="1:2" x14ac:dyDescent="0.3">
      <c r="A18" t="s">
        <v>40</v>
      </c>
      <c r="B18">
        <v>0.83328400000000002</v>
      </c>
    </row>
    <row r="19" spans="1:2" x14ac:dyDescent="0.3">
      <c r="A19" t="s">
        <v>41</v>
      </c>
      <c r="B19">
        <v>2.7999999999999998E-4</v>
      </c>
    </row>
    <row r="20" spans="1:2" x14ac:dyDescent="0.3">
      <c r="A20" t="s">
        <v>42</v>
      </c>
      <c r="B20">
        <v>3.5799999999999997E-4</v>
      </c>
    </row>
    <row r="21" spans="1:2" x14ac:dyDescent="0.3">
      <c r="A21" t="s">
        <v>43</v>
      </c>
      <c r="B21">
        <v>1.9419999999999999E-3</v>
      </c>
    </row>
    <row r="22" spans="1:2" x14ac:dyDescent="0.3">
      <c r="A22" t="s">
        <v>44</v>
      </c>
      <c r="B22">
        <v>1.392E-3</v>
      </c>
    </row>
    <row r="23" spans="1:2" x14ac:dyDescent="0.3">
      <c r="A23" t="s">
        <v>45</v>
      </c>
      <c r="B23">
        <v>2.7999999999999998E-4</v>
      </c>
    </row>
    <row r="24" spans="1:2" x14ac:dyDescent="0.3">
      <c r="A24" t="s">
        <v>46</v>
      </c>
      <c r="B24">
        <v>2.6388000000000002E-2</v>
      </c>
    </row>
    <row r="25" spans="1:2" x14ac:dyDescent="0.3">
      <c r="A25" t="s">
        <v>47</v>
      </c>
      <c r="B25">
        <v>3.8149999999999998E-3</v>
      </c>
    </row>
    <row r="26" spans="1:2" x14ac:dyDescent="0.3">
      <c r="A26" t="s">
        <v>48</v>
      </c>
      <c r="B26">
        <v>7.8899999999999999E-4</v>
      </c>
    </row>
    <row r="27" spans="1:2" x14ac:dyDescent="0.3">
      <c r="A27" t="s">
        <v>49</v>
      </c>
      <c r="B27">
        <v>5.6099999999999998E-4</v>
      </c>
    </row>
    <row r="28" spans="1:2" x14ac:dyDescent="0.3">
      <c r="A28" t="s">
        <v>50</v>
      </c>
      <c r="B28">
        <v>3.8299999999999999E-4</v>
      </c>
    </row>
    <row r="29" spans="1:2" x14ac:dyDescent="0.3">
      <c r="A29" t="s">
        <v>51</v>
      </c>
      <c r="B29">
        <v>0.650482</v>
      </c>
    </row>
    <row r="30" spans="1:2" x14ac:dyDescent="0.3">
      <c r="A30" t="s">
        <v>52</v>
      </c>
      <c r="B30">
        <v>2.2000000000000001E-4</v>
      </c>
    </row>
    <row r="31" spans="1:2" x14ac:dyDescent="0.3">
      <c r="A31" t="s">
        <v>230</v>
      </c>
      <c r="B31">
        <v>6.0000000000000002E-6</v>
      </c>
    </row>
    <row r="32" spans="1:2" x14ac:dyDescent="0.3">
      <c r="A32" t="s">
        <v>53</v>
      </c>
      <c r="B32">
        <v>0.24931300000000001</v>
      </c>
    </row>
    <row r="33" spans="1:2" x14ac:dyDescent="0.3">
      <c r="A33" t="s">
        <v>231</v>
      </c>
      <c r="B33">
        <v>1.9170000000000001E-3</v>
      </c>
    </row>
    <row r="34" spans="1:2" x14ac:dyDescent="0.3">
      <c r="A34" t="s">
        <v>54</v>
      </c>
      <c r="B34">
        <v>1.918E-3</v>
      </c>
    </row>
    <row r="35" spans="1:2" x14ac:dyDescent="0.3">
      <c r="A35" t="s">
        <v>56</v>
      </c>
      <c r="B35">
        <v>0.127799</v>
      </c>
    </row>
    <row r="36" spans="1:2" x14ac:dyDescent="0.3">
      <c r="A36" t="s">
        <v>57</v>
      </c>
      <c r="B36">
        <v>6.7270000000000003E-3</v>
      </c>
    </row>
    <row r="37" spans="1:2" x14ac:dyDescent="0.3">
      <c r="A37" t="s">
        <v>58</v>
      </c>
      <c r="B37">
        <v>2.6445E-2</v>
      </c>
    </row>
    <row r="38" spans="1:2" x14ac:dyDescent="0.3">
      <c r="A38" t="s">
        <v>59</v>
      </c>
      <c r="B38">
        <v>5.842E-3</v>
      </c>
    </row>
    <row r="39" spans="1:2" x14ac:dyDescent="0.3">
      <c r="A39" t="s">
        <v>60</v>
      </c>
      <c r="B39">
        <v>4.9813000000000003E-2</v>
      </c>
    </row>
    <row r="40" spans="1:2" x14ac:dyDescent="0.3">
      <c r="A40" t="s">
        <v>61</v>
      </c>
      <c r="B40">
        <v>1.789E-3</v>
      </c>
    </row>
    <row r="41" spans="1:2" x14ac:dyDescent="0.3">
      <c r="A41" t="s">
        <v>62</v>
      </c>
      <c r="B41">
        <v>1.6847999999999998E-2</v>
      </c>
    </row>
    <row r="42" spans="1:2" x14ac:dyDescent="0.3">
      <c r="A42" t="s">
        <v>63</v>
      </c>
      <c r="B42">
        <v>3.7132999999999999E-2</v>
      </c>
    </row>
    <row r="43" spans="1:2" x14ac:dyDescent="0.3">
      <c r="A43" t="s">
        <v>64</v>
      </c>
      <c r="B43">
        <v>1.464E-2</v>
      </c>
    </row>
    <row r="44" spans="1:2" x14ac:dyDescent="0.3">
      <c r="A44" t="s">
        <v>65</v>
      </c>
      <c r="B44">
        <v>4.2040000000000003E-3</v>
      </c>
    </row>
    <row r="45" spans="1:2" x14ac:dyDescent="0.3">
      <c r="A45" t="s">
        <v>66</v>
      </c>
      <c r="B45">
        <v>4.3905E-2</v>
      </c>
    </row>
    <row r="46" spans="1:2" x14ac:dyDescent="0.3">
      <c r="A46" t="s">
        <v>67</v>
      </c>
      <c r="B46">
        <v>2.4000000000000001E-4</v>
      </c>
    </row>
    <row r="47" spans="1:2" x14ac:dyDescent="0.3">
      <c r="A47" t="s">
        <v>68</v>
      </c>
      <c r="B47">
        <v>6.2E-4</v>
      </c>
    </row>
    <row r="48" spans="1:2" x14ac:dyDescent="0.3">
      <c r="A48" t="s">
        <v>69</v>
      </c>
      <c r="B48">
        <v>2.0799999999999999E-4</v>
      </c>
    </row>
    <row r="49" spans="1:2" x14ac:dyDescent="0.3">
      <c r="A49" t="s">
        <v>70</v>
      </c>
      <c r="B49">
        <v>1.789E-3</v>
      </c>
    </row>
    <row r="50" spans="1:2" x14ac:dyDescent="0.3">
      <c r="A50" t="s">
        <v>71</v>
      </c>
      <c r="B50">
        <v>2.0799999999999999E-4</v>
      </c>
    </row>
    <row r="51" spans="1:2" x14ac:dyDescent="0.3">
      <c r="A51" t="s">
        <v>72</v>
      </c>
      <c r="B51">
        <v>7.5199999999999996E-4</v>
      </c>
    </row>
    <row r="52" spans="1:2" x14ac:dyDescent="0.3">
      <c r="A52" t="s">
        <v>73</v>
      </c>
      <c r="B52">
        <v>2.0799999999999999E-4</v>
      </c>
    </row>
    <row r="53" spans="1:2" x14ac:dyDescent="0.3">
      <c r="A53" t="s">
        <v>74</v>
      </c>
      <c r="B53">
        <v>3.1020000000000002E-3</v>
      </c>
    </row>
    <row r="54" spans="1:2" x14ac:dyDescent="0.3">
      <c r="A54" t="s">
        <v>75</v>
      </c>
      <c r="B54">
        <v>2.0799999999999999E-4</v>
      </c>
    </row>
    <row r="55" spans="1:2" x14ac:dyDescent="0.3">
      <c r="A55" t="s">
        <v>76</v>
      </c>
      <c r="B55">
        <v>2.078E-2</v>
      </c>
    </row>
    <row r="56" spans="1:2" x14ac:dyDescent="0.3">
      <c r="A56" t="s">
        <v>77</v>
      </c>
      <c r="B56">
        <v>2.4552079999999998</v>
      </c>
    </row>
    <row r="57" spans="1:2" x14ac:dyDescent="0.3">
      <c r="A57" t="s">
        <v>78</v>
      </c>
      <c r="B57">
        <v>2.1429999999999999E-3</v>
      </c>
    </row>
    <row r="58" spans="1:2" x14ac:dyDescent="0.3">
      <c r="A58" t="s">
        <v>79</v>
      </c>
      <c r="B58">
        <v>5.8601E-2</v>
      </c>
    </row>
    <row r="59" spans="1:2" x14ac:dyDescent="0.3">
      <c r="A59" t="s">
        <v>80</v>
      </c>
      <c r="B59">
        <v>2.1970000000000002E-3</v>
      </c>
    </row>
    <row r="60" spans="1:2" x14ac:dyDescent="0.3">
      <c r="A60" t="s">
        <v>81</v>
      </c>
      <c r="B60">
        <v>7.4520000000000003E-3</v>
      </c>
    </row>
    <row r="61" spans="1:2" x14ac:dyDescent="0.3">
      <c r="A61" t="s">
        <v>82</v>
      </c>
      <c r="B61">
        <v>1.807E-3</v>
      </c>
    </row>
    <row r="62" spans="1:2" x14ac:dyDescent="0.3">
      <c r="A62" t="s">
        <v>83</v>
      </c>
      <c r="B62">
        <v>3.6645999999999998E-2</v>
      </c>
    </row>
    <row r="63" spans="1:2" x14ac:dyDescent="0.3">
      <c r="A63" t="s">
        <v>84</v>
      </c>
      <c r="B63">
        <v>8.7571999999999997E-2</v>
      </c>
    </row>
    <row r="64" spans="1:2" x14ac:dyDescent="0.3">
      <c r="A64" t="s">
        <v>85</v>
      </c>
      <c r="B64">
        <v>4.8218639999999997</v>
      </c>
    </row>
    <row r="65" spans="1:2" x14ac:dyDescent="0.3">
      <c r="A65" t="s">
        <v>86</v>
      </c>
      <c r="B65">
        <v>8.4000000000000003E-4</v>
      </c>
    </row>
    <row r="66" spans="1:2" x14ac:dyDescent="0.3">
      <c r="A66" t="s">
        <v>87</v>
      </c>
      <c r="B66">
        <v>2.0799999999999999E-4</v>
      </c>
    </row>
    <row r="67" spans="1:2" x14ac:dyDescent="0.3">
      <c r="A67" t="s">
        <v>88</v>
      </c>
      <c r="B67">
        <v>2.6388000000000002E-2</v>
      </c>
    </row>
    <row r="68" spans="1:2" x14ac:dyDescent="0.3">
      <c r="A68" t="s">
        <v>89</v>
      </c>
      <c r="B68">
        <v>0.36688500000000002</v>
      </c>
    </row>
    <row r="69" spans="1:2" x14ac:dyDescent="0.3">
      <c r="A69" t="s">
        <v>90</v>
      </c>
      <c r="B69">
        <v>162.815303</v>
      </c>
    </row>
    <row r="70" spans="1:2" x14ac:dyDescent="0.3">
      <c r="A70" t="s">
        <v>91</v>
      </c>
      <c r="B70">
        <v>3.4480999999999998E-2</v>
      </c>
    </row>
    <row r="71" spans="1:2" x14ac:dyDescent="0.3">
      <c r="A71" t="s">
        <v>92</v>
      </c>
      <c r="B71">
        <v>2.0799999999999999E-4</v>
      </c>
    </row>
    <row r="72" spans="1:2" x14ac:dyDescent="0.3">
      <c r="A72" t="s">
        <v>93</v>
      </c>
      <c r="B72">
        <v>4.4380999999999997E-2</v>
      </c>
    </row>
    <row r="73" spans="1:2" x14ac:dyDescent="0.3">
      <c r="A73" t="s">
        <v>94</v>
      </c>
      <c r="B73">
        <v>1.9900000000000001E-4</v>
      </c>
    </row>
    <row r="74" spans="1:2" x14ac:dyDescent="0.3">
      <c r="A74" t="s">
        <v>95</v>
      </c>
      <c r="B74">
        <v>4.4740000000000002E-2</v>
      </c>
    </row>
    <row r="75" spans="1:2" x14ac:dyDescent="0.3">
      <c r="A75" t="s">
        <v>96</v>
      </c>
      <c r="B75">
        <v>3.6192000000000002E-2</v>
      </c>
    </row>
    <row r="76" spans="1:2" x14ac:dyDescent="0.3">
      <c r="A76" t="s">
        <v>97</v>
      </c>
      <c r="B76">
        <v>2.4507000000000001E-2</v>
      </c>
    </row>
    <row r="77" spans="1:2" x14ac:dyDescent="0.3">
      <c r="A77" t="s">
        <v>98</v>
      </c>
      <c r="B77">
        <v>1.1176729999999999</v>
      </c>
    </row>
    <row r="78" spans="1:2" x14ac:dyDescent="0.3">
      <c r="A78" t="s">
        <v>99</v>
      </c>
      <c r="B78">
        <v>3.9199999999999999E-4</v>
      </c>
    </row>
    <row r="79" spans="1:2" x14ac:dyDescent="0.3">
      <c r="A79" t="s">
        <v>100</v>
      </c>
      <c r="B79">
        <v>0.11799</v>
      </c>
    </row>
    <row r="80" spans="1:2" x14ac:dyDescent="0.3">
      <c r="A80" t="s">
        <v>101</v>
      </c>
      <c r="B80">
        <v>0.41512500000000002</v>
      </c>
    </row>
    <row r="81" spans="1:2" x14ac:dyDescent="0.3">
      <c r="A81" t="s">
        <v>102</v>
      </c>
      <c r="B81">
        <v>8.6000000000000003E-5</v>
      </c>
    </row>
    <row r="82" spans="1:2" x14ac:dyDescent="0.3">
      <c r="A82" t="s">
        <v>103</v>
      </c>
      <c r="B82">
        <v>2.34E-4</v>
      </c>
    </row>
    <row r="83" spans="1:2" x14ac:dyDescent="0.3">
      <c r="A83" t="s">
        <v>104</v>
      </c>
      <c r="B83">
        <v>0.129834</v>
      </c>
    </row>
    <row r="84" spans="1:2" x14ac:dyDescent="0.3">
      <c r="A84" t="s">
        <v>105</v>
      </c>
      <c r="B84">
        <v>6.1708259999999999</v>
      </c>
    </row>
    <row r="85" spans="1:2" x14ac:dyDescent="0.3">
      <c r="A85" t="s">
        <v>106</v>
      </c>
      <c r="B85">
        <v>25.085678999999999</v>
      </c>
    </row>
    <row r="86" spans="1:2" x14ac:dyDescent="0.3">
      <c r="A86" t="s">
        <v>107</v>
      </c>
      <c r="B86">
        <v>8.8849999999999998E-2</v>
      </c>
    </row>
    <row r="87" spans="1:2" x14ac:dyDescent="0.3">
      <c r="A87" t="s">
        <v>108</v>
      </c>
      <c r="B87">
        <v>5.1652999999999998E-2</v>
      </c>
    </row>
    <row r="88" spans="1:2" x14ac:dyDescent="0.3">
      <c r="A88" t="s">
        <v>109</v>
      </c>
      <c r="B88">
        <v>4.6249999999999998E-3</v>
      </c>
    </row>
    <row r="89" spans="1:2" x14ac:dyDescent="0.3">
      <c r="A89" t="s">
        <v>110</v>
      </c>
      <c r="B89">
        <v>1.7730000000000001E-3</v>
      </c>
    </row>
    <row r="90" spans="1:2" x14ac:dyDescent="0.3">
      <c r="A90" t="s">
        <v>111</v>
      </c>
      <c r="B90">
        <v>2.5960000000000002E-3</v>
      </c>
    </row>
    <row r="91" spans="1:2" x14ac:dyDescent="0.3">
      <c r="A91" t="s">
        <v>112</v>
      </c>
      <c r="B91">
        <v>4.816E-3</v>
      </c>
    </row>
    <row r="92" spans="1:2" x14ac:dyDescent="0.3">
      <c r="A92" t="s">
        <v>113</v>
      </c>
      <c r="B92">
        <v>1.160669</v>
      </c>
    </row>
    <row r="93" spans="1:2" x14ac:dyDescent="0.3">
      <c r="A93" t="s">
        <v>114</v>
      </c>
      <c r="B93">
        <v>1.4644000000000001E-2</v>
      </c>
    </row>
    <row r="94" spans="1:2" x14ac:dyDescent="0.3">
      <c r="A94" t="s">
        <v>115</v>
      </c>
      <c r="B94">
        <v>0.58850000000000002</v>
      </c>
    </row>
    <row r="95" spans="1:2" x14ac:dyDescent="0.3">
      <c r="A95" t="s">
        <v>116</v>
      </c>
      <c r="B95">
        <v>0.99958199999999997</v>
      </c>
    </row>
    <row r="96" spans="1:2" x14ac:dyDescent="0.3">
      <c r="A96" t="s">
        <v>117</v>
      </c>
      <c r="B96">
        <v>2.2629999999999998E-3</v>
      </c>
    </row>
    <row r="97" spans="1:2" x14ac:dyDescent="0.3">
      <c r="A97" t="s">
        <v>118</v>
      </c>
      <c r="B97">
        <v>1.1205E-2</v>
      </c>
    </row>
    <row r="98" spans="1:2" x14ac:dyDescent="0.3">
      <c r="A98" t="s">
        <v>119</v>
      </c>
      <c r="B98">
        <v>1.3065999999999999E-2</v>
      </c>
    </row>
    <row r="99" spans="1:2" x14ac:dyDescent="0.3">
      <c r="A99" t="s">
        <v>120</v>
      </c>
      <c r="B99">
        <v>4.3319999999999999E-3</v>
      </c>
    </row>
    <row r="100" spans="1:2" x14ac:dyDescent="0.3">
      <c r="A100" t="s">
        <v>121</v>
      </c>
      <c r="B100">
        <v>0.485344</v>
      </c>
    </row>
    <row r="101" spans="1:2" x14ac:dyDescent="0.3">
      <c r="A101" t="s">
        <v>122</v>
      </c>
      <c r="B101">
        <v>4.8690000000000001E-3</v>
      </c>
    </row>
    <row r="102" spans="1:2" x14ac:dyDescent="0.3">
      <c r="A102" t="s">
        <v>123</v>
      </c>
      <c r="B102">
        <v>1.1119999999999999E-3</v>
      </c>
    </row>
    <row r="103" spans="1:2" x14ac:dyDescent="0.3">
      <c r="A103" t="s">
        <v>124</v>
      </c>
      <c r="B103">
        <v>1.7878000000000002E-2</v>
      </c>
    </row>
    <row r="104" spans="1:2" x14ac:dyDescent="0.3">
      <c r="A104" t="s">
        <v>125</v>
      </c>
      <c r="B104">
        <v>4.6249999999999998E-3</v>
      </c>
    </row>
    <row r="105" spans="1:2" x14ac:dyDescent="0.3">
      <c r="A105" t="s">
        <v>126</v>
      </c>
      <c r="B105">
        <v>0.37865100000000002</v>
      </c>
    </row>
    <row r="106" spans="1:2" x14ac:dyDescent="0.3">
      <c r="A106" t="s">
        <v>127</v>
      </c>
      <c r="B106">
        <v>1.0323000000000001E-2</v>
      </c>
    </row>
    <row r="107" spans="1:2" x14ac:dyDescent="0.3">
      <c r="A107" t="s">
        <v>128</v>
      </c>
      <c r="B107">
        <v>2.6150000000000001E-3</v>
      </c>
    </row>
    <row r="108" spans="1:2" x14ac:dyDescent="0.3">
      <c r="A108" t="s">
        <v>129</v>
      </c>
      <c r="B108">
        <v>4.2221000000000002E-2</v>
      </c>
    </row>
    <row r="109" spans="1:2" x14ac:dyDescent="0.3">
      <c r="A109" t="s">
        <v>130</v>
      </c>
      <c r="B109">
        <v>4.7699999999999999E-4</v>
      </c>
    </row>
    <row r="110" spans="1:2" x14ac:dyDescent="0.3">
      <c r="A110" t="s">
        <v>131</v>
      </c>
      <c r="B110">
        <v>1.08E-4</v>
      </c>
    </row>
    <row r="111" spans="1:2" x14ac:dyDescent="0.3">
      <c r="A111" t="s">
        <v>132</v>
      </c>
      <c r="B111">
        <v>2.7999999999999998E-4</v>
      </c>
    </row>
    <row r="112" spans="1:2" x14ac:dyDescent="0.3">
      <c r="A112" t="s">
        <v>133</v>
      </c>
      <c r="B112">
        <v>9.6500000000000004E-4</v>
      </c>
    </row>
    <row r="113" spans="1:2" x14ac:dyDescent="0.3">
      <c r="A113" t="s">
        <v>134</v>
      </c>
      <c r="B113">
        <v>1.2210000000000001E-3</v>
      </c>
    </row>
    <row r="114" spans="1:2" x14ac:dyDescent="0.3">
      <c r="A114" t="s">
        <v>135</v>
      </c>
      <c r="B114">
        <v>1.6951999999999998E-2</v>
      </c>
    </row>
    <row r="115" spans="1:2" x14ac:dyDescent="0.3">
      <c r="A115" t="s">
        <v>136</v>
      </c>
      <c r="B115">
        <v>7.8259999999999996E-2</v>
      </c>
    </row>
    <row r="116" spans="1:2" x14ac:dyDescent="0.3">
      <c r="A116" t="s">
        <v>137</v>
      </c>
      <c r="B116">
        <v>1.016E-3</v>
      </c>
    </row>
    <row r="117" spans="1:2" x14ac:dyDescent="0.3">
      <c r="A117" t="s">
        <v>138</v>
      </c>
      <c r="B117">
        <v>1.782389</v>
      </c>
    </row>
    <row r="118" spans="1:2" x14ac:dyDescent="0.3">
      <c r="A118" t="s">
        <v>139</v>
      </c>
      <c r="B118">
        <v>1.0200000000000001E-3</v>
      </c>
    </row>
    <row r="119" spans="1:2" x14ac:dyDescent="0.3">
      <c r="A119" t="s">
        <v>140</v>
      </c>
      <c r="B119">
        <v>1.2210000000000001E-3</v>
      </c>
    </row>
    <row r="120" spans="1:2" x14ac:dyDescent="0.3">
      <c r="A120" t="s">
        <v>141</v>
      </c>
      <c r="B120">
        <v>2.81E-2</v>
      </c>
    </row>
    <row r="121" spans="1:2" x14ac:dyDescent="0.3">
      <c r="A121" t="s">
        <v>142</v>
      </c>
      <c r="B121">
        <v>2.1024999999999999E-2</v>
      </c>
    </row>
    <row r="122" spans="1:2" x14ac:dyDescent="0.3">
      <c r="A122" t="s">
        <v>143</v>
      </c>
      <c r="B122">
        <v>0.40906199999999998</v>
      </c>
    </row>
    <row r="123" spans="1:2" x14ac:dyDescent="0.3">
      <c r="A123" t="s">
        <v>144</v>
      </c>
      <c r="B123">
        <v>1.0510000000000001E-3</v>
      </c>
    </row>
    <row r="124" spans="1:2" x14ac:dyDescent="0.3">
      <c r="A124" t="s">
        <v>145</v>
      </c>
      <c r="B124">
        <v>2.2469999999999999E-3</v>
      </c>
    </row>
    <row r="125" spans="1:2" x14ac:dyDescent="0.3">
      <c r="A125" t="s">
        <v>146</v>
      </c>
      <c r="B125">
        <v>4.0720000000000001E-3</v>
      </c>
    </row>
    <row r="126" spans="1:2" x14ac:dyDescent="0.3">
      <c r="A126" t="s">
        <v>147</v>
      </c>
      <c r="B126">
        <v>0.14322699999999999</v>
      </c>
    </row>
    <row r="127" spans="1:2" x14ac:dyDescent="0.3">
      <c r="A127" t="s">
        <v>148</v>
      </c>
      <c r="B127">
        <v>2.588E-3</v>
      </c>
    </row>
    <row r="128" spans="1:2" x14ac:dyDescent="0.3">
      <c r="A128" t="s">
        <v>149</v>
      </c>
      <c r="B128">
        <v>3.5799999999999997E-4</v>
      </c>
    </row>
    <row r="129" spans="1:2" x14ac:dyDescent="0.3">
      <c r="A129" t="s">
        <v>150</v>
      </c>
      <c r="B129">
        <v>2.0799999999999999E-4</v>
      </c>
    </row>
    <row r="130" spans="1:2" x14ac:dyDescent="0.3">
      <c r="A130" t="s">
        <v>151</v>
      </c>
      <c r="B130">
        <v>6.8950000000000001E-3</v>
      </c>
    </row>
    <row r="131" spans="1:2" x14ac:dyDescent="0.3">
      <c r="A131" t="s">
        <v>152</v>
      </c>
      <c r="B131">
        <v>6.8946649999999998</v>
      </c>
    </row>
    <row r="132" spans="1:2" x14ac:dyDescent="0.3">
      <c r="A132" t="s">
        <v>153</v>
      </c>
      <c r="B132">
        <v>0.160131</v>
      </c>
    </row>
    <row r="133" spans="1:2" x14ac:dyDescent="0.3">
      <c r="A133" t="s">
        <v>154</v>
      </c>
      <c r="B133">
        <v>1.0500000000000001E-2</v>
      </c>
    </row>
    <row r="134" spans="1:2" x14ac:dyDescent="0.3">
      <c r="A134" t="s">
        <v>155</v>
      </c>
      <c r="B134">
        <v>1.292308</v>
      </c>
    </row>
    <row r="135" spans="1:2" x14ac:dyDescent="0.3">
      <c r="A135" t="s">
        <v>156</v>
      </c>
      <c r="B135">
        <v>5.8760000000000001E-3</v>
      </c>
    </row>
    <row r="136" spans="1:2" x14ac:dyDescent="0.3">
      <c r="A136" t="s">
        <v>157</v>
      </c>
      <c r="B136">
        <v>3.1652E-2</v>
      </c>
    </row>
    <row r="137" spans="1:2" x14ac:dyDescent="0.3">
      <c r="A137" t="s">
        <v>158</v>
      </c>
      <c r="B137">
        <v>4.6249999999999998E-3</v>
      </c>
    </row>
    <row r="138" spans="1:2" x14ac:dyDescent="0.3">
      <c r="A138" t="s">
        <v>159</v>
      </c>
      <c r="B138">
        <v>9.0749999999999997E-3</v>
      </c>
    </row>
    <row r="139" spans="1:2" x14ac:dyDescent="0.3">
      <c r="A139" t="s">
        <v>160</v>
      </c>
      <c r="B139">
        <v>2.63E-3</v>
      </c>
    </row>
    <row r="140" spans="1:2" x14ac:dyDescent="0.3">
      <c r="A140" t="s">
        <v>161</v>
      </c>
      <c r="B140">
        <v>9.7799999999999992E-4</v>
      </c>
    </row>
    <row r="141" spans="1:2" x14ac:dyDescent="0.3">
      <c r="A141" t="s">
        <v>162</v>
      </c>
      <c r="B141">
        <v>8.0800000000000002E-4</v>
      </c>
    </row>
    <row r="142" spans="1:2" x14ac:dyDescent="0.3">
      <c r="A142" t="s">
        <v>163</v>
      </c>
      <c r="B142">
        <v>6.7199999999999996E-4</v>
      </c>
    </row>
    <row r="143" spans="1:2" x14ac:dyDescent="0.3">
      <c r="A143" t="s">
        <v>164</v>
      </c>
      <c r="B143">
        <v>1.2600999999999999E-2</v>
      </c>
    </row>
    <row r="144" spans="1:2" x14ac:dyDescent="0.3">
      <c r="A144" t="s">
        <v>165</v>
      </c>
      <c r="B144">
        <v>1.9009999999999999E-3</v>
      </c>
    </row>
    <row r="145" spans="1:2" x14ac:dyDescent="0.3">
      <c r="A145" t="s">
        <v>166</v>
      </c>
      <c r="B145">
        <v>3.9199999999999999E-4</v>
      </c>
    </row>
    <row r="146" spans="1:2" x14ac:dyDescent="0.3">
      <c r="A146" t="s">
        <v>167</v>
      </c>
      <c r="B146">
        <v>8.8400000000000006E-3</v>
      </c>
    </row>
    <row r="147" spans="1:2" x14ac:dyDescent="0.3">
      <c r="A147" t="s">
        <v>168</v>
      </c>
      <c r="B147">
        <v>0.72816400000000003</v>
      </c>
    </row>
    <row r="148" spans="1:2" x14ac:dyDescent="0.3">
      <c r="A148" t="s">
        <v>169</v>
      </c>
      <c r="B148">
        <v>1.2329E-2</v>
      </c>
    </row>
    <row r="149" spans="1:2" x14ac:dyDescent="0.3">
      <c r="A149" t="s">
        <v>170</v>
      </c>
      <c r="B149">
        <v>1.035623</v>
      </c>
    </row>
    <row r="150" spans="1:2" x14ac:dyDescent="0.3">
      <c r="A150" t="s">
        <v>24</v>
      </c>
      <c r="B150">
        <v>2.7999999999999998E-4</v>
      </c>
    </row>
    <row r="151" spans="1:2" x14ac:dyDescent="0.3">
      <c r="A151" t="s">
        <v>171</v>
      </c>
      <c r="B151">
        <v>1.1143999999999999E-2</v>
      </c>
    </row>
    <row r="152" spans="1:2" x14ac:dyDescent="0.3">
      <c r="A152" t="s">
        <v>172</v>
      </c>
      <c r="B152">
        <v>3.406263</v>
      </c>
    </row>
    <row r="153" spans="1:2" x14ac:dyDescent="0.3">
      <c r="A153" t="s">
        <v>173</v>
      </c>
      <c r="B153">
        <v>0.13562299999999999</v>
      </c>
    </row>
    <row r="154" spans="1:2" x14ac:dyDescent="0.3">
      <c r="A154" t="s">
        <v>174</v>
      </c>
      <c r="B154">
        <v>7.3122699999999998</v>
      </c>
    </row>
    <row r="155" spans="1:2" x14ac:dyDescent="0.3">
      <c r="A155" t="s">
        <v>175</v>
      </c>
      <c r="B155">
        <v>3.3181000000000002E-2</v>
      </c>
    </row>
    <row r="156" spans="1:2" x14ac:dyDescent="0.3">
      <c r="A156" t="s">
        <v>176</v>
      </c>
      <c r="B156">
        <v>7.6099999999999996E-4</v>
      </c>
    </row>
    <row r="157" spans="1:2" x14ac:dyDescent="0.3">
      <c r="A157" t="s">
        <v>177</v>
      </c>
      <c r="B157">
        <v>0.15731999999999999</v>
      </c>
    </row>
    <row r="158" spans="1:2" x14ac:dyDescent="0.3">
      <c r="A158" t="s">
        <v>178</v>
      </c>
      <c r="B158">
        <v>7.5699999999999997E-4</v>
      </c>
    </row>
    <row r="159" spans="1:2" x14ac:dyDescent="0.3">
      <c r="A159" t="s">
        <v>179</v>
      </c>
      <c r="B159">
        <v>5.0199999999999995E-4</v>
      </c>
    </row>
    <row r="160" spans="1:2" x14ac:dyDescent="0.3">
      <c r="A160" t="s">
        <v>180</v>
      </c>
      <c r="B160">
        <v>2.05E-4</v>
      </c>
    </row>
    <row r="161" spans="1:2" x14ac:dyDescent="0.3">
      <c r="A161" t="s">
        <v>181</v>
      </c>
      <c r="B161">
        <v>0.15731999999999999</v>
      </c>
    </row>
    <row r="162" spans="1:2" x14ac:dyDescent="0.3">
      <c r="A162" t="s">
        <v>182</v>
      </c>
      <c r="B162">
        <v>2.862E-2</v>
      </c>
    </row>
    <row r="163" spans="1:2" x14ac:dyDescent="0.3">
      <c r="A163" t="s">
        <v>183</v>
      </c>
      <c r="B163">
        <v>6.6864999999999994E-2</v>
      </c>
    </row>
    <row r="164" spans="1:2" x14ac:dyDescent="0.3">
      <c r="A164" t="s">
        <v>184</v>
      </c>
      <c r="B164">
        <v>4.6249999999999998E-3</v>
      </c>
    </row>
    <row r="165" spans="1:2" x14ac:dyDescent="0.3">
      <c r="A165" t="s">
        <v>185</v>
      </c>
      <c r="B165">
        <v>5.3359999999999996E-3</v>
      </c>
    </row>
    <row r="166" spans="1:2" x14ac:dyDescent="0.3">
      <c r="A166" t="s">
        <v>232</v>
      </c>
      <c r="B166">
        <v>7.0800000000000004E-3</v>
      </c>
    </row>
    <row r="167" spans="1:2" x14ac:dyDescent="0.3">
      <c r="A167" t="s">
        <v>186</v>
      </c>
      <c r="B167">
        <v>7.0800000000000004E-3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2C39A-D920-48CB-9CA8-3C4FFA022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Another Expenses</vt:lpstr>
      <vt:lpstr>Debt</vt:lpstr>
      <vt:lpstr>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Daniel</dc:creator>
  <cp:lastModifiedBy>Lozano, Daniel</cp:lastModifiedBy>
  <dcterms:created xsi:type="dcterms:W3CDTF">2025-08-05T17:25:28Z</dcterms:created>
  <dcterms:modified xsi:type="dcterms:W3CDTF">2026-05-26T19:15:02Z</dcterms:modified>
</cp:coreProperties>
</file>