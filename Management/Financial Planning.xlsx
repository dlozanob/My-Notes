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9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A072FAAA-FC47-428F-B9DA-8B262C7CACB2}" xr6:coauthVersionLast="47" xr6:coauthVersionMax="47" xr10:uidLastSave="{00000000-0000-0000-0000-000000000000}"/>
  <bookViews>
    <workbookView xWindow="-120" yWindow="-120" windowWidth="20730" windowHeight="11040" activeTab="4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 Rates" sheetId="4" r:id="rId6"/>
  </sheets>
  <definedNames>
    <definedName name="DatosExternos_1" localSheetId="5" hidden="1">'COP Rates'!$A$1:$B$167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5" i="6" l="1"/>
  <c r="N25" i="6" s="1"/>
  <c r="M26" i="6"/>
  <c r="N26" i="6" s="1"/>
  <c r="M27" i="6"/>
  <c r="N27" i="6" s="1"/>
  <c r="M28" i="6"/>
  <c r="N28" i="6"/>
  <c r="M29" i="6"/>
  <c r="N29" i="6"/>
  <c r="M30" i="6"/>
  <c r="N30" i="6" s="1"/>
  <c r="M31" i="6"/>
  <c r="N31" i="6" s="1"/>
  <c r="M24" i="6"/>
  <c r="N24" i="6" s="1"/>
  <c r="D10" i="1"/>
  <c r="D5" i="1"/>
  <c r="D9" i="1"/>
  <c r="D14" i="1"/>
  <c r="I28" i="5"/>
  <c r="D28" i="5"/>
  <c r="D8" i="5"/>
  <c r="G18" i="6"/>
  <c r="G19" i="6"/>
  <c r="G20" i="6"/>
  <c r="G17" i="6"/>
  <c r="F21" i="6"/>
  <c r="G21" i="6" s="1"/>
  <c r="D8" i="1"/>
  <c r="I16" i="1"/>
  <c r="J14" i="1"/>
  <c r="K14" i="1" s="1"/>
  <c r="J15" i="1"/>
  <c r="J16" i="1"/>
  <c r="K16" i="1"/>
  <c r="D29" i="1"/>
  <c r="D28" i="1"/>
  <c r="D12" i="1"/>
  <c r="C3" i="5" l="1"/>
  <c r="L9" i="1"/>
  <c r="J10" i="1"/>
  <c r="K10" i="1" s="1"/>
  <c r="H21" i="1" s="1"/>
  <c r="I10" i="1"/>
  <c r="C23" i="1"/>
  <c r="D10" i="2"/>
  <c r="D9" i="5"/>
  <c r="D33" i="1"/>
  <c r="D11" i="1"/>
  <c r="J11" i="1"/>
  <c r="K11" i="1" s="1"/>
  <c r="J8" i="1"/>
  <c r="K8" i="1" s="1"/>
  <c r="H13" i="1"/>
  <c r="J13" i="1" s="1"/>
  <c r="K13" i="1" s="1"/>
  <c r="H12" i="1"/>
  <c r="J12" i="1" s="1"/>
  <c r="K12" i="1" s="1"/>
  <c r="J9" i="1"/>
  <c r="K9" i="1" s="1"/>
  <c r="H5" i="1" l="1"/>
  <c r="D21" i="1" s="1"/>
  <c r="D34" i="1"/>
  <c r="D5" i="2"/>
  <c r="D2" i="2"/>
  <c r="E34" i="1" l="1"/>
  <c r="F34" i="1" s="1"/>
  <c r="G2" i="2"/>
  <c r="E33" i="1" s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7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<sst xmlns="http://schemas.openxmlformats.org/spreadsheetml/2006/main" count="371" uniqueCount="294">
  <si>
    <t>Wellbeing Lifestyle</t>
  </si>
  <si>
    <t>Hair salon</t>
  </si>
  <si>
    <t>Transport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</si>
  <si>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</si>
  <si>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</si>
  <si>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</si>
  <si>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</si>
  <si>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</si>
  <si>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</si>
  <si>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</si>
  <si>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</si>
  <si>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</si>
  <si>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</si>
  <si>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</si>
  <si>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</si>
  <si>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</si>
  <si>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</si>
  <si>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</si>
  <si>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</si>
  <si>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</si>
  <si>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</si>
  <si>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</si>
  <si>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</si>
  <si>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</si>
  <si>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</si>
  <si>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</si>
  <si>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</si>
  <si>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</si>
  <si>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</si>
  <si>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</si>
  <si>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</si>
  <si>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</si>
  <si>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</si>
  <si>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</si>
  <si>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</si>
  <si>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</si>
  <si>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</si>
  <si>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</si>
  <si>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</si>
  <si>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</si>
  <si>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</si>
  <si>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</si>
  <si>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</si>
  <si>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</si>
  <si>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</si>
  <si>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</si>
  <si>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</si>
  <si>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</si>
  <si>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</si>
  <si>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</si>
  <si>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</si>
  <si>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</si>
  <si>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</si>
  <si>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</si>
  <si>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</si>
  <si>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</si>
  <si>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</si>
  <si>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</si>
  <si>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</si>
  <si>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</si>
  <si>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</si>
  <si>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</si>
  <si>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</si>
  <si>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</si>
  <si>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</si>
  <si>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</si>
  <si>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</si>
  <si>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</si>
  <si>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</si>
  <si>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</si>
  <si>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</si>
  <si>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</si>
  <si>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</si>
  <si>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</si>
  <si>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</si>
  <si>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</si>
  <si>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</si>
  <si>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</si>
  <si>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</si>
  <si>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</si>
  <si>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</si>
  <si>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</si>
  <si>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</si>
  <si>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</si>
  <si>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</si>
  <si>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</si>
  <si>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</si>
  <si>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</si>
  <si>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</si>
  <si>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</si>
  <si>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</si>
  <si>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</si>
  <si>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</si>
  <si>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</si>
  <si>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</si>
  <si>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</si>
  <si>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</si>
  <si>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</si>
  <si>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</si>
  <si>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</si>
  <si>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</si>
  <si>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</si>
  <si>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</si>
  <si>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</si>
  <si>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</si>
  <si>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</si>
  <si>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</si>
  <si>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</si>
  <si>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</si>
  <si>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</si>
  <si>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</si>
  <si>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</si>
  <si>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</si>
  <si>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</si>
  <si>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</si>
  <si>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</si>
  <si>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</si>
  <si>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</si>
  <si>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</si>
  <si>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</si>
  <si>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</si>
  <si>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</si>
  <si>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</si>
  <si>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</si>
  <si>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</si>
  <si>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</si>
  <si>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</si>
  <si>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</si>
  <si>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</si>
  <si>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</si>
  <si>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</si>
  <si>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</si>
  <si>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</si>
  <si>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</si>
  <si>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</si>
  <si>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</si>
  <si>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</si>
  <si>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</si>
  <si>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</si>
  <si>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</si>
  <si>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</si>
  <si>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</si>
  <si>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</si>
  <si>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</si>
  <si>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</si>
  <si>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</si>
  <si>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</si>
  <si>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</si>
  <si>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</si>
  <si>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</si>
  <si>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</si>
  <si>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</si>
  <si>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</si>
  <si>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</si>
  <si>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</si>
  <si>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</si>
  <si>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</si>
  <si>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</si>
  <si>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</si>
  <si>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</si>
  <si>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</si>
  <si>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</si>
  <si>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</si>
  <si>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</si>
  <si>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</si>
  <si>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</si>
  <si>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</si>
  <si>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</si>
  <si>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</si>
  <si>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</si>
  <si>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</si>
  <si>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</si>
  <si>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</si>
  <si>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</si>
  <si>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</si>
  <si>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</si>
  <si>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</si>
  <si>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</si>
  <si>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</si>
  <si>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</si>
  <si>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</si>
  <si>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</si>
  <si>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</si>
  <si>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</si>
  <si>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</si>
  <si>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</si>
  <si>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</si>
  <si>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</si>
  <si>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</si>
  <si>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</si>
  <si>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</si>
  <si>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</si>
  <si>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</si>
  <si>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</si>
  <si>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</si>
  <si>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</si>
  <si>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</si>
  <si>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</si>
  <si>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</si>
  <si>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</si>
  <si>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</si>
  <si>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</si>
  <si>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</si>
  <si>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</si>
  <si>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</si>
  <si>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</si>
  <si>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</si>
  <si>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</si>
  <si>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</si>
  <si>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</si>
  <si>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</si>
  <si>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</si>
  <si>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</si>
  <si>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</si>
  <si>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</si>
  <si>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</si>
  <si>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</si>
  <si>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</si>
  <si>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</si>
  <si>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</si>
  <si>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</si>
  <si>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</si>
  <si>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</si>
  <si>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</si>
  <si>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</si>
  <si>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</si>
  <si>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</si>
  <si>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</si>
  <si>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</si>
  <si>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</si>
  <si>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</si>
  <si>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</si>
  <si>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</si>
  <si>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</si>
  <si>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</si>
  <si>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</si>
  <si>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</si>
  <si>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</si>
  <si>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</si>
  <si>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</si>
  <si>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</si>
  <si>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</si>
  <si>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</si>
  <si>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</si>
  <si>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</si>
  <si>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</si>
  <si>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</si>
  <si>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</si>
  <si>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USD/COP &lt; 3.000</t>
  </si>
  <si>
    <t>USD 20%, CDTs 39%</t>
  </si>
  <si>
    <t>USD/COP &gt; 3.600</t>
  </si>
  <si>
    <t>EUR/COP &lt; 3.300</t>
  </si>
  <si>
    <t>EUR 40%, CDTs 34%</t>
  </si>
  <si>
    <t>EUR/COP &gt; 3.700</t>
  </si>
  <si>
    <t>EUR 40%, USD 20%, CDTs 29%</t>
  </si>
  <si>
    <t>Condition</t>
  </si>
  <si>
    <t>Action</t>
  </si>
  <si>
    <t>% Adjusted</t>
  </si>
  <si>
    <t>No Changes</t>
  </si>
  <si>
    <t>Increase EUR</t>
  </si>
  <si>
    <t>Hold</t>
  </si>
  <si>
    <t>Reallocate 10% from CDTs to EUR</t>
  </si>
  <si>
    <t>Reallocate 5% from CDTs to USD</t>
  </si>
  <si>
    <t>USD &amp; EUR Decrease</t>
  </si>
  <si>
    <t>EUR*</t>
  </si>
  <si>
    <t>Unlock EUR portion</t>
  </si>
  <si>
    <t>EUR = 30%</t>
  </si>
  <si>
    <t>EUR/COP &gt;3800 (90 days)*</t>
  </si>
  <si>
    <t>CDT Banco Santander</t>
  </si>
  <si>
    <t>Monthly Incomes</t>
  </si>
  <si>
    <t>Monthly Outcomes</t>
  </si>
  <si>
    <t>Monthly NET</t>
  </si>
  <si>
    <t>The 2nd every 3 months</t>
  </si>
  <si>
    <t>The 16nd every 3 months</t>
  </si>
  <si>
    <t>Cash out on 16.10.2026</t>
  </si>
  <si>
    <t>Date Bought</t>
  </si>
  <si>
    <t>Date Sold</t>
  </si>
  <si>
    <t>Asset</t>
  </si>
  <si>
    <t>Units</t>
  </si>
  <si>
    <t>Price Buy</t>
  </si>
  <si>
    <t>Price Sell</t>
  </si>
  <si>
    <t>Total Invested (COP)</t>
  </si>
  <si>
    <t>Gain/Loss (COP)</t>
  </si>
  <si>
    <t>% Return</t>
  </si>
  <si>
    <t>AAPL</t>
  </si>
  <si>
    <t>MSTF</t>
  </si>
  <si>
    <t>V</t>
  </si>
  <si>
    <t>JNJ</t>
  </si>
  <si>
    <t>KO</t>
  </si>
  <si>
    <t>Total Value</t>
  </si>
  <si>
    <t>Current: 74% until hitting EUR limit</t>
  </si>
  <si>
    <t>Current: 0% until hitting EUR limit</t>
  </si>
  <si>
    <t>Current: 3.000.000,00. Transfer Pending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</si>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</sst>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(&quot;$&quot;* #,##0.00_);_(&quot;$&quot;* \(#,##0.00\);_(&quot;$&quot;* &quot;-&quot;??_);_(@_)"/>
    <numFmt numFmtId="165" formatCode="_([$COP]\ * #,##0.00_);_([$COP]\ * \(#,##0.00\);_([$COP]\ * &quot;-&quot;??_);_(@_)"/>
    <numFmt numFmtId="166" formatCode="_([$COP]\ * #,##0_);_([$COP]\ * \(#,##0\);_([$COP]\ * &quot;-&quot;??_);_(@_)"/>
    <numFmt numFmtId="167" formatCode="_-* #,##0.00\ [$COP]_-;\-* #,##0.00\ [$COP]_-;_-* &quot;-&quot;??\ [$COP]_-;_-@_-"/>
    <numFmt numFmtId="168" formatCode="_-[$$-240A]\ * #,##0.00_-;\-[$$-240A]\ * #,##0.00_-;_-[$$-240A]\ * &quot;-&quot;??_-;_-@_-"/>
    <numFmt numFmtId="169" formatCode="[$-F800]dddd\,\ mmmm\ dd\,\ yyyy"/>
    <numFmt numFmtId="170" formatCode="_-* #,##0.00\ _€_-;\-* #,##0.00\ _€_-;_-* &quot;-&quot;??\ _€_-;_-@_-"/>
    <numFmt numFmtId="171" formatCode="0.0"/>
    <numFmt numFmtId="172" formatCode="#,##0.00\ [$COP]"/>
    <numFmt numFmtId="177" formatCode="\+\ #.##0\ \C\O\P;\-\ #.##0\ \C\O\P;0\ \C\O\P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8" fillId="13" borderId="0" applyNumberFormat="0" applyBorder="0" applyAlignment="0" applyProtection="0"/>
    <xf numFmtId="0" fontId="4" fillId="14" borderId="26" applyNumberFormat="0" applyAlignment="0" applyProtection="0"/>
  </cellStyleXfs>
  <cellXfs count="117">
    <xf numFmtId="0" fontId="0" fillId="0" borderId="0" xfId="0"/>
    <xf numFmtId="165" fontId="0" fillId="0" borderId="0" xfId="0" applyNumberFormat="1"/>
    <xf numFmtId="165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0" fontId="0" fillId="0" borderId="2" xfId="0" applyBorder="1"/>
    <xf numFmtId="167" fontId="0" fillId="0" borderId="0" xfId="0" applyNumberFormat="1"/>
    <xf numFmtId="165" fontId="0" fillId="0" borderId="4" xfId="0" applyNumberFormat="1" applyBorder="1"/>
    <xf numFmtId="165" fontId="0" fillId="7" borderId="9" xfId="0" applyNumberFormat="1" applyFill="1" applyBorder="1"/>
    <xf numFmtId="165" fontId="0" fillId="7" borderId="10" xfId="0" applyNumberFormat="1" applyFill="1" applyBorder="1"/>
    <xf numFmtId="165" fontId="0" fillId="3" borderId="12" xfId="1" applyNumberFormat="1" applyFont="1" applyFill="1" applyBorder="1"/>
    <xf numFmtId="165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5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6" fontId="0" fillId="0" borderId="10" xfId="0" applyNumberFormat="1" applyBorder="1"/>
    <xf numFmtId="0" fontId="0" fillId="0" borderId="10" xfId="0" applyBorder="1"/>
    <xf numFmtId="169" fontId="0" fillId="0" borderId="10" xfId="0" applyNumberFormat="1" applyBorder="1"/>
    <xf numFmtId="0" fontId="4" fillId="0" borderId="14" xfId="0" applyFont="1" applyBorder="1"/>
    <xf numFmtId="170" fontId="0" fillId="0" borderId="0" xfId="0" applyNumberFormat="1"/>
    <xf numFmtId="168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0" xfId="0" applyNumberFormat="1"/>
    <xf numFmtId="2" fontId="0" fillId="7" borderId="9" xfId="0" applyNumberFormat="1" applyFill="1" applyBorder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5" fontId="0" fillId="0" borderId="16" xfId="0" applyNumberFormat="1" applyBorder="1"/>
    <xf numFmtId="171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5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172" fontId="0" fillId="0" borderId="0" xfId="0" applyNumberFormat="1"/>
    <xf numFmtId="9" fontId="0" fillId="0" borderId="0" xfId="3" applyFon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0" fontId="0" fillId="0" borderId="0" xfId="0" applyBorder="1"/>
    <xf numFmtId="168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8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8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8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4" fontId="3" fillId="0" borderId="7" xfId="1" applyFont="1" applyBorder="1" applyAlignment="1">
      <alignment horizontal="center" vertical="center"/>
    </xf>
    <xf numFmtId="164" fontId="0" fillId="0" borderId="1" xfId="1" applyFont="1" applyFill="1" applyBorder="1" applyAlignment="1">
      <alignment horizontal="center" vertical="center"/>
    </xf>
    <xf numFmtId="16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8" fontId="7" fillId="11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5" fontId="0" fillId="8" borderId="9" xfId="0" applyNumberFormat="1" applyFill="1" applyBorder="1" applyAlignment="1">
      <alignment horizontal="center" vertical="center"/>
    </xf>
    <xf numFmtId="167" fontId="0" fillId="5" borderId="4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167" fontId="0" fillId="5" borderId="10" xfId="0" applyNumberFormat="1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5" fontId="0" fillId="5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65" fontId="0" fillId="6" borderId="6" xfId="0" applyNumberFormat="1" applyFill="1" applyBorder="1" applyAlignment="1">
      <alignment horizontal="center" vertical="center"/>
    </xf>
    <xf numFmtId="165" fontId="0" fillId="6" borderId="7" xfId="0" applyNumberForma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8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8" fontId="0" fillId="0" borderId="18" xfId="0" applyNumberFormat="1" applyBorder="1" applyAlignment="1">
      <alignment horizontal="center" vertical="center"/>
    </xf>
    <xf numFmtId="168" fontId="0" fillId="0" borderId="12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16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2" fontId="0" fillId="0" borderId="0" xfId="3" applyNumberFormat="1" applyFont="1" applyAlignment="1">
      <alignment horizontal="center" vertical="center"/>
    </xf>
    <xf numFmtId="0" fontId="4" fillId="14" borderId="26" xfId="5" applyAlignment="1">
      <alignment horizontal="center" vertical="center"/>
    </xf>
    <xf numFmtId="172" fontId="4" fillId="14" borderId="26" xfId="5" applyNumberFormat="1" applyAlignment="1">
      <alignment horizontal="center" vertical="center"/>
    </xf>
    <xf numFmtId="0" fontId="4" fillId="14" borderId="26" xfId="5"/>
    <xf numFmtId="9" fontId="4" fillId="14" borderId="26" xfId="5" applyNumberFormat="1" applyAlignment="1">
      <alignment horizontal="center" vertical="center"/>
    </xf>
    <xf numFmtId="0" fontId="4" fillId="14" borderId="26" xfId="5" applyAlignment="1">
      <alignment horizontal="center" vertical="center" wrapText="1"/>
    </xf>
    <xf numFmtId="0" fontId="8" fillId="13" borderId="0" xfId="4" applyAlignment="1">
      <alignment horizontal="center" vertical="center"/>
    </xf>
    <xf numFmtId="9" fontId="8" fillId="13" borderId="0" xfId="4" applyNumberFormat="1" applyAlignment="1">
      <alignment horizontal="center" vertical="center"/>
    </xf>
    <xf numFmtId="172" fontId="8" fillId="13" borderId="0" xfId="4" applyNumberFormat="1" applyAlignment="1">
      <alignment horizontal="center" vertical="center"/>
    </xf>
    <xf numFmtId="0" fontId="7" fillId="14" borderId="26" xfId="5" applyFont="1" applyAlignment="1">
      <alignment horizontal="center" vertical="center"/>
    </xf>
    <xf numFmtId="0" fontId="9" fillId="13" borderId="0" xfId="4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6">
    <cellStyle name="Check Cell" xfId="5" builtinId="23"/>
    <cellStyle name="Currency" xfId="1" builtinId="4"/>
    <cellStyle name="Good" xfId="2" builtinId="26"/>
    <cellStyle name="Neutral" xfId="4" builtinId="28"/>
    <cellStyle name="Normal" xfId="0" builtinId="0"/>
    <cellStyle name="Percent" xfId="3" builtinId="5"/>
  </cellStyles>
  <dxfs count="65">
    <dxf>
      <fill>
        <patternFill>
          <bgColor rgb="FFFF0000"/>
        </patternFill>
      </fill>
    </dxf>
    <dxf>
      <font>
        <b/>
      </font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177" formatCode="\+\ #.##0\ \C\O\P;\-\ #.##0\ \C\O\P;0\ \C\O\P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72" formatCode="#,##0.00\ [$COP]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numFmt numFmtId="169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8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9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0203702437328001"/>
                  <c:y val="0.143069690380035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1"/>
              <c:layout>
                <c:manualLayout>
                  <c:x val="-8.4395581450189827E-2"/>
                  <c:y val="-0.19253460356908633"/>
                </c:manualLayout>
              </c:layout>
              <c:tx>
                <c:rich>
                  <a:bodyPr/>
                  <a:lstStyle/>
                  <a:p>
                    <a:fld id="{FB828A8A-2CE1-4C0E-8F8C-24D612AA7312}" type="CATEGORYNAME">
                      <a:rPr lang="en-US" sz="120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8CD0A6-0479-4332-90E0-399363384740}" type="PERCENTAGE">
                      <a:rPr lang="en-US" sz="1200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7E-45E7-ABDF-76F6552DF737}"/>
                </c:ext>
              </c:extLst>
            </c:dLbl>
            <c:dLbl>
              <c:idx val="2"/>
              <c:layout>
                <c:manualLayout>
                  <c:x val="-8.973916869527321E-4"/>
                  <c:y val="-0.1064885575230402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1727698630196988"/>
                  <c:y val="3.1594076835456085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Portfolio!$E$17:$E$21</c:f>
              <c:strCache>
                <c:ptCount val="5"/>
                <c:pt idx="0">
                  <c:v>EUR*</c:v>
                </c:pt>
                <c:pt idx="1">
                  <c:v>USD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Portfolio!$F$17:$F$21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508690</xdr:colOff>
      <xdr:row>6</xdr:row>
      <xdr:rowOff>11015</xdr:rowOff>
    </xdr:from>
    <xdr:to>
      <xdr:col>14</xdr:col>
      <xdr:colOff>813096</xdr:colOff>
      <xdr:row>21</xdr:row>
      <xdr:rowOff>4784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6" totalsRowShown="0" headerRowDxfId="64" headerRowBorderDxfId="63" tableBorderDxfId="62" totalsRowBorderDxfId="61">
  <autoFilter ref="G7:M16" xr:uid="{D12B85FF-207C-4D5B-9D71-17F000E82BA2}"/>
  <tableColumns count="7">
    <tableColumn id="1" xr3:uid="{2B7E95C1-DECA-4AEE-BDEF-3A0B4A1FF392}" name="Expense" dataDxfId="60"/>
    <tableColumn id="2" xr3:uid="{3BF96C8D-03B0-41B0-B988-8791620F79BF}" name="Unit Cost" dataDxfId="59"/>
    <tableColumn id="3" xr3:uid="{3065075C-2E97-4560-8473-35A37808B5F3}" name="Times/Month"/>
    <tableColumn id="4" xr3:uid="{0E68B4B4-0092-46B6-9598-F0521EA5EC7E}" name="Total Cost" dataDxfId="58">
      <calculatedColumnFormula>H8*I8</calculatedColumnFormula>
    </tableColumn>
    <tableColumn id="5" xr3:uid="{10738E51-758B-45FB-9DD0-02C14BC2D40D}" name="After Benefits" dataDxfId="57"/>
    <tableColumn id="6" xr3:uid="{07D186C7-DB64-4AC7-BA70-8DC5B9E3A51B}" name="Pay Date (day)" dataDxfId="56"/>
    <tableColumn id="7" xr3:uid="{8B8904EF-9CF0-47D9-8BCB-78EF6DD7F607}" name="Additional Information" dataDxfId="5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32:F34" totalsRowShown="0" headerRowDxfId="54" dataDxfId="53" tableBorderDxfId="52">
  <autoFilter ref="C32:F34" xr:uid="{66334954-402F-42CF-93F5-A72360F2D070}"/>
  <tableColumns count="4">
    <tableColumn id="1" xr3:uid="{7008F60E-B49B-4429-A785-DABF540532D2}" name=" " dataDxfId="51"/>
    <tableColumn id="2" xr3:uid="{7AA8370E-90CC-4DED-878E-C49D41DF4160}" name="Goal" dataDxfId="50">
      <calculatedColumnFormula>24000*D27</calculatedColumnFormula>
    </tableColumn>
    <tableColumn id="3" xr3:uid="{F5EB769A-6764-44FD-A678-979868FCC64D}" name="Time till Germany (from 05.08.2025) [months]" dataDxfId="49">
      <calculatedColumnFormula>_xlfn.CEILING.MATH((D33-$D$23-$D$5+'Another Expenses'!G2)/$D$21)</calculatedColumnFormula>
    </tableColumn>
    <tableColumn id="4" xr3:uid="{458996D1-0FCE-433A-A2D6-31A1409ED603}" name="Expected Date" dataDxfId="48">
      <calculatedColumnFormula>EDATE(DATE(YEAR($B$2), MONTH($B$2), $E$8),E33)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785617-0173-4EE0-B271-24F483A6FC5D}" name="Table8" displayName="Table8" ref="C7:E14" totalsRowShown="0" headerRowDxfId="47" dataDxfId="45" headerRowBorderDxfId="46" tableBorderDxfId="44" totalsRowBorderDxfId="43">
  <autoFilter ref="C7:E14" xr:uid="{EE785617-0173-4EE0-B271-24F483A6FC5D}"/>
  <tableColumns count="3">
    <tableColumn id="1" xr3:uid="{B8D1B94D-65F4-44AF-BB8A-B3944537254D}" name="Income" dataDxfId="42"/>
    <tableColumn id="2" xr3:uid="{70B9C461-0699-4DD9-88DF-A4BC104B1E84}" name="Unit Cost" dataDxfId="41"/>
    <tableColumn id="3" xr3:uid="{0F428774-E799-4A75-AF01-1FEB7C7BB60B}" name="Pay Date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39" headerRowBorderDxfId="38" tableBorderDxfId="37" totalsRowBorderDxfId="36">
  <autoFilter ref="C7:F27" xr:uid="{BA8F843C-C6A6-4B02-9256-7DFE12B32092}"/>
  <tableColumns count="4">
    <tableColumn id="1" xr3:uid="{A7222D0C-F15D-4B37-8493-05007AD6DC97}" name="Description" dataDxfId="35"/>
    <tableColumn id="2" xr3:uid="{9873BCE0-3AFD-4035-A4F4-DDE3995CE8FF}" name="Incoming" dataDxfId="34"/>
    <tableColumn id="3" xr3:uid="{73BD4001-1956-4334-A204-BB3321930FA2}" name="Outcoming" dataDxfId="33" dataCellStyle="Currency"/>
    <tableColumn id="4" xr3:uid="{6189F130-2A64-446B-8A16-FBD00F7771AC}" name="Notes" dataDxfId="3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31" dataDxfId="29" headerRowBorderDxfId="30" tableBorderDxfId="28" totalsRowBorderDxfId="27">
  <autoFilter ref="H7:J27" xr:uid="{F7CD279B-A932-4C0F-8D8F-D149C918CAA1}"/>
  <tableColumns count="3">
    <tableColumn id="1" xr3:uid="{516245D1-012B-4614-97CB-8E191CA93F41}" name="Name" dataDxfId="26"/>
    <tableColumn id="2" xr3:uid="{41E5D36C-6A21-4BF1-972B-BA27C450EDE2}" name="Amount" dataDxfId="25"/>
    <tableColumn id="3" xr3:uid="{8ADFD3E1-24FE-45CE-8A72-696379253170}" name="Notes" dataDxfId="24" dataCellStyle="Currenc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16:H21" totalsRowShown="0" headerRowDxfId="23">
  <autoFilter ref="E16:H21" xr:uid="{36A5E943-B17C-4ECF-8BB7-30335A174A27}"/>
  <tableColumns count="4">
    <tableColumn id="1" xr3:uid="{88178FBB-1C68-4443-9D29-711B96CC8F3C}" name="Investment Type" dataDxfId="22"/>
    <tableColumn id="2" xr3:uid="{AF13EBFA-AD22-4799-B232-349084129FC2}" name="Percentage" dataDxfId="21" dataCellStyle="Percent"/>
    <tableColumn id="3" xr3:uid="{06249914-8982-4D40-BF2A-A24479258B7E}" name="Current Amount" dataDxfId="2">
      <calculatedColumnFormula>Tracker!$D$2*Portfolio!F17</calculatedColumnFormula>
    </tableColumn>
    <tableColumn id="4" xr3:uid="{BE746FA0-4394-410B-BFFB-E4580C3454EF}" name="Notes" dataDxfId="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BEBB7D-CF47-44B7-B205-1CF0E218C6CA}" name="Table7" displayName="Table7" ref="E8:G14" totalsRowShown="0" headerRowDxfId="20" dataDxfId="19">
  <autoFilter ref="E8:G14" xr:uid="{56BEBB7D-CF47-44B7-B205-1CF0E218C6CA}"/>
  <tableColumns count="3">
    <tableColumn id="1" xr3:uid="{05264107-3C50-4DC4-BA66-3C598C57D362}" name="Condition" dataDxfId="18"/>
    <tableColumn id="2" xr3:uid="{4F494527-B966-4283-AC8D-DDFC53922A3A}" name="Action" dataDxfId="17"/>
    <tableColumn id="3" xr3:uid="{A8687214-DFD3-4202-A740-25119BF98217}" name="% Adjusted" dataDxfId="1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D22C32-1C4D-4F00-97CD-6D2B89C03A8F}" name="Table10" displayName="Table10" ref="E23:O31" totalsRowShown="0" headerRowDxfId="11" dataDxfId="12">
  <autoFilter ref="E23:O31" xr:uid="{73D22C32-1C4D-4F00-97CD-6D2B89C03A8F}"/>
  <tableColumns count="11">
    <tableColumn id="1" xr3:uid="{EF8D02AC-323D-45AB-AE15-91832BDC7B4E}" name="Date Bought" dataDxfId="15"/>
    <tableColumn id="2" xr3:uid="{712A0457-F103-4A5F-89A3-F38940B6301F}" name="Date Sold" dataDxfId="14"/>
    <tableColumn id="3" xr3:uid="{8B72E438-7296-4BE9-B114-652C18C0973F}" name="Asset" dataDxfId="10"/>
    <tableColumn id="4" xr3:uid="{C9EB17C7-CF17-4BB1-8390-4A0AA329B909}" name="Units" dataDxfId="8"/>
    <tableColumn id="5" xr3:uid="{38A379BB-56A1-4C91-8A79-E09D76997328}" name="Price Buy" dataDxfId="7"/>
    <tableColumn id="6" xr3:uid="{70D6BA55-3422-446B-A79B-9ED0B67E93BD}" name="Price Sell" dataDxfId="5"/>
    <tableColumn id="7" xr3:uid="{D264BB00-77B0-482C-925B-C8BD072B81A0}" name="Total Invested (COP)" dataDxfId="6"/>
    <tableColumn id="8" xr3:uid="{9369D078-2888-4CE1-919F-E9A0C05D615C}" name="Total Value" dataDxfId="9"/>
    <tableColumn id="9" xr3:uid="{313DF1E8-730D-4C1D-BB28-A01F2D131415}" name="Gain/Loss (COP)" dataDxfId="4">
      <calculatedColumnFormula>Table10[[#This Row],[Total Value]]-Table10[[#This Row],[Total Invested (COP)]]</calculatedColumnFormula>
    </tableColumn>
    <tableColumn id="10" xr3:uid="{CD1E921A-1374-4429-89D9-1676BA8642FB}" name="% Return" dataDxfId="3" dataCellStyle="Percent">
      <calculatedColumnFormula>Table10[[#This Row],[Gain/Loss (COP)]]*100/Table10[[#This Row],[Total Invested (COP)]]</calculatedColumnFormula>
    </tableColumn>
    <tableColumn id="11" xr3:uid="{36B25BAF-3792-45C1-AE34-3EDA3274070F}" name="Notes" dataDxfId="13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topLeftCell="A4" zoomScale="96" workbookViewId="0">
      <selection activeCell="D21" sqref="D21"/>
    </sheetView>
  </sheetViews>
  <sheetFormatPr defaultColWidth="9" defaultRowHeight="14.25"/>
  <cols>
    <col min="1" max="1" width="22.375" bestFit="1" customWidth="1"/>
    <col min="2" max="2" width="10.75" bestFit="1" customWidth="1"/>
    <col min="3" max="3" width="36.125" bestFit="1" customWidth="1"/>
    <col min="4" max="4" width="32" bestFit="1" customWidth="1"/>
    <col min="5" max="5" width="44.25" bestFit="1" customWidth="1"/>
    <col min="6" max="6" width="25.5" bestFit="1" customWidth="1"/>
    <col min="7" max="7" width="29.25" bestFit="1" customWidth="1"/>
    <col min="8" max="8" width="18.25" bestFit="1" customWidth="1"/>
    <col min="9" max="10" width="16.5" bestFit="1" customWidth="1"/>
    <col min="11" max="11" width="23.75" bestFit="1" customWidth="1"/>
    <col min="12" max="12" width="23.25" bestFit="1" customWidth="1"/>
    <col min="13" max="13" width="41.5" bestFit="1" customWidth="1"/>
  </cols>
  <sheetData>
    <row r="1" spans="1:13" ht="15">
      <c r="A1" s="16" t="s">
        <v>197</v>
      </c>
      <c r="B1" s="3">
        <v>45863</v>
      </c>
    </row>
    <row r="2" spans="1:13" ht="15">
      <c r="A2" s="16" t="s">
        <v>9</v>
      </c>
      <c r="B2" s="3">
        <v>46012</v>
      </c>
      <c r="D2" s="1"/>
    </row>
    <row r="4" spans="1:13" ht="15" thickBot="1"/>
    <row r="5" spans="1:13" ht="15.75" thickBot="1">
      <c r="C5" s="14" t="s">
        <v>269</v>
      </c>
      <c r="D5" s="17">
        <f>SUM(D8:D10)</f>
        <v>5533706.5128571428</v>
      </c>
      <c r="G5" s="14" t="s">
        <v>270</v>
      </c>
      <c r="H5" s="13">
        <f>SUM(K8:K16)</f>
        <v>1013568.5714285714</v>
      </c>
    </row>
    <row r="6" spans="1:13">
      <c r="D6" s="1"/>
    </row>
    <row r="7" spans="1:13" ht="15">
      <c r="C7" s="33" t="s">
        <v>216</v>
      </c>
      <c r="D7" s="34" t="s">
        <v>12</v>
      </c>
      <c r="E7" s="35" t="s">
        <v>217</v>
      </c>
      <c r="G7" s="33" t="s">
        <v>11</v>
      </c>
      <c r="H7" s="34" t="s">
        <v>12</v>
      </c>
      <c r="I7" s="34" t="s">
        <v>13</v>
      </c>
      <c r="J7" s="34" t="s">
        <v>14</v>
      </c>
      <c r="K7" s="35" t="s">
        <v>17</v>
      </c>
      <c r="L7" s="34" t="s">
        <v>211</v>
      </c>
      <c r="M7" s="39" t="s">
        <v>229</v>
      </c>
    </row>
    <row r="8" spans="1:13">
      <c r="C8" s="41" t="s">
        <v>6</v>
      </c>
      <c r="D8" s="80">
        <f>71254500/14</f>
        <v>5089607.1428571427</v>
      </c>
      <c r="E8" s="59">
        <v>25</v>
      </c>
      <c r="G8" s="41" t="s">
        <v>3</v>
      </c>
      <c r="H8" s="5">
        <v>250000</v>
      </c>
      <c r="I8" s="6">
        <v>1</v>
      </c>
      <c r="J8" s="5">
        <f t="shared" ref="J8:J13" si="0">H8*I8</f>
        <v>250000</v>
      </c>
      <c r="K8" s="9">
        <f>Tabla1[[#This Row],[Total Cost]]</f>
        <v>250000</v>
      </c>
      <c r="L8" s="28">
        <v>5</v>
      </c>
      <c r="M8" s="40" t="s">
        <v>212</v>
      </c>
    </row>
    <row r="9" spans="1:13">
      <c r="C9" s="41" t="s">
        <v>203</v>
      </c>
      <c r="D9" s="80">
        <f>241890.11/3</f>
        <v>80630.036666666667</v>
      </c>
      <c r="E9" s="59" t="s">
        <v>272</v>
      </c>
      <c r="G9" s="41" t="s">
        <v>2</v>
      </c>
      <c r="H9" s="5">
        <v>3550</v>
      </c>
      <c r="I9" s="6">
        <v>24</v>
      </c>
      <c r="J9" s="5">
        <f t="shared" si="0"/>
        <v>85200</v>
      </c>
      <c r="K9" s="9">
        <f t="shared" ref="K9:K14" si="1">J9</f>
        <v>85200</v>
      </c>
      <c r="L9" s="30">
        <f ca="1">A1048575+_xlfn.CEILING.MATH((TODAY()-A1048575)/21, 1)*21</f>
        <v>46237</v>
      </c>
      <c r="M9" s="40" t="s">
        <v>212</v>
      </c>
    </row>
    <row r="10" spans="1:13" ht="15" thickBot="1">
      <c r="C10" s="70" t="s">
        <v>268</v>
      </c>
      <c r="D10" s="89">
        <f>1090408/3</f>
        <v>363469.33333333331</v>
      </c>
      <c r="E10" s="89" t="s">
        <v>273</v>
      </c>
      <c r="G10" s="41" t="s">
        <v>210</v>
      </c>
      <c r="H10" s="5">
        <v>6400</v>
      </c>
      <c r="I10">
        <f>2*4</f>
        <v>8</v>
      </c>
      <c r="J10" s="5">
        <f t="shared" si="0"/>
        <v>51200</v>
      </c>
      <c r="K10" s="9">
        <f t="shared" si="1"/>
        <v>51200</v>
      </c>
      <c r="L10" s="28" t="s">
        <v>222</v>
      </c>
      <c r="M10" s="40" t="s">
        <v>212</v>
      </c>
    </row>
    <row r="11" spans="1:13">
      <c r="C11" s="86" t="s">
        <v>0</v>
      </c>
      <c r="D11" s="87">
        <f>35*D29</f>
        <v>113636.36363636365</v>
      </c>
      <c r="E11" s="88" t="s">
        <v>221</v>
      </c>
      <c r="G11" s="41" t="s">
        <v>1</v>
      </c>
      <c r="H11" s="5">
        <v>20000</v>
      </c>
      <c r="I11" s="6">
        <v>1</v>
      </c>
      <c r="J11" s="5">
        <f t="shared" si="0"/>
        <v>20000</v>
      </c>
      <c r="K11" s="9">
        <f t="shared" si="1"/>
        <v>20000</v>
      </c>
      <c r="L11" s="28">
        <v>23</v>
      </c>
      <c r="M11" s="40" t="s">
        <v>212</v>
      </c>
    </row>
    <row r="12" spans="1:13">
      <c r="C12" s="81" t="s">
        <v>18</v>
      </c>
      <c r="D12" s="82">
        <f>35*D30</f>
        <v>0</v>
      </c>
      <c r="E12" s="77" t="s">
        <v>212</v>
      </c>
      <c r="G12" s="41" t="s">
        <v>4</v>
      </c>
      <c r="H12" s="5">
        <f>$D$8*0.04</f>
        <v>203584.28571428571</v>
      </c>
      <c r="I12" s="6">
        <v>1</v>
      </c>
      <c r="J12" s="5">
        <f t="shared" si="0"/>
        <v>203584.28571428571</v>
      </c>
      <c r="K12" s="9">
        <f t="shared" si="1"/>
        <v>203584.28571428571</v>
      </c>
      <c r="L12" s="28">
        <v>25</v>
      </c>
      <c r="M12" s="40" t="s">
        <v>212</v>
      </c>
    </row>
    <row r="13" spans="1:13">
      <c r="C13" s="83" t="s">
        <v>15</v>
      </c>
      <c r="D13" s="84">
        <v>440000</v>
      </c>
      <c r="E13" s="78">
        <v>10</v>
      </c>
      <c r="G13" s="41" t="s">
        <v>5</v>
      </c>
      <c r="H13" s="5">
        <f>$D$8*0.04</f>
        <v>203584.28571428571</v>
      </c>
      <c r="I13" s="6">
        <v>1</v>
      </c>
      <c r="J13" s="5">
        <f t="shared" si="0"/>
        <v>203584.28571428571</v>
      </c>
      <c r="K13" s="9">
        <f t="shared" si="1"/>
        <v>203584.28571428571</v>
      </c>
      <c r="L13" s="28">
        <v>25</v>
      </c>
      <c r="M13" s="40" t="s">
        <v>212</v>
      </c>
    </row>
    <row r="14" spans="1:13">
      <c r="C14" s="85" t="s">
        <v>18</v>
      </c>
      <c r="D14" s="76">
        <f>D13-J15-J16</f>
        <v>342833.33333333331</v>
      </c>
      <c r="E14" s="79" t="s">
        <v>212</v>
      </c>
      <c r="G14" s="41" t="s">
        <v>228</v>
      </c>
      <c r="H14" s="5">
        <v>200000</v>
      </c>
      <c r="I14" s="6">
        <v>1</v>
      </c>
      <c r="J14" s="5">
        <f t="shared" ref="J14" si="2">H14*I14</f>
        <v>200000</v>
      </c>
      <c r="K14" s="9">
        <f t="shared" si="1"/>
        <v>200000</v>
      </c>
      <c r="L14" s="28">
        <v>25</v>
      </c>
      <c r="M14" s="40" t="s">
        <v>212</v>
      </c>
    </row>
    <row r="15" spans="1:13">
      <c r="G15" s="42" t="s">
        <v>7</v>
      </c>
      <c r="H15" s="10">
        <v>170000</v>
      </c>
      <c r="I15" s="32">
        <v>0.25</v>
      </c>
      <c r="J15" s="10">
        <f t="shared" ref="J15:J16" si="3">H15*I15</f>
        <v>42500</v>
      </c>
      <c r="K15" s="10">
        <v>0</v>
      </c>
      <c r="L15" s="29" t="s">
        <v>223</v>
      </c>
      <c r="M15" s="29" t="s">
        <v>232</v>
      </c>
    </row>
    <row r="16" spans="1:13">
      <c r="G16" s="42" t="s">
        <v>16</v>
      </c>
      <c r="H16" s="10">
        <v>205000</v>
      </c>
      <c r="I16" s="38">
        <f>1/3.75</f>
        <v>0.26666666666666666</v>
      </c>
      <c r="J16" s="10">
        <f t="shared" si="3"/>
        <v>54666.666666666664</v>
      </c>
      <c r="K16" s="11">
        <f>0</f>
        <v>0</v>
      </c>
      <c r="L16" s="29" t="s">
        <v>223</v>
      </c>
      <c r="M16" s="29" t="s">
        <v>233</v>
      </c>
    </row>
    <row r="20" spans="3:12" ht="15" thickBot="1"/>
    <row r="21" spans="3:12" ht="15.75" thickBot="1">
      <c r="C21" s="14" t="s">
        <v>271</v>
      </c>
      <c r="D21" s="12">
        <f>D5-H5</f>
        <v>4520137.9414285719</v>
      </c>
      <c r="G21" s="36" t="s">
        <v>224</v>
      </c>
      <c r="H21" s="37">
        <f>_xlfn.CEILING.MATH(SUM(K8,K10,K11,K14)/10000)*10000</f>
        <v>530000</v>
      </c>
    </row>
    <row r="23" spans="3:12">
      <c r="C23" s="4" t="str">
        <f>"Savings on " &amp; TEXT(B2, "tt.MM.jjjj")</f>
        <v>Savings on 21.12.2025</v>
      </c>
      <c r="D23" s="5">
        <v>39534682.670000002</v>
      </c>
    </row>
    <row r="24" spans="3:12">
      <c r="C24" s="27" t="s">
        <v>207</v>
      </c>
      <c r="D24" s="1"/>
    </row>
    <row r="25" spans="3:12">
      <c r="D25" s="1"/>
    </row>
    <row r="26" spans="3:12" ht="15" thickBot="1">
      <c r="C26" s="7"/>
      <c r="D26" s="7"/>
      <c r="E26" s="7"/>
      <c r="F26" s="7"/>
      <c r="G26" s="7"/>
      <c r="H26" s="7"/>
      <c r="I26" s="7"/>
      <c r="J26" s="7"/>
      <c r="K26" s="7"/>
      <c r="L26" s="7"/>
    </row>
    <row r="28" spans="3:12">
      <c r="C28" s="4" t="s">
        <v>64</v>
      </c>
      <c r="D28" s="5">
        <f>1/'COP Rates'!B46</f>
        <v>3703.7037037037035</v>
      </c>
    </row>
    <row r="29" spans="3:12">
      <c r="C29" s="4" t="s">
        <v>21</v>
      </c>
      <c r="D29" s="5">
        <f>1/'COP Rates'!B150</f>
        <v>3246.7532467532469</v>
      </c>
    </row>
    <row r="31" spans="3:12" ht="15">
      <c r="C31" s="15"/>
    </row>
    <row r="32" spans="3:12" ht="15">
      <c r="C32" s="18" t="s">
        <v>198</v>
      </c>
      <c r="D32" s="23" t="s">
        <v>8</v>
      </c>
      <c r="E32" s="23" t="s">
        <v>201</v>
      </c>
      <c r="F32" s="23" t="s">
        <v>196</v>
      </c>
    </row>
    <row r="33" spans="3:6" ht="15">
      <c r="C33" s="19" t="s">
        <v>199</v>
      </c>
      <c r="D33" s="20">
        <f>12000*D28</f>
        <v>44444444.44444444</v>
      </c>
      <c r="E33" s="21">
        <f>_xlfn.CEILING.MATH((D33-$D$23-$D$5+'Another Expenses'!G2)/$D$21)</f>
        <v>3</v>
      </c>
      <c r="F33" s="22">
        <f>EDATE(DATE(YEAR($B$2), MONTH($B$2), $E$8),E33)</f>
        <v>46106</v>
      </c>
    </row>
    <row r="34" spans="3:6" ht="15">
      <c r="C34" s="19" t="s">
        <v>200</v>
      </c>
      <c r="D34" s="20">
        <f>24000*D28</f>
        <v>88888888.888888881</v>
      </c>
      <c r="E34" s="21">
        <f>_xlfn.CEILING.MATH((D34-$D$23-$D$5+'Another Expenses'!G3)/$D$21)</f>
        <v>10</v>
      </c>
      <c r="F34" s="22">
        <f>EDATE(DATE(YEAR($B$2), MONTH($B$2), $E$8),E34)</f>
        <v>46320</v>
      </c>
    </row>
    <row r="1048575" spans="1:1">
      <c r="A1048575" s="31">
        <v>46048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C2:D2"/>
  <sheetViews>
    <sheetView workbookViewId="0">
      <selection activeCell="D2" sqref="D2"/>
    </sheetView>
  </sheetViews>
  <sheetFormatPr defaultRowHeight="14.25"/>
  <cols>
    <col min="4" max="4" width="17.25" bestFit="1" customWidth="1"/>
  </cols>
  <sheetData>
    <row r="2" spans="3:4">
      <c r="C2" t="s">
        <v>238</v>
      </c>
      <c r="D2" s="47">
        <v>50000000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D18" sqref="D18"/>
    </sheetView>
  </sheetViews>
  <sheetFormatPr defaultColWidth="9" defaultRowHeight="14.25"/>
  <cols>
    <col min="3" max="3" width="27.25" style="45" bestFit="1" customWidth="1"/>
    <col min="4" max="4" width="17.375" style="46" bestFit="1" customWidth="1"/>
    <col min="6" max="6" width="17.375" bestFit="1" customWidth="1"/>
    <col min="7" max="7" width="18.5" bestFit="1" customWidth="1"/>
  </cols>
  <sheetData>
    <row r="1" spans="3:7">
      <c r="C1"/>
      <c r="D1" s="2"/>
    </row>
    <row r="2" spans="3:7">
      <c r="C2" s="43" t="s">
        <v>214</v>
      </c>
      <c r="D2" s="44">
        <f>100*Main!D29</f>
        <v>324675.32467532466</v>
      </c>
      <c r="F2" s="4" t="s">
        <v>184</v>
      </c>
      <c r="G2" s="5">
        <f>SUM(D2:D29)</f>
        <v>10442172.649350649</v>
      </c>
    </row>
    <row r="3" spans="3:7">
      <c r="C3" s="43" t="s">
        <v>220</v>
      </c>
      <c r="D3" s="44">
        <v>490000</v>
      </c>
    </row>
    <row r="4" spans="3:7">
      <c r="C4" s="45" t="s">
        <v>10</v>
      </c>
      <c r="D4" s="46">
        <v>1788000</v>
      </c>
      <c r="G4" s="8"/>
    </row>
    <row r="5" spans="3:7">
      <c r="C5" s="43" t="s">
        <v>185</v>
      </c>
      <c r="D5" s="44">
        <f>100*Main!D29</f>
        <v>324675.32467532466</v>
      </c>
    </row>
    <row r="6" spans="3:7">
      <c r="C6" s="43" t="s">
        <v>188</v>
      </c>
      <c r="D6" s="44">
        <v>234220</v>
      </c>
    </row>
    <row r="7" spans="3:7">
      <c r="C7" s="43" t="s">
        <v>231</v>
      </c>
      <c r="D7" s="44">
        <v>14602</v>
      </c>
    </row>
    <row r="8" spans="3:7">
      <c r="C8" s="43" t="s">
        <v>187</v>
      </c>
      <c r="D8" s="44">
        <v>4500000</v>
      </c>
    </row>
    <row r="9" spans="3:7">
      <c r="C9" s="43" t="s">
        <v>186</v>
      </c>
      <c r="D9" s="44">
        <v>100000</v>
      </c>
    </row>
    <row r="10" spans="3:7">
      <c r="C10" s="45" t="s">
        <v>189</v>
      </c>
      <c r="D10" s="46">
        <f>650000+730000-500000</f>
        <v>880000</v>
      </c>
    </row>
    <row r="11" spans="3:7">
      <c r="C11" s="43" t="s">
        <v>195</v>
      </c>
      <c r="D11" s="44">
        <v>200000</v>
      </c>
    </row>
    <row r="12" spans="3:7">
      <c r="C12" s="43" t="s">
        <v>202</v>
      </c>
      <c r="D12" s="44">
        <v>262000</v>
      </c>
    </row>
    <row r="13" spans="3:7">
      <c r="C13" s="43" t="s">
        <v>208</v>
      </c>
      <c r="D13" s="44">
        <v>204000</v>
      </c>
    </row>
    <row r="14" spans="3:7">
      <c r="C14" s="43" t="s">
        <v>213</v>
      </c>
      <c r="D14" s="44">
        <v>120000</v>
      </c>
    </row>
    <row r="15" spans="3:7">
      <c r="C15" s="45" t="s">
        <v>215</v>
      </c>
      <c r="D15" s="46" t="s">
        <v>212</v>
      </c>
    </row>
    <row r="16" spans="3:7">
      <c r="C16" s="43" t="s">
        <v>230</v>
      </c>
      <c r="D16" s="44">
        <v>100000</v>
      </c>
    </row>
    <row r="17" spans="3:4">
      <c r="C17" s="43" t="s">
        <v>241</v>
      </c>
      <c r="D17" s="44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33"/>
  <sheetViews>
    <sheetView topLeftCell="A3" zoomScale="83" workbookViewId="0">
      <selection activeCell="C3" sqref="C3"/>
    </sheetView>
  </sheetViews>
  <sheetFormatPr defaultColWidth="11" defaultRowHeight="14.25"/>
  <cols>
    <col min="3" max="3" width="25.75" bestFit="1" customWidth="1"/>
    <col min="4" max="4" width="15.625" bestFit="1" customWidth="1"/>
    <col min="5" max="5" width="15" bestFit="1" customWidth="1"/>
    <col min="6" max="6" width="15" customWidth="1"/>
    <col min="8" max="8" width="19.875" bestFit="1" customWidth="1"/>
    <col min="9" max="9" width="15.125" bestFit="1" customWidth="1"/>
    <col min="10" max="10" width="20.125" bestFit="1" customWidth="1"/>
    <col min="11" max="11" width="13.125" bestFit="1" customWidth="1"/>
    <col min="12" max="12" width="15.625" bestFit="1" customWidth="1"/>
    <col min="13" max="13" width="17.25" bestFit="1" customWidth="1"/>
    <col min="14" max="14" width="20.125" bestFit="1" customWidth="1"/>
  </cols>
  <sheetData>
    <row r="2" spans="2:12" ht="15" thickBot="1"/>
    <row r="3" spans="2:12" ht="15.75" thickBot="1">
      <c r="B3" s="72" t="s">
        <v>194</v>
      </c>
      <c r="C3" s="73">
        <f>D28+I28</f>
        <v>52631379.670000002</v>
      </c>
      <c r="D3" s="25"/>
      <c r="E3" s="26"/>
      <c r="F3" s="26"/>
      <c r="L3" s="24"/>
    </row>
    <row r="5" spans="2:12" ht="15" thickBot="1"/>
    <row r="6" spans="2:12" ht="15.75" thickBot="1">
      <c r="C6" s="93" t="s">
        <v>190</v>
      </c>
      <c r="D6" s="94"/>
      <c r="E6" s="94"/>
      <c r="F6" s="95"/>
      <c r="H6" s="90" t="s">
        <v>206</v>
      </c>
      <c r="I6" s="91"/>
      <c r="J6" s="92"/>
    </row>
    <row r="7" spans="2:12" ht="15">
      <c r="C7" s="66" t="s">
        <v>247</v>
      </c>
      <c r="D7" s="65" t="s">
        <v>245</v>
      </c>
      <c r="E7" s="65" t="s">
        <v>246</v>
      </c>
      <c r="F7" s="61" t="s">
        <v>204</v>
      </c>
      <c r="H7" s="33" t="s">
        <v>19</v>
      </c>
      <c r="I7" s="34" t="s">
        <v>205</v>
      </c>
      <c r="J7" s="67" t="s">
        <v>204</v>
      </c>
    </row>
    <row r="8" spans="2:12">
      <c r="C8" s="55" t="s">
        <v>191</v>
      </c>
      <c r="D8" s="51">
        <f>316170</f>
        <v>316170</v>
      </c>
      <c r="E8" s="51"/>
      <c r="F8" s="57"/>
      <c r="H8" s="41" t="s">
        <v>203</v>
      </c>
      <c r="I8" s="68">
        <v>10211609.67</v>
      </c>
      <c r="J8" s="69" t="s">
        <v>242</v>
      </c>
    </row>
    <row r="9" spans="2:12">
      <c r="C9" s="55" t="s">
        <v>193</v>
      </c>
      <c r="D9" s="51">
        <f>500000-(730000+200000)+600000</f>
        <v>170000</v>
      </c>
      <c r="E9" s="51"/>
      <c r="F9" s="58"/>
      <c r="H9" s="41" t="s">
        <v>268</v>
      </c>
      <c r="I9" s="68">
        <v>37000000</v>
      </c>
      <c r="J9" s="69" t="s">
        <v>274</v>
      </c>
    </row>
    <row r="10" spans="2:12">
      <c r="C10" s="55" t="s">
        <v>192</v>
      </c>
      <c r="D10" s="51">
        <v>5400000</v>
      </c>
      <c r="E10" s="51"/>
      <c r="F10" s="58"/>
      <c r="H10" s="41"/>
      <c r="I10" s="68"/>
      <c r="J10" s="69"/>
    </row>
    <row r="11" spans="2:12">
      <c r="C11" s="55" t="s">
        <v>243</v>
      </c>
      <c r="D11" s="51"/>
      <c r="E11" s="51">
        <v>300000</v>
      </c>
      <c r="F11" s="58"/>
      <c r="H11" s="41"/>
      <c r="I11" s="68"/>
      <c r="J11" s="69"/>
    </row>
    <row r="12" spans="2:12">
      <c r="C12" s="55" t="s">
        <v>209</v>
      </c>
      <c r="D12" s="51"/>
      <c r="E12" s="51">
        <v>100000</v>
      </c>
      <c r="F12" s="58"/>
      <c r="H12" s="41"/>
      <c r="I12" s="68"/>
      <c r="J12" s="69"/>
    </row>
    <row r="13" spans="2:12">
      <c r="C13" s="55" t="s">
        <v>218</v>
      </c>
      <c r="D13" s="51"/>
      <c r="E13" s="51">
        <v>48000</v>
      </c>
      <c r="F13" s="58"/>
      <c r="H13" s="41"/>
      <c r="I13" s="68"/>
      <c r="J13" s="69"/>
    </row>
    <row r="14" spans="2:12">
      <c r="C14" s="55" t="s">
        <v>219</v>
      </c>
      <c r="D14" s="51"/>
      <c r="E14" s="51">
        <v>18400</v>
      </c>
      <c r="F14" s="58"/>
      <c r="H14" s="41"/>
      <c r="I14" s="68"/>
      <c r="J14" s="69"/>
    </row>
    <row r="15" spans="2:12">
      <c r="C15" s="55"/>
      <c r="D15" s="51"/>
      <c r="E15" s="51"/>
      <c r="F15" s="58"/>
      <c r="H15" s="41"/>
      <c r="I15" s="68"/>
      <c r="J15" s="69"/>
    </row>
    <row r="16" spans="2:12">
      <c r="C16" s="55"/>
      <c r="D16" s="51"/>
      <c r="E16" s="51"/>
      <c r="F16" s="58"/>
      <c r="H16" s="41"/>
      <c r="I16" s="68"/>
      <c r="J16" s="69"/>
    </row>
    <row r="17" spans="3:14">
      <c r="C17" s="55"/>
      <c r="D17" s="51"/>
      <c r="E17" s="51"/>
      <c r="F17" s="58"/>
      <c r="H17" s="41"/>
      <c r="I17" s="68"/>
      <c r="J17" s="69"/>
    </row>
    <row r="18" spans="3:14">
      <c r="C18" s="55"/>
      <c r="D18" s="51"/>
      <c r="E18" s="51"/>
      <c r="F18" s="58"/>
      <c r="H18" s="41"/>
      <c r="I18" s="68"/>
      <c r="J18" s="69"/>
    </row>
    <row r="19" spans="3:14">
      <c r="C19" s="55"/>
      <c r="D19" s="51"/>
      <c r="E19" s="51"/>
      <c r="F19" s="58"/>
      <c r="H19" s="41"/>
      <c r="I19" s="68"/>
      <c r="J19" s="69"/>
    </row>
    <row r="20" spans="3:14">
      <c r="C20" s="55"/>
      <c r="D20" s="51"/>
      <c r="E20" s="51"/>
      <c r="F20" s="58"/>
      <c r="H20" s="41"/>
      <c r="I20" s="68"/>
      <c r="J20" s="69"/>
    </row>
    <row r="21" spans="3:14">
      <c r="C21" s="55"/>
      <c r="D21" s="51"/>
      <c r="E21" s="51"/>
      <c r="F21" s="58"/>
      <c r="H21" s="41"/>
      <c r="I21" s="68"/>
      <c r="J21" s="69"/>
    </row>
    <row r="22" spans="3:14">
      <c r="C22" s="55"/>
      <c r="D22" s="51"/>
      <c r="E22" s="51"/>
      <c r="F22" s="58"/>
      <c r="H22" s="41"/>
      <c r="I22" s="68"/>
      <c r="J22" s="69"/>
    </row>
    <row r="23" spans="3:14">
      <c r="C23" s="55"/>
      <c r="D23" s="51"/>
      <c r="E23" s="51"/>
      <c r="F23" s="58"/>
      <c r="H23" s="41"/>
      <c r="I23" s="68"/>
      <c r="J23" s="69"/>
    </row>
    <row r="24" spans="3:14">
      <c r="C24" s="55"/>
      <c r="D24" s="51"/>
      <c r="E24" s="51"/>
      <c r="F24" s="58"/>
      <c r="H24" s="41"/>
      <c r="I24" s="68"/>
      <c r="J24" s="69"/>
    </row>
    <row r="25" spans="3:14">
      <c r="C25" s="41"/>
      <c r="D25" s="45"/>
      <c r="E25" s="51"/>
      <c r="F25" s="59"/>
      <c r="H25" s="41"/>
      <c r="I25" s="68"/>
      <c r="J25" s="69"/>
    </row>
    <row r="26" spans="3:14">
      <c r="C26" s="41"/>
      <c r="D26" s="45"/>
      <c r="E26" s="51"/>
      <c r="F26" s="59"/>
      <c r="H26" s="41"/>
      <c r="I26" s="68"/>
      <c r="J26" s="69"/>
    </row>
    <row r="27" spans="3:14" ht="15" thickBot="1">
      <c r="C27" s="56"/>
      <c r="D27" s="52"/>
      <c r="E27" s="53"/>
      <c r="F27" s="60"/>
      <c r="H27" s="70"/>
      <c r="I27" s="68"/>
      <c r="J27" s="71"/>
      <c r="K27" s="50"/>
      <c r="L27" s="50"/>
      <c r="M27" s="50"/>
      <c r="N27" s="50"/>
    </row>
    <row r="28" spans="3:14" ht="15.75" thickBot="1">
      <c r="C28" s="62" t="s">
        <v>244</v>
      </c>
      <c r="D28" s="96">
        <f>SUM(Table5[Incoming])-SUM(Table5[Outcoming])</f>
        <v>5419770</v>
      </c>
      <c r="E28" s="97"/>
      <c r="F28" s="98"/>
      <c r="H28" s="54" t="s">
        <v>244</v>
      </c>
      <c r="I28" s="99">
        <f>SUM(Table6[Amount])</f>
        <v>47211609.670000002</v>
      </c>
      <c r="J28" s="100"/>
      <c r="K28" s="63"/>
      <c r="L28" s="50"/>
      <c r="M28" s="50"/>
      <c r="N28" s="50"/>
    </row>
    <row r="29" spans="3:14">
      <c r="K29" s="50"/>
      <c r="L29" s="50"/>
      <c r="M29" s="50"/>
      <c r="N29" s="64"/>
    </row>
    <row r="30" spans="3:14">
      <c r="K30" s="50"/>
      <c r="L30" s="50"/>
      <c r="M30" s="50"/>
      <c r="N30" s="50"/>
    </row>
    <row r="31" spans="3:14">
      <c r="K31" s="50"/>
      <c r="L31" s="50"/>
      <c r="M31" s="50"/>
      <c r="N31" s="50"/>
    </row>
    <row r="32" spans="3:14">
      <c r="K32" s="50"/>
      <c r="L32" s="50"/>
      <c r="M32" s="50"/>
      <c r="N32" s="50"/>
    </row>
    <row r="33" spans="11:14">
      <c r="K33" s="50"/>
      <c r="L33" s="50"/>
      <c r="M33" s="50"/>
      <c r="N33" s="50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5:AE32"/>
  <sheetViews>
    <sheetView tabSelected="1" topLeftCell="F6" zoomScale="82" workbookViewId="0">
      <selection activeCell="C1" sqref="C1"/>
    </sheetView>
  </sheetViews>
  <sheetFormatPr defaultRowHeight="14.25"/>
  <cols>
    <col min="5" max="5" width="25.125" bestFit="1" customWidth="1"/>
    <col min="6" max="6" width="32.375" bestFit="1" customWidth="1"/>
    <col min="7" max="7" width="24.25" bestFit="1" customWidth="1"/>
    <col min="8" max="8" width="45.625" bestFit="1" customWidth="1"/>
    <col min="9" max="10" width="14.375" bestFit="1" customWidth="1"/>
    <col min="11" max="11" width="24.5" bestFit="1" customWidth="1"/>
    <col min="12" max="12" width="16" bestFit="1" customWidth="1"/>
    <col min="13" max="13" width="20.625" bestFit="1" customWidth="1"/>
    <col min="14" max="14" width="14.125" bestFit="1" customWidth="1"/>
    <col min="15" max="15" width="11.375" bestFit="1" customWidth="1"/>
    <col min="19" max="19" width="22.125" bestFit="1" customWidth="1"/>
    <col min="20" max="20" width="10.75" customWidth="1"/>
    <col min="21" max="21" width="10.75" bestFit="1" customWidth="1"/>
    <col min="22" max="22" width="10.625" bestFit="1" customWidth="1"/>
    <col min="23" max="24" width="13.625" bestFit="1" customWidth="1"/>
    <col min="25" max="25" width="23.75" bestFit="1" customWidth="1"/>
    <col min="26" max="26" width="20.75" bestFit="1" customWidth="1"/>
    <col min="27" max="27" width="19.75" bestFit="1" customWidth="1"/>
    <col min="28" max="28" width="13.125" bestFit="1" customWidth="1"/>
    <col min="29" max="29" width="10.625" bestFit="1" customWidth="1"/>
  </cols>
  <sheetData>
    <row r="5" spans="5:31">
      <c r="AB5" s="101"/>
      <c r="AC5" s="101"/>
      <c r="AD5" s="101"/>
      <c r="AE5" s="101"/>
    </row>
    <row r="8" spans="5:31" ht="15">
      <c r="E8" s="75" t="s">
        <v>255</v>
      </c>
      <c r="F8" s="75" t="s">
        <v>256</v>
      </c>
      <c r="G8" s="75" t="s">
        <v>257</v>
      </c>
    </row>
    <row r="9" spans="5:31" ht="28.5">
      <c r="E9" s="75" t="s">
        <v>248</v>
      </c>
      <c r="F9" s="74" t="s">
        <v>262</v>
      </c>
      <c r="G9" s="74" t="s">
        <v>249</v>
      </c>
    </row>
    <row r="10" spans="5:31" ht="15">
      <c r="E10" s="75" t="s">
        <v>250</v>
      </c>
      <c r="F10" s="74" t="s">
        <v>260</v>
      </c>
      <c r="G10" s="74" t="s">
        <v>258</v>
      </c>
    </row>
    <row r="11" spans="5:31" ht="28.5">
      <c r="E11" s="75" t="s">
        <v>251</v>
      </c>
      <c r="F11" s="74" t="s">
        <v>261</v>
      </c>
      <c r="G11" s="74" t="s">
        <v>252</v>
      </c>
    </row>
    <row r="12" spans="5:31" ht="15">
      <c r="E12" s="75" t="s">
        <v>253</v>
      </c>
      <c r="F12" s="74" t="s">
        <v>260</v>
      </c>
      <c r="G12" s="74" t="s">
        <v>258</v>
      </c>
    </row>
    <row r="13" spans="5:31" ht="29.25" thickBot="1">
      <c r="E13" s="75" t="s">
        <v>263</v>
      </c>
      <c r="F13" s="74" t="s">
        <v>259</v>
      </c>
      <c r="G13" s="74" t="s">
        <v>254</v>
      </c>
    </row>
    <row r="14" spans="5:31" ht="31.5" thickTop="1" thickBot="1">
      <c r="E14" s="110" t="s">
        <v>267</v>
      </c>
      <c r="F14" s="110" t="s">
        <v>265</v>
      </c>
      <c r="G14" s="110" t="s">
        <v>266</v>
      </c>
    </row>
    <row r="15" spans="5:31" ht="15" thickTop="1"/>
    <row r="16" spans="5:31" ht="15" thickBot="1">
      <c r="E16" s="40" t="s">
        <v>240</v>
      </c>
      <c r="F16" s="40" t="s">
        <v>237</v>
      </c>
      <c r="G16" s="40" t="s">
        <v>239</v>
      </c>
      <c r="H16" s="40" t="s">
        <v>204</v>
      </c>
    </row>
    <row r="17" spans="5:15" ht="16.5" thickTop="1" thickBot="1">
      <c r="E17" s="106" t="s">
        <v>264</v>
      </c>
      <c r="F17" s="109">
        <v>0.3</v>
      </c>
      <c r="G17" s="107">
        <f>Tracker!$D$2*Portfolio!F17</f>
        <v>15000000</v>
      </c>
      <c r="H17" s="114" t="s">
        <v>291</v>
      </c>
    </row>
    <row r="18" spans="5:15" ht="15.75" thickTop="1">
      <c r="E18" s="111" t="s">
        <v>21</v>
      </c>
      <c r="F18" s="112">
        <v>0.15</v>
      </c>
      <c r="G18" s="113">
        <f>Tracker!$D$2*Portfolio!F18</f>
        <v>7500000</v>
      </c>
      <c r="H18" s="115" t="s">
        <v>292</v>
      </c>
    </row>
    <row r="19" spans="5:15" ht="15">
      <c r="E19" s="40" t="s">
        <v>235</v>
      </c>
      <c r="F19" s="48">
        <v>0.1</v>
      </c>
      <c r="G19" s="49">
        <f>Tracker!$D$2*Portfolio!F19</f>
        <v>5000000</v>
      </c>
      <c r="H19" s="116"/>
    </row>
    <row r="20" spans="5:15" ht="15">
      <c r="E20" s="40" t="s">
        <v>234</v>
      </c>
      <c r="F20" s="48">
        <v>0.44</v>
      </c>
      <c r="G20" s="49">
        <f>Tracker!$D$2*Portfolio!F20</f>
        <v>22000000</v>
      </c>
      <c r="H20" s="116" t="s">
        <v>290</v>
      </c>
    </row>
    <row r="21" spans="5:15" ht="15">
      <c r="E21" s="111" t="s">
        <v>236</v>
      </c>
      <c r="F21" s="112">
        <f>1-SUM(F17:F20)</f>
        <v>1.0000000000000009E-2</v>
      </c>
      <c r="G21" s="113">
        <f>Tracker!$D$2*Portfolio!F21</f>
        <v>500000.00000000047</v>
      </c>
      <c r="H21" s="115" t="s">
        <v>293</v>
      </c>
    </row>
    <row r="23" spans="5:15">
      <c r="E23" s="40" t="s">
        <v>275</v>
      </c>
      <c r="F23" s="40" t="s">
        <v>276</v>
      </c>
      <c r="G23" s="40" t="s">
        <v>277</v>
      </c>
      <c r="H23" s="40" t="s">
        <v>278</v>
      </c>
      <c r="I23" s="40" t="s">
        <v>279</v>
      </c>
      <c r="J23" s="40" t="s">
        <v>280</v>
      </c>
      <c r="K23" s="40" t="s">
        <v>281</v>
      </c>
      <c r="L23" s="40" t="s">
        <v>289</v>
      </c>
      <c r="M23" s="40" t="s">
        <v>282</v>
      </c>
      <c r="N23" s="40" t="s">
        <v>283</v>
      </c>
      <c r="O23" s="40" t="s">
        <v>204</v>
      </c>
    </row>
    <row r="24" spans="5:15">
      <c r="E24" s="102">
        <v>46219</v>
      </c>
      <c r="F24" s="102" t="s">
        <v>212</v>
      </c>
      <c r="G24" s="40" t="s">
        <v>21</v>
      </c>
      <c r="H24" s="103"/>
      <c r="I24" s="103">
        <v>3237.3</v>
      </c>
      <c r="J24" s="103" t="s">
        <v>212</v>
      </c>
      <c r="K24" s="49">
        <v>3000000</v>
      </c>
      <c r="L24" s="49" t="s">
        <v>212</v>
      </c>
      <c r="M24" s="104" t="e">
        <f>Table10[[#This Row],[Total Value]]-Table10[[#This Row],[Total Invested (COP)]]</f>
        <v>#VALUE!</v>
      </c>
      <c r="N24" s="105" t="e">
        <f>Table10[[#This Row],[Gain/Loss (COP)]]*100/Table10[[#This Row],[Total Invested (COP)]]</f>
        <v>#VALUE!</v>
      </c>
      <c r="O24" s="40"/>
    </row>
    <row r="25" spans="5:15" ht="15" thickBot="1">
      <c r="E25" s="102" t="s">
        <v>212</v>
      </c>
      <c r="F25" s="102" t="s">
        <v>212</v>
      </c>
      <c r="G25" s="40" t="s">
        <v>21</v>
      </c>
      <c r="H25" s="103"/>
      <c r="I25" s="103" t="s">
        <v>212</v>
      </c>
      <c r="J25" s="103" t="s">
        <v>212</v>
      </c>
      <c r="K25" s="49">
        <v>3500000</v>
      </c>
      <c r="L25" s="49" t="s">
        <v>212</v>
      </c>
      <c r="M25" s="104" t="e">
        <f>Table10[[#This Row],[Total Value]]-Table10[[#This Row],[Total Invested (COP)]]</f>
        <v>#VALUE!</v>
      </c>
      <c r="N25" s="105" t="e">
        <f>Table10[[#This Row],[Gain/Loss (COP)]]*100/Table10[[#This Row],[Total Invested (COP)]]</f>
        <v>#VALUE!</v>
      </c>
      <c r="O25" s="40"/>
    </row>
    <row r="26" spans="5:15" ht="16.5" thickTop="1" thickBot="1">
      <c r="E26" s="108" t="s">
        <v>212</v>
      </c>
      <c r="F26" s="108" t="s">
        <v>212</v>
      </c>
      <c r="G26" s="108" t="s">
        <v>64</v>
      </c>
      <c r="H26" s="108" t="s">
        <v>212</v>
      </c>
      <c r="I26" s="108" t="s">
        <v>212</v>
      </c>
      <c r="J26" s="108" t="s">
        <v>212</v>
      </c>
      <c r="K26" s="108" t="s">
        <v>212</v>
      </c>
      <c r="L26" s="108" t="s">
        <v>212</v>
      </c>
      <c r="M26" s="108" t="e">
        <f>Table10[[#This Row],[Total Value]]-Table10[[#This Row],[Total Invested (COP)]]</f>
        <v>#VALUE!</v>
      </c>
      <c r="N26" s="108" t="e">
        <f>Table10[[#This Row],[Gain/Loss (COP)]]*100/Table10[[#This Row],[Total Invested (COP)]]</f>
        <v>#VALUE!</v>
      </c>
      <c r="O26" s="108"/>
    </row>
    <row r="27" spans="5:15" ht="16.5" thickTop="1" thickBot="1">
      <c r="E27" s="108" t="s">
        <v>212</v>
      </c>
      <c r="F27" s="108" t="s">
        <v>212</v>
      </c>
      <c r="G27" s="108" t="s">
        <v>284</v>
      </c>
      <c r="H27" s="108" t="s">
        <v>212</v>
      </c>
      <c r="I27" s="108" t="s">
        <v>212</v>
      </c>
      <c r="J27" s="108" t="s">
        <v>212</v>
      </c>
      <c r="K27" s="108" t="s">
        <v>212</v>
      </c>
      <c r="L27" s="108" t="s">
        <v>212</v>
      </c>
      <c r="M27" s="108" t="e">
        <f>Table10[[#This Row],[Total Value]]-Table10[[#This Row],[Total Invested (COP)]]</f>
        <v>#VALUE!</v>
      </c>
      <c r="N27" s="108" t="e">
        <f>Table10[[#This Row],[Gain/Loss (COP)]]*100/Table10[[#This Row],[Total Invested (COP)]]</f>
        <v>#VALUE!</v>
      </c>
      <c r="O27" s="108"/>
    </row>
    <row r="28" spans="5:15" ht="16.5" thickTop="1" thickBot="1">
      <c r="E28" s="108" t="s">
        <v>212</v>
      </c>
      <c r="F28" s="108" t="s">
        <v>212</v>
      </c>
      <c r="G28" s="108" t="s">
        <v>285</v>
      </c>
      <c r="H28" s="108" t="s">
        <v>212</v>
      </c>
      <c r="I28" s="108" t="s">
        <v>212</v>
      </c>
      <c r="J28" s="108" t="s">
        <v>212</v>
      </c>
      <c r="K28" s="108" t="s">
        <v>212</v>
      </c>
      <c r="L28" s="108" t="s">
        <v>212</v>
      </c>
      <c r="M28" s="108" t="e">
        <f>Table10[[#This Row],[Total Value]]-Table10[[#This Row],[Total Invested (COP)]]</f>
        <v>#VALUE!</v>
      </c>
      <c r="N28" s="108" t="e">
        <f>Table10[[#This Row],[Gain/Loss (COP)]]*100/Table10[[#This Row],[Total Invested (COP)]]</f>
        <v>#VALUE!</v>
      </c>
      <c r="O28" s="108"/>
    </row>
    <row r="29" spans="5:15" ht="16.5" thickTop="1" thickBot="1">
      <c r="E29" s="108" t="s">
        <v>212</v>
      </c>
      <c r="F29" s="108" t="s">
        <v>212</v>
      </c>
      <c r="G29" s="108" t="s">
        <v>286</v>
      </c>
      <c r="H29" s="108" t="s">
        <v>212</v>
      </c>
      <c r="I29" s="108" t="s">
        <v>212</v>
      </c>
      <c r="J29" s="108" t="s">
        <v>212</v>
      </c>
      <c r="K29" s="108" t="s">
        <v>212</v>
      </c>
      <c r="L29" s="108" t="s">
        <v>212</v>
      </c>
      <c r="M29" s="108" t="e">
        <f>Table10[[#This Row],[Total Value]]-Table10[[#This Row],[Total Invested (COP)]]</f>
        <v>#VALUE!</v>
      </c>
      <c r="N29" s="108" t="e">
        <f>Table10[[#This Row],[Gain/Loss (COP)]]*100/Table10[[#This Row],[Total Invested (COP)]]</f>
        <v>#VALUE!</v>
      </c>
      <c r="O29" s="108"/>
    </row>
    <row r="30" spans="5:15" ht="16.5" thickTop="1" thickBot="1">
      <c r="E30" s="108" t="s">
        <v>212</v>
      </c>
      <c r="F30" s="108" t="s">
        <v>212</v>
      </c>
      <c r="G30" s="108" t="s">
        <v>287</v>
      </c>
      <c r="H30" s="108" t="s">
        <v>212</v>
      </c>
      <c r="I30" s="108" t="s">
        <v>212</v>
      </c>
      <c r="J30" s="108" t="s">
        <v>212</v>
      </c>
      <c r="K30" s="108" t="s">
        <v>212</v>
      </c>
      <c r="L30" s="108" t="s">
        <v>212</v>
      </c>
      <c r="M30" s="108" t="e">
        <f>Table10[[#This Row],[Total Value]]-Table10[[#This Row],[Total Invested (COP)]]</f>
        <v>#VALUE!</v>
      </c>
      <c r="N30" s="108" t="e">
        <f>Table10[[#This Row],[Gain/Loss (COP)]]*100/Table10[[#This Row],[Total Invested (COP)]]</f>
        <v>#VALUE!</v>
      </c>
      <c r="O30" s="108"/>
    </row>
    <row r="31" spans="5:15" ht="16.5" thickTop="1" thickBot="1">
      <c r="E31" s="108" t="s">
        <v>212</v>
      </c>
      <c r="F31" s="108" t="s">
        <v>212</v>
      </c>
      <c r="G31" s="108" t="s">
        <v>288</v>
      </c>
      <c r="H31" s="108" t="s">
        <v>212</v>
      </c>
      <c r="I31" s="108" t="s">
        <v>212</v>
      </c>
      <c r="J31" s="108" t="s">
        <v>212</v>
      </c>
      <c r="K31" s="108" t="s">
        <v>212</v>
      </c>
      <c r="L31" s="108" t="s">
        <v>212</v>
      </c>
      <c r="M31" s="108" t="e">
        <f>Table10[[#This Row],[Total Value]]-Table10[[#This Row],[Total Invested (COP)]]</f>
        <v>#VALUE!</v>
      </c>
      <c r="N31" s="108" t="e">
        <f>Table10[[#This Row],[Gain/Loss (COP)]]*100/Table10[[#This Row],[Total Invested (COP)]]</f>
        <v>#VALUE!</v>
      </c>
      <c r="O31" s="108"/>
    </row>
    <row r="32" spans="5:15" ht="15" thickTop="1"/>
  </sheetData>
  <mergeCells count="2">
    <mergeCell ref="AB5:AC5"/>
    <mergeCell ref="AD5:AE5"/>
  </mergeCells>
  <conditionalFormatting sqref="F17:F21">
    <cfRule type="expression" dxfId="0" priority="1">
      <formula>SUM($F$17:$F$21)&lt;&gt;1</formula>
    </cfRule>
  </conditionalFormatting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workbookViewId="0">
      <selection activeCell="B2" sqref="B2"/>
    </sheetView>
  </sheetViews>
  <sheetFormatPr defaultColWidth="11" defaultRowHeight="14.25"/>
  <cols>
    <col min="1" max="1" width="7.875" bestFit="1" customWidth="1"/>
    <col min="2" max="2" width="10.875" bestFit="1" customWidth="1"/>
  </cols>
  <sheetData>
    <row r="1" spans="1:2">
      <c r="A1" t="s">
        <v>19</v>
      </c>
      <c r="B1" t="s">
        <v>20</v>
      </c>
    </row>
    <row r="2" spans="1:2">
      <c r="A2" t="s">
        <v>52</v>
      </c>
      <c r="B2">
        <v>1</v>
      </c>
    </row>
    <row r="3" spans="1:2">
      <c r="A3" t="s">
        <v>22</v>
      </c>
      <c r="B3">
        <v>1.1310000000000001E-3</v>
      </c>
    </row>
    <row r="4" spans="1:2">
      <c r="A4" t="s">
        <v>23</v>
      </c>
      <c r="B4">
        <v>2.0330999999999998E-2</v>
      </c>
    </row>
    <row r="5" spans="1:2">
      <c r="A5" t="s">
        <v>24</v>
      </c>
      <c r="B5">
        <v>2.5288000000000001E-2</v>
      </c>
    </row>
    <row r="6" spans="1:2">
      <c r="A6" t="s">
        <v>25</v>
      </c>
      <c r="B6">
        <v>0.112806</v>
      </c>
    </row>
    <row r="7" spans="1:2">
      <c r="A7" t="s">
        <v>26</v>
      </c>
      <c r="B7">
        <v>5.5099999999999995E-4</v>
      </c>
    </row>
    <row r="8" spans="1:2">
      <c r="A8" t="s">
        <v>27</v>
      </c>
      <c r="B8">
        <v>0.28293600000000002</v>
      </c>
    </row>
    <row r="9" spans="1:2">
      <c r="A9" t="s">
        <v>28</v>
      </c>
      <c r="B9">
        <v>0.45439200000000002</v>
      </c>
    </row>
    <row r="10" spans="1:2">
      <c r="A10" t="s">
        <v>29</v>
      </c>
      <c r="B10">
        <v>4.4299999999999998E-4</v>
      </c>
    </row>
    <row r="11" spans="1:2">
      <c r="A11" t="s">
        <v>30</v>
      </c>
      <c r="B11">
        <v>5.5099999999999995E-4</v>
      </c>
    </row>
    <row r="12" spans="1:2">
      <c r="A12" t="s">
        <v>31</v>
      </c>
      <c r="B12">
        <v>5.2400000000000005E-4</v>
      </c>
    </row>
    <row r="13" spans="1:2">
      <c r="A13" t="s">
        <v>32</v>
      </c>
      <c r="B13">
        <v>5.2800000000000004E-4</v>
      </c>
    </row>
    <row r="14" spans="1:2">
      <c r="A14" t="s">
        <v>33</v>
      </c>
      <c r="B14">
        <v>6.1600000000000001E-4</v>
      </c>
    </row>
    <row r="15" spans="1:2">
      <c r="A15" t="s">
        <v>34</v>
      </c>
      <c r="B15">
        <v>3.7985999999999999E-2</v>
      </c>
    </row>
    <row r="16" spans="1:2">
      <c r="A16" t="s">
        <v>35</v>
      </c>
      <c r="B16">
        <v>5.2800000000000004E-4</v>
      </c>
    </row>
    <row r="17" spans="1:2">
      <c r="A17" t="s">
        <v>36</v>
      </c>
      <c r="B17">
        <v>1.16E-4</v>
      </c>
    </row>
    <row r="18" spans="1:2">
      <c r="A18" t="s">
        <v>37</v>
      </c>
      <c r="B18">
        <v>0.91915899999999995</v>
      </c>
    </row>
    <row r="19" spans="1:2">
      <c r="A19" t="s">
        <v>38</v>
      </c>
      <c r="B19">
        <v>3.0800000000000001E-4</v>
      </c>
    </row>
    <row r="20" spans="1:2">
      <c r="A20" t="s">
        <v>39</v>
      </c>
      <c r="B20">
        <v>3.9899999999999999E-4</v>
      </c>
    </row>
    <row r="21" spans="1:2">
      <c r="A21" t="s">
        <v>40</v>
      </c>
      <c r="B21">
        <v>3.2070000000000002E-3</v>
      </c>
    </row>
    <row r="22" spans="1:2">
      <c r="A22" t="s">
        <v>41</v>
      </c>
      <c r="B22">
        <v>1.57E-3</v>
      </c>
    </row>
    <row r="23" spans="1:2">
      <c r="A23" t="s">
        <v>42</v>
      </c>
      <c r="B23">
        <v>3.0800000000000001E-4</v>
      </c>
    </row>
    <row r="24" spans="1:2">
      <c r="A24" t="s">
        <v>43</v>
      </c>
      <c r="B24">
        <v>2.9690999999999999E-2</v>
      </c>
    </row>
    <row r="25" spans="1:2">
      <c r="A25" t="s">
        <v>44</v>
      </c>
      <c r="B25">
        <v>4.241E-3</v>
      </c>
    </row>
    <row r="26" spans="1:2">
      <c r="A26" t="s">
        <v>45</v>
      </c>
      <c r="B26">
        <v>8.8900000000000003E-4</v>
      </c>
    </row>
    <row r="27" spans="1:2">
      <c r="A27" t="s">
        <v>46</v>
      </c>
      <c r="B27">
        <v>6.1600000000000001E-4</v>
      </c>
    </row>
    <row r="28" spans="1:2">
      <c r="A28" t="s">
        <v>47</v>
      </c>
      <c r="B28">
        <v>4.3399999999999998E-4</v>
      </c>
    </row>
    <row r="29" spans="1:2">
      <c r="A29" t="s">
        <v>48</v>
      </c>
      <c r="B29">
        <v>0.708754</v>
      </c>
    </row>
    <row r="30" spans="1:2">
      <c r="A30" t="s">
        <v>49</v>
      </c>
      <c r="B30">
        <v>2.5000000000000001E-4</v>
      </c>
    </row>
    <row r="31" spans="1:2">
      <c r="A31" t="s">
        <v>225</v>
      </c>
      <c r="B31">
        <v>6.9999999999999999E-6</v>
      </c>
    </row>
    <row r="32" spans="1:2">
      <c r="A32" t="s">
        <v>50</v>
      </c>
      <c r="B32">
        <v>0.28649599999999997</v>
      </c>
    </row>
    <row r="33" spans="1:2">
      <c r="A33" t="s">
        <v>226</v>
      </c>
      <c r="B33">
        <v>2.091E-3</v>
      </c>
    </row>
    <row r="34" spans="1:2">
      <c r="A34" t="s">
        <v>51</v>
      </c>
      <c r="B34">
        <v>2.088E-3</v>
      </c>
    </row>
    <row r="35" spans="1:2">
      <c r="A35" t="s">
        <v>53</v>
      </c>
      <c r="B35">
        <v>0.13992199999999999</v>
      </c>
    </row>
    <row r="36" spans="1:2">
      <c r="A36" t="s">
        <v>54</v>
      </c>
      <c r="B36">
        <v>7.391E-3</v>
      </c>
    </row>
    <row r="37" spans="1:2">
      <c r="A37" t="s">
        <v>55</v>
      </c>
      <c r="B37">
        <v>2.9783E-2</v>
      </c>
    </row>
    <row r="38" spans="1:2">
      <c r="A38" t="s">
        <v>56</v>
      </c>
      <c r="B38">
        <v>6.5490000000000001E-3</v>
      </c>
    </row>
    <row r="39" spans="1:2">
      <c r="A39" t="s">
        <v>57</v>
      </c>
      <c r="B39">
        <v>5.4732999999999997E-2</v>
      </c>
    </row>
    <row r="40" spans="1:2">
      <c r="A40" t="s">
        <v>58</v>
      </c>
      <c r="B40">
        <v>2.0149999999999999E-3</v>
      </c>
    </row>
    <row r="41" spans="1:2">
      <c r="A41" t="s">
        <v>59</v>
      </c>
      <c r="B41">
        <v>1.8009000000000001E-2</v>
      </c>
    </row>
    <row r="42" spans="1:2">
      <c r="A42" t="s">
        <v>60</v>
      </c>
      <c r="B42">
        <v>4.1021000000000002E-2</v>
      </c>
    </row>
    <row r="43" spans="1:2">
      <c r="A43" t="s">
        <v>61</v>
      </c>
      <c r="B43">
        <v>1.5575E-2</v>
      </c>
    </row>
    <row r="44" spans="1:2">
      <c r="A44" t="s">
        <v>62</v>
      </c>
      <c r="B44">
        <v>4.62E-3</v>
      </c>
    </row>
    <row r="45" spans="1:2">
      <c r="A45" t="s">
        <v>63</v>
      </c>
      <c r="B45">
        <v>4.9293999999999998E-2</v>
      </c>
    </row>
    <row r="46" spans="1:2">
      <c r="A46" t="s">
        <v>64</v>
      </c>
      <c r="B46">
        <v>2.7E-4</v>
      </c>
    </row>
    <row r="47" spans="1:2">
      <c r="A47" t="s">
        <v>65</v>
      </c>
      <c r="B47">
        <v>6.8599999999999998E-4</v>
      </c>
    </row>
    <row r="48" spans="1:2">
      <c r="A48" t="s">
        <v>66</v>
      </c>
      <c r="B48">
        <v>2.3000000000000001E-4</v>
      </c>
    </row>
    <row r="49" spans="1:2">
      <c r="A49" t="s">
        <v>67</v>
      </c>
      <c r="B49">
        <v>2.0149999999999999E-3</v>
      </c>
    </row>
    <row r="50" spans="1:2">
      <c r="A50" t="s">
        <v>68</v>
      </c>
      <c r="B50">
        <v>2.3000000000000001E-4</v>
      </c>
    </row>
    <row r="51" spans="1:2">
      <c r="A51" t="s">
        <v>69</v>
      </c>
      <c r="B51">
        <v>8.0900000000000004E-4</v>
      </c>
    </row>
    <row r="52" spans="1:2">
      <c r="A52" t="s">
        <v>70</v>
      </c>
      <c r="B52">
        <v>2.3000000000000001E-4</v>
      </c>
    </row>
    <row r="53" spans="1:2">
      <c r="A53" t="s">
        <v>71</v>
      </c>
      <c r="B53">
        <v>3.5430000000000001E-3</v>
      </c>
    </row>
    <row r="54" spans="1:2">
      <c r="A54" t="s">
        <v>72</v>
      </c>
      <c r="B54">
        <v>2.3000000000000001E-4</v>
      </c>
    </row>
    <row r="55" spans="1:2">
      <c r="A55" t="s">
        <v>73</v>
      </c>
      <c r="B55">
        <v>2.2883000000000001E-2</v>
      </c>
    </row>
    <row r="56" spans="1:2">
      <c r="A56" t="s">
        <v>74</v>
      </c>
      <c r="B56">
        <v>2.7031869999999998</v>
      </c>
    </row>
    <row r="57" spans="1:2">
      <c r="A57" t="s">
        <v>75</v>
      </c>
      <c r="B57">
        <v>2.3500000000000001E-3</v>
      </c>
    </row>
    <row r="58" spans="1:2">
      <c r="A58" t="s">
        <v>76</v>
      </c>
      <c r="B58">
        <v>6.4423999999999995E-2</v>
      </c>
    </row>
    <row r="59" spans="1:2">
      <c r="A59" t="s">
        <v>77</v>
      </c>
      <c r="B59">
        <v>2.4199999999999998E-3</v>
      </c>
    </row>
    <row r="60" spans="1:2">
      <c r="A60" t="s">
        <v>78</v>
      </c>
      <c r="B60">
        <v>8.2500000000000004E-3</v>
      </c>
    </row>
    <row r="61" spans="1:2">
      <c r="A61" t="s">
        <v>79</v>
      </c>
      <c r="B61">
        <v>2.0349999999999999E-3</v>
      </c>
    </row>
    <row r="62" spans="1:2">
      <c r="A62" t="s">
        <v>80</v>
      </c>
      <c r="B62">
        <v>4.0239999999999998E-2</v>
      </c>
    </row>
    <row r="63" spans="1:2">
      <c r="A63" t="s">
        <v>81</v>
      </c>
      <c r="B63">
        <v>9.6991999999999995E-2</v>
      </c>
    </row>
    <row r="64" spans="1:2">
      <c r="A64" t="s">
        <v>82</v>
      </c>
      <c r="B64">
        <v>5.58467</v>
      </c>
    </row>
    <row r="65" spans="1:2">
      <c r="A65" t="s">
        <v>83</v>
      </c>
      <c r="B65">
        <v>9.3000000000000005E-4</v>
      </c>
    </row>
    <row r="66" spans="1:2">
      <c r="A66" t="s">
        <v>84</v>
      </c>
      <c r="B66">
        <v>2.3000000000000001E-4</v>
      </c>
    </row>
    <row r="67" spans="1:2">
      <c r="A67" t="s">
        <v>85</v>
      </c>
      <c r="B67">
        <v>2.9690999999999999E-2</v>
      </c>
    </row>
    <row r="68" spans="1:2">
      <c r="A68" t="s">
        <v>86</v>
      </c>
      <c r="B68">
        <v>0.40335599999999999</v>
      </c>
    </row>
    <row r="69" spans="1:2">
      <c r="A69" t="s">
        <v>87</v>
      </c>
      <c r="B69">
        <v>422.101449</v>
      </c>
    </row>
    <row r="70" spans="1:2">
      <c r="A70" t="s">
        <v>88</v>
      </c>
      <c r="B70">
        <v>3.8725999999999997E-2</v>
      </c>
    </row>
    <row r="71" spans="1:2">
      <c r="A71" t="s">
        <v>89</v>
      </c>
      <c r="B71">
        <v>2.3000000000000001E-4</v>
      </c>
    </row>
    <row r="72" spans="1:2">
      <c r="A72" t="s">
        <v>90</v>
      </c>
      <c r="B72">
        <v>4.8866E-2</v>
      </c>
    </row>
    <row r="73" spans="1:2">
      <c r="A73" t="s">
        <v>91</v>
      </c>
      <c r="B73">
        <v>2.1800000000000001E-4</v>
      </c>
    </row>
    <row r="74" spans="1:2">
      <c r="A74" t="s">
        <v>92</v>
      </c>
      <c r="B74">
        <v>5.0083999999999997E-2</v>
      </c>
    </row>
    <row r="75" spans="1:2">
      <c r="A75" t="s">
        <v>93</v>
      </c>
      <c r="B75">
        <v>3.984E-2</v>
      </c>
    </row>
    <row r="76" spans="1:2">
      <c r="A76" t="s">
        <v>94</v>
      </c>
      <c r="B76">
        <v>2.6943999999999999E-2</v>
      </c>
    </row>
    <row r="77" spans="1:2">
      <c r="A77" t="s">
        <v>95</v>
      </c>
      <c r="B77">
        <v>1.244936</v>
      </c>
    </row>
    <row r="78" spans="1:2">
      <c r="A78" t="s">
        <v>96</v>
      </c>
      <c r="B78">
        <v>4.4299999999999998E-4</v>
      </c>
    </row>
    <row r="79" spans="1:2">
      <c r="A79" t="s">
        <v>97</v>
      </c>
      <c r="B79">
        <v>0.13288</v>
      </c>
    </row>
    <row r="80" spans="1:2">
      <c r="A80" t="s">
        <v>98</v>
      </c>
      <c r="B80">
        <v>0.46124399999999999</v>
      </c>
    </row>
    <row r="81" spans="1:2">
      <c r="A81" t="s">
        <v>99</v>
      </c>
      <c r="B81">
        <v>9.5000000000000005E-5</v>
      </c>
    </row>
    <row r="82" spans="1:2">
      <c r="A82" t="s">
        <v>100</v>
      </c>
      <c r="B82">
        <v>2.5700000000000001E-4</v>
      </c>
    </row>
    <row r="83" spans="1:2">
      <c r="A83" t="s">
        <v>101</v>
      </c>
      <c r="B83">
        <v>0.14457300000000001</v>
      </c>
    </row>
    <row r="84" spans="1:2">
      <c r="A84" t="s">
        <v>102</v>
      </c>
      <c r="B84">
        <v>6.8900709999999998</v>
      </c>
    </row>
    <row r="85" spans="1:2">
      <c r="A85" t="s">
        <v>103</v>
      </c>
      <c r="B85">
        <v>27.563299000000001</v>
      </c>
    </row>
    <row r="86" spans="1:2">
      <c r="A86" t="s">
        <v>104</v>
      </c>
      <c r="B86">
        <v>0.103592</v>
      </c>
    </row>
    <row r="87" spans="1:2">
      <c r="A87" t="s">
        <v>105</v>
      </c>
      <c r="B87">
        <v>5.5896000000000001E-2</v>
      </c>
    </row>
    <row r="88" spans="1:2">
      <c r="A88" t="s">
        <v>106</v>
      </c>
      <c r="B88">
        <v>5.0549999999999996E-3</v>
      </c>
    </row>
    <row r="89" spans="1:2">
      <c r="A89" t="s">
        <v>107</v>
      </c>
      <c r="B89">
        <v>1.9729999999999999E-3</v>
      </c>
    </row>
    <row r="90" spans="1:2">
      <c r="A90" t="s">
        <v>108</v>
      </c>
      <c r="B90">
        <v>2.875E-3</v>
      </c>
    </row>
    <row r="91" spans="1:2">
      <c r="A91" t="s">
        <v>109</v>
      </c>
      <c r="B91">
        <v>5.4229999999999999E-3</v>
      </c>
    </row>
    <row r="92" spans="1:2">
      <c r="A92" t="s">
        <v>110</v>
      </c>
      <c r="B92">
        <v>1.318449</v>
      </c>
    </row>
    <row r="93" spans="1:2">
      <c r="A93" t="s">
        <v>111</v>
      </c>
      <c r="B93">
        <v>1.6580999999999999E-2</v>
      </c>
    </row>
    <row r="94" spans="1:2">
      <c r="A94" t="s">
        <v>112</v>
      </c>
      <c r="B94">
        <v>0.64764600000000005</v>
      </c>
    </row>
    <row r="95" spans="1:2">
      <c r="A95" t="s">
        <v>113</v>
      </c>
      <c r="B95">
        <v>1.103745</v>
      </c>
    </row>
    <row r="96" spans="1:2">
      <c r="A96" t="s">
        <v>114</v>
      </c>
      <c r="B96">
        <v>2.4919999999999999E-3</v>
      </c>
    </row>
    <row r="97" spans="1:2">
      <c r="A97" t="s">
        <v>115</v>
      </c>
      <c r="B97">
        <v>1.2331999999999999E-2</v>
      </c>
    </row>
    <row r="98" spans="1:2">
      <c r="A98" t="s">
        <v>116</v>
      </c>
      <c r="B98">
        <v>1.4537E-2</v>
      </c>
    </row>
    <row r="99" spans="1:2">
      <c r="A99" t="s">
        <v>117</v>
      </c>
      <c r="B99">
        <v>4.7629999999999999E-3</v>
      </c>
    </row>
    <row r="100" spans="1:2">
      <c r="A100" t="s">
        <v>118</v>
      </c>
      <c r="B100">
        <v>0.53447999999999996</v>
      </c>
    </row>
    <row r="101" spans="1:2">
      <c r="A101" t="s">
        <v>119</v>
      </c>
      <c r="B101">
        <v>5.3829999999999998E-3</v>
      </c>
    </row>
    <row r="102" spans="1:2">
      <c r="A102" t="s">
        <v>120</v>
      </c>
      <c r="B102">
        <v>1.2570000000000001E-3</v>
      </c>
    </row>
    <row r="103" spans="1:2">
      <c r="A103" t="s">
        <v>121</v>
      </c>
      <c r="B103">
        <v>1.9678000000000001E-2</v>
      </c>
    </row>
    <row r="104" spans="1:2">
      <c r="A104" t="s">
        <v>122</v>
      </c>
      <c r="B104">
        <v>5.0549999999999996E-3</v>
      </c>
    </row>
    <row r="105" spans="1:2">
      <c r="A105" t="s">
        <v>123</v>
      </c>
      <c r="B105">
        <v>0.42522300000000002</v>
      </c>
    </row>
    <row r="106" spans="1:2">
      <c r="A106" t="s">
        <v>124</v>
      </c>
      <c r="B106">
        <v>1.1337E-2</v>
      </c>
    </row>
    <row r="107" spans="1:2">
      <c r="A107" t="s">
        <v>125</v>
      </c>
      <c r="B107">
        <v>2.9889999999999999E-3</v>
      </c>
    </row>
    <row r="108" spans="1:2">
      <c r="A108" t="s">
        <v>126</v>
      </c>
      <c r="B108">
        <v>4.7504999999999999E-2</v>
      </c>
    </row>
    <row r="109" spans="1:2">
      <c r="A109" t="s">
        <v>127</v>
      </c>
      <c r="B109">
        <v>5.31E-4</v>
      </c>
    </row>
    <row r="110" spans="1:2">
      <c r="A110" t="s">
        <v>128</v>
      </c>
      <c r="B110">
        <v>1.18E-4</v>
      </c>
    </row>
    <row r="111" spans="1:2">
      <c r="A111" t="s">
        <v>129</v>
      </c>
      <c r="B111">
        <v>3.0800000000000001E-4</v>
      </c>
    </row>
    <row r="112" spans="1:2">
      <c r="A112" t="s">
        <v>130</v>
      </c>
      <c r="B112">
        <v>1.0499999999999999E-3</v>
      </c>
    </row>
    <row r="113" spans="1:2">
      <c r="A113" t="s">
        <v>131</v>
      </c>
      <c r="B113">
        <v>1.3550000000000001E-3</v>
      </c>
    </row>
    <row r="114" spans="1:2">
      <c r="A114" t="s">
        <v>132</v>
      </c>
      <c r="B114">
        <v>1.9035E-2</v>
      </c>
    </row>
    <row r="115" spans="1:2">
      <c r="A115" t="s">
        <v>133</v>
      </c>
      <c r="B115">
        <v>8.5753999999999997E-2</v>
      </c>
    </row>
    <row r="116" spans="1:2">
      <c r="A116" t="s">
        <v>134</v>
      </c>
      <c r="B116">
        <v>1.1670000000000001E-3</v>
      </c>
    </row>
    <row r="117" spans="1:2">
      <c r="A117" t="s">
        <v>135</v>
      </c>
      <c r="B117">
        <v>1.8653120000000001</v>
      </c>
    </row>
    <row r="118" spans="1:2">
      <c r="A118" t="s">
        <v>136</v>
      </c>
      <c r="B118">
        <v>1.121E-3</v>
      </c>
    </row>
    <row r="119" spans="1:2">
      <c r="A119" t="s">
        <v>137</v>
      </c>
      <c r="B119">
        <v>1.4159999999999999E-3</v>
      </c>
    </row>
    <row r="120" spans="1:2">
      <c r="A120" t="s">
        <v>138</v>
      </c>
      <c r="B120">
        <v>3.1627000000000002E-2</v>
      </c>
    </row>
    <row r="121" spans="1:2">
      <c r="A121" t="s">
        <v>139</v>
      </c>
      <c r="B121">
        <v>2.3980000000000001E-2</v>
      </c>
    </row>
    <row r="122" spans="1:2">
      <c r="A122" t="s">
        <v>140</v>
      </c>
      <c r="B122">
        <v>0.453204</v>
      </c>
    </row>
    <row r="123" spans="1:2">
      <c r="A123" t="s">
        <v>141</v>
      </c>
      <c r="B123">
        <v>1.155E-3</v>
      </c>
    </row>
    <row r="124" spans="1:2">
      <c r="A124" t="s">
        <v>142</v>
      </c>
      <c r="B124">
        <v>2.4659999999999999E-3</v>
      </c>
    </row>
    <row r="125" spans="1:2">
      <c r="A125" t="s">
        <v>143</v>
      </c>
      <c r="B125">
        <v>4.3369999999999997E-3</v>
      </c>
    </row>
    <row r="126" spans="1:2">
      <c r="A126" t="s">
        <v>144</v>
      </c>
      <c r="B126">
        <v>0.167521</v>
      </c>
    </row>
    <row r="127" spans="1:2">
      <c r="A127" t="s">
        <v>145</v>
      </c>
      <c r="B127">
        <v>2.98E-3</v>
      </c>
    </row>
    <row r="128" spans="1:2">
      <c r="A128" t="s">
        <v>146</v>
      </c>
      <c r="B128">
        <v>3.9899999999999999E-4</v>
      </c>
    </row>
    <row r="129" spans="1:2">
      <c r="A129" t="s">
        <v>147</v>
      </c>
      <c r="B129">
        <v>2.3000000000000001E-4</v>
      </c>
    </row>
    <row r="130" spans="1:2">
      <c r="A130" t="s">
        <v>148</v>
      </c>
      <c r="B130">
        <v>7.4869999999999997E-3</v>
      </c>
    </row>
    <row r="131" spans="1:2">
      <c r="A131" t="s">
        <v>149</v>
      </c>
      <c r="B131">
        <v>7.4871470000000002</v>
      </c>
    </row>
    <row r="132" spans="1:2">
      <c r="A132" t="s">
        <v>150</v>
      </c>
      <c r="B132">
        <v>0.17605000000000001</v>
      </c>
    </row>
    <row r="133" spans="1:2">
      <c r="A133" t="s">
        <v>151</v>
      </c>
      <c r="B133">
        <v>1.1643000000000001E-2</v>
      </c>
    </row>
    <row r="134" spans="1:2">
      <c r="A134" t="s">
        <v>152</v>
      </c>
      <c r="B134">
        <v>1.476553</v>
      </c>
    </row>
    <row r="135" spans="1:2">
      <c r="A135" t="s">
        <v>153</v>
      </c>
      <c r="B135">
        <v>6.6169999999999996E-3</v>
      </c>
    </row>
    <row r="136" spans="1:2">
      <c r="A136" t="s">
        <v>154</v>
      </c>
      <c r="B136">
        <v>3.7566000000000002E-2</v>
      </c>
    </row>
    <row r="137" spans="1:2">
      <c r="A137" t="s">
        <v>155</v>
      </c>
      <c r="B137">
        <v>5.0549999999999996E-3</v>
      </c>
    </row>
    <row r="138" spans="1:2">
      <c r="A138" t="s">
        <v>156</v>
      </c>
      <c r="B138">
        <v>1.0348E-2</v>
      </c>
    </row>
    <row r="139" spans="1:2">
      <c r="A139" t="s">
        <v>157</v>
      </c>
      <c r="B139">
        <v>2.8400000000000001E-3</v>
      </c>
    </row>
    <row r="140" spans="1:2">
      <c r="A140" t="s">
        <v>158</v>
      </c>
      <c r="B140">
        <v>1.0759999999999999E-3</v>
      </c>
    </row>
    <row r="141" spans="1:2">
      <c r="A141" t="s">
        <v>159</v>
      </c>
      <c r="B141">
        <v>9.0899999999999998E-4</v>
      </c>
    </row>
    <row r="142" spans="1:2">
      <c r="A142" t="s">
        <v>160</v>
      </c>
      <c r="B142">
        <v>7.3200000000000001E-4</v>
      </c>
    </row>
    <row r="143" spans="1:2">
      <c r="A143" t="s">
        <v>161</v>
      </c>
      <c r="B143">
        <v>1.4522E-2</v>
      </c>
    </row>
    <row r="144" spans="1:2">
      <c r="A144" t="s">
        <v>162</v>
      </c>
      <c r="B144">
        <v>2.0899999999999998E-3</v>
      </c>
    </row>
    <row r="145" spans="1:2">
      <c r="A145" t="s">
        <v>163</v>
      </c>
      <c r="B145">
        <v>4.4299999999999998E-4</v>
      </c>
    </row>
    <row r="146" spans="1:2">
      <c r="A146" t="s">
        <v>164</v>
      </c>
      <c r="B146">
        <v>9.9170000000000005E-3</v>
      </c>
    </row>
    <row r="147" spans="1:2">
      <c r="A147" t="s">
        <v>165</v>
      </c>
      <c r="B147">
        <v>0.81081800000000004</v>
      </c>
    </row>
    <row r="148" spans="1:2">
      <c r="A148" t="s">
        <v>166</v>
      </c>
      <c r="B148">
        <v>1.3842999999999999E-2</v>
      </c>
    </row>
    <row r="149" spans="1:2">
      <c r="A149" t="s">
        <v>167</v>
      </c>
      <c r="B149">
        <v>1.141629</v>
      </c>
    </row>
    <row r="150" spans="1:2">
      <c r="A150" t="s">
        <v>21</v>
      </c>
      <c r="B150">
        <v>3.0800000000000001E-4</v>
      </c>
    </row>
    <row r="151" spans="1:2">
      <c r="A151" t="s">
        <v>168</v>
      </c>
      <c r="B151">
        <v>1.2406E-2</v>
      </c>
    </row>
    <row r="152" spans="1:2">
      <c r="A152" t="s">
        <v>169</v>
      </c>
      <c r="B152">
        <v>3.7506330000000001</v>
      </c>
    </row>
    <row r="153" spans="1:2">
      <c r="A153" t="s">
        <v>170</v>
      </c>
      <c r="B153">
        <v>0.22403400000000001</v>
      </c>
    </row>
    <row r="154" spans="1:2">
      <c r="A154" t="s">
        <v>171</v>
      </c>
      <c r="B154">
        <v>8.0259789999999995</v>
      </c>
    </row>
    <row r="155" spans="1:2">
      <c r="A155" t="s">
        <v>172</v>
      </c>
      <c r="B155">
        <v>3.7295000000000002E-2</v>
      </c>
    </row>
    <row r="156" spans="1:2">
      <c r="A156" t="s">
        <v>173</v>
      </c>
      <c r="B156">
        <v>8.4000000000000003E-4</v>
      </c>
    </row>
    <row r="157" spans="1:2">
      <c r="A157" t="s">
        <v>174</v>
      </c>
      <c r="B157">
        <v>0.177174</v>
      </c>
    </row>
    <row r="158" spans="1:2">
      <c r="A158" t="s">
        <v>175</v>
      </c>
      <c r="B158">
        <v>8.3199999999999995E-4</v>
      </c>
    </row>
    <row r="159" spans="1:2">
      <c r="A159" t="s">
        <v>176</v>
      </c>
      <c r="B159">
        <v>5.5099999999999995E-4</v>
      </c>
    </row>
    <row r="160" spans="1:2">
      <c r="A160" t="s">
        <v>177</v>
      </c>
      <c r="B160">
        <v>2.2699999999999999E-4</v>
      </c>
    </row>
    <row r="161" spans="1:2">
      <c r="A161" t="s">
        <v>178</v>
      </c>
      <c r="B161">
        <v>0.177174</v>
      </c>
    </row>
    <row r="162" spans="1:2">
      <c r="A162" t="s">
        <v>179</v>
      </c>
      <c r="B162">
        <v>3.2231999999999997E-2</v>
      </c>
    </row>
    <row r="163" spans="1:2">
      <c r="A163" t="s">
        <v>180</v>
      </c>
      <c r="B163">
        <v>7.3463000000000001E-2</v>
      </c>
    </row>
    <row r="164" spans="1:2">
      <c r="A164" t="s">
        <v>181</v>
      </c>
      <c r="B164">
        <v>5.0549999999999996E-3</v>
      </c>
    </row>
    <row r="165" spans="1:2">
      <c r="A165" t="s">
        <v>182</v>
      </c>
      <c r="B165">
        <v>5.5880000000000001E-3</v>
      </c>
    </row>
    <row r="166" spans="1:2">
      <c r="A166" t="s">
        <v>227</v>
      </c>
      <c r="B166">
        <v>8.2030000000000002E-3</v>
      </c>
    </row>
    <row r="167" spans="1:2">
      <c r="A167" t="s">
        <v>183</v>
      </c>
      <c r="B167">
        <v>8.2030000000000002E-3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Daniel Lozano Barrero</cp:lastModifiedBy>
  <dcterms:created xsi:type="dcterms:W3CDTF">2025-08-05T17:25:28Z</dcterms:created>
  <dcterms:modified xsi:type="dcterms:W3CDTF">2026-07-16T23:05:05Z</dcterms:modified>
</cp:coreProperties>
</file>